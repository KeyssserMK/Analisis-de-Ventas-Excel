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k27ma\OneDrive\Desktop\Coderhouse\Proyecto\"/>
    </mc:Choice>
  </mc:AlternateContent>
  <xr:revisionPtr revIDLastSave="0" documentId="13_ncr:1_{B2B4B7B2-99C0-44C9-B53D-C633945C4659}" xr6:coauthVersionLast="47" xr6:coauthVersionMax="47" xr10:uidLastSave="{00000000-0000-0000-0000-000000000000}"/>
  <bookViews>
    <workbookView xWindow="-120" yWindow="-120" windowWidth="29040" windowHeight="15720" activeTab="4" xr2:uid="{2EFBCB6A-462F-4EB2-B873-D935C5936C7B}"/>
  </bookViews>
  <sheets>
    <sheet name="Readme" sheetId="13" r:id="rId1"/>
    <sheet name="Archivo en crudo" sheetId="1" r:id="rId2"/>
    <sheet name="Dashboard" sheetId="16" r:id="rId3"/>
    <sheet name="Dataset de ventas" sheetId="4" r:id="rId4"/>
    <sheet name="Preguntas y respuestas" sheetId="12" r:id="rId5"/>
    <sheet name="Hoja Auxiliar" sheetId="17" r:id="rId6"/>
  </sheets>
  <definedNames>
    <definedName name="_xlcn.WorksheetConnection_ProyectoParcialMarrero.xlsxVentas2024a2025" hidden="1">Ventas2024a2025[]</definedName>
    <definedName name="DatosExternos_1" localSheetId="3" hidden="1">'Dataset de ventas'!$A$2:$K$1500</definedName>
  </definedNames>
  <calcPr calcId="191029"/>
  <pivotCaches>
    <pivotCache cacheId="0" r:id="rId7"/>
  </pivotCaches>
  <extLst>
    <ext xmlns:x15="http://schemas.microsoft.com/office/spreadsheetml/2010/11/main" uri="{FCE2AD5D-F65C-4FA6-A056-5C36A1767C68}">
      <x15:dataModel>
        <x15:modelTables>
          <x15:modelTable id="Ventas2024a2025" name="Ventas2024a2025" connection="WorksheetConnection_Proyecto Parcial Marrero.xlsx!Ventas2024a202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0" i="12" l="1"/>
  <c r="K20" i="12"/>
  <c r="F20" i="12"/>
  <c r="K14" i="12"/>
  <c r="A20" i="12"/>
  <c r="P14" i="12"/>
  <c r="A8" i="12"/>
  <c r="A14" i="12" a="1"/>
  <c r="A14" i="12" s="1"/>
  <c r="F14" i="12" a="1"/>
  <c r="F14" i="12" s="1"/>
  <c r="A5" i="17" a="1"/>
  <c r="A5" i="17" s="1"/>
  <c r="A2" i="17" a="1"/>
  <c r="A2" i="17" s="1"/>
  <c r="F8" i="12"/>
  <c r="K8" i="12"/>
  <c r="P2" i="12"/>
  <c r="P8" i="12"/>
  <c r="F2" i="12"/>
  <c r="K2" i="12"/>
  <c r="A2" i="1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15807-3DCF-4929-991D-4C5730CE5047}" keepAlive="1" name="Consulta - datos_ventas_solo_fecha" description="Conexión a la consulta 'datos_ventas_solo_fecha' en el libro." type="5" refreshedVersion="8" background="1" saveData="1">
    <dbPr connection="Provider=Microsoft.Mashup.OleDb.1;Data Source=$Workbook$;Location=datos_ventas_solo_fecha;Extended Properties=&quot;&quot;" command="SELECT * FROM [datos_ventas_solo_fecha]"/>
  </connection>
  <connection id="2" xr16:uid="{753F9D9B-1FF2-45D7-8325-F8F9E267AF30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82166632-B107-4218-945B-40F6735AD46F}" name="WorksheetConnection_Proyecto Parcial Marrero.xlsx!Ventas2024a2025" type="102" refreshedVersion="8" minRefreshableVersion="5">
    <extLst>
      <ext xmlns:x15="http://schemas.microsoft.com/office/spreadsheetml/2010/11/main" uri="{DE250136-89BD-433C-8126-D09CA5730AF9}">
        <x15:connection id="Ventas2024a2025" autoDelete="1">
          <x15:rangePr sourceName="_xlcn.WorksheetConnection_ProyectoParcialMarrero.xlsxVentas2024a2025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<sst xmlns="http://schemas.openxmlformats.org/spreadsheetml/2006/main" count="10583" uniqueCount="3088">
  <si>
    <t>Cliente,FechaHora,Precio,Descuento,Sucursal,Vendedor,Producto,MetodoPago,Cantidad,Comision,Sueldo</t>
  </si>
  <si>
    <t>Calixto Valderrama,2024-12-13,70282.46,13494.15,General Paz,Rosa de Bou,Mouse Logitech,Transferencia,5,1135.77,151135.77</t>
  </si>
  <si>
    <t>JordÃ¡n Arnaiz,2025-06-22,333574.9,26604.49,General Paz,Edelmiro Valenciano-Ojeda,Placa de Video Nvidia,CrÃ©dito,4,6139.41,156139.41</t>
  </si>
  <si>
    <t>Clotilde BaÃ±os,2025-05-07,175445.28,16107.44,San Vicente,Calixta del Lago,Mouse Logitech,Transferencia,3,3186.76,153186.76</t>
  </si>
  <si>
    <t>Rosalina Gallardo,2025-03-09,239413.47,20286.33,Villa Allende,Nieves del Ortega,Tablet Samsung,CrÃ©dito,1,4382.54,154382.54</t>
  </si>
  <si>
    <t>Goyo EstÃ©vez,2025-02-04,348047.94,83290.84,CÃ³rdoba Centro,PÃ¡nfilo Montenegro Alba,Mouse Logitech,Transferencia,1,5295.14,155295.14</t>
  </si>
  <si>
    <t>Ovidio Valenzuela,2025-04-20,135554.56,18259.14,Villa Allende,Edelmiro Valenciano-Ojeda,Notebook Lenovo,CrÃ©dito,5,2345.91,152345.91</t>
  </si>
  <si>
    <t>Jose Luis Sierra,2025-03-17,425486.36,69033.6,Alta CÃ³rdoba,Dorita Abad LujÃ¡n,Memoria RAM Corsair,Transferencia,4,7129.06,157129.06</t>
  </si>
  <si>
    <t>Tere Villegas,2024-08-25,25943.46,2452.1,CÃ³rdoba Centro,Rosa de Bou,Memoria RAM Corsair,CrÃ©dito,4,469.83,150469.83</t>
  </si>
  <si>
    <t>Alejandra Villa,2025-02-23,377037.22,83241.92,Nueva CÃ³rdoba,Rosa de Bou,Placa de Video Nvidia,Transferencia,1,5875.91,155875.91</t>
  </si>
  <si>
    <t>Loida Priego,2024-08-03,107227.65,17417.86,CÃ³rdoba Centro,PÃ¡nfilo Montenegro Alba,Memoria RAM Corsair,CrÃ©dito,2,1796.2,151796.2</t>
  </si>
  <si>
    <t>Felisa Pellicer,2024-08-12,141484.96,4182.64,Nueva CÃ³rdoba,Calixta del Lago,Monitor Samsung,Transferencia,3,2746.05,152746.05</t>
  </si>
  <si>
    <t>Josefa Reyes,2025-02-12,465922.55,4022.28,Villa Allende,LuÃ­s Chaparro Borja,Disco SSD Kingston,Transferencia,4,9238.01,159238.01</t>
  </si>
  <si>
    <t>Reinaldo Camps,2024-08-17,311700.51,41344.47,San Vicente,Rosa de Bou,PC Gamer,Transferencia,2,5407.12,155407.12</t>
  </si>
  <si>
    <t>Flora Toledo,2025-04-26,198467.54,44824.52,Alta CÃ³rdoba,Edelmiro Valenciano-Ojeda,Notebook Lenovo,Efectivo,1,3072.86,153072.86</t>
  </si>
  <si>
    <t>Ãlvaro VallÃ©s,2025-06-29,121503.77,16573.72,General Paz,Rosa de Bou,Monitor Samsung,Transferencia,5,2098.6,152098.6</t>
  </si>
  <si>
    <t>NÃ©stor Galindo,2025-05-18,322377.7,56423.1,Villa Allende,InÃ©s Campo Pont,Notebook Lenovo,Transferencia,1,5319.09,155319.09</t>
  </si>
  <si>
    <t>Consuelo Seco,2025-07-12,344984.95,2612.8,Nueva CÃ³rdoba,Dorita Abad LujÃ¡n,Disco SSD Kingston,Transferencia,2,6847.44,156847.44</t>
  </si>
  <si>
    <t>CebriÃ¡n Cornejo,2024-09-28,279123.32,53435.89,San Vicente,LuÃ­s Chaparro Borja,Teclado Redragon,CrÃ©dito,2,4513.75,154513.75</t>
  </si>
  <si>
    <t>Lope Luque,2025-01-21,264419.53,51004.23,CÃ³rdoba Centro,Dorita Abad LujÃ¡n,Disco SSD Kingston,Efectivo,1,4268.31,154268.31</t>
  </si>
  <si>
    <t>Caridad AriÃ±o,2024-11-20,214166.91,6234.09,CÃ³rdoba Centro,Nieves del Ortega,Memoria RAM Corsair,Transferencia,3,4158.66,154158.66</t>
  </si>
  <si>
    <t>Diego Soriano,2025-01-10,37645.06,6075.3,General Paz,Paca Aramburu Luz,Mouse Logitech,Transferencia,4,631.4,150631.4</t>
  </si>
  <si>
    <t>HaydÃ©e Sanmiguel,2024-09-10,155901.8,19876.23,Villa Allende,Nieves del Ortega,Monitor Samsung,Efectivo,2,2720.51,152720.51</t>
  </si>
  <si>
    <t>Fidela Asenjo,2024-12-11,367160.58,80177.18,Alta CÃ³rdoba,Calixta del Lago,Auriculares JBL,Efectivo,5,5739.67,155739.67</t>
  </si>
  <si>
    <t>Trinidad Neira,2024-09-28,466451.62,115961.9,CÃ³rdoba Centro,Calixta del Lago,Disco SSD Kingston,CrÃ©dito,2,7009.79,157009.79</t>
  </si>
  <si>
    <t>Luz Mora,2024-11-21,23498.18,5472.87,Villa Allende,PÃ¡nfilo Montenegro Alba,Placa de Video Nvidia,CrÃ©dito,5,360.51,150360.51</t>
  </si>
  <si>
    <t>Humberto Quintana,2024-10-10,434515.69,38419.83,Alta CÃ³rdoba,Baldomero RamÃ³n,Mouse Logitech,Transferencia,4,7921.92,157921.92</t>
  </si>
  <si>
    <t>TeÃ³filo Somoza,2025-07-16,225552.62,8264.21,Alta CÃ³rdoba,PÃ¡nfilo Montenegro Alba,PC Gamer,Efectivo,2,4345.77,154345.77</t>
  </si>
  <si>
    <t>BelÃ©n Cabanillas,2025-03-24,37532.29,2815.41,General Paz,Rosa de Bou,Memoria RAM Corsair,Efectivo,2,694.34,150694.34</t>
  </si>
  <si>
    <t>Santos Pinedo,2025-01-18,314337.01,52642.16,CÃ³rdoba Centro,Dorita Abad LujÃ¡n,Auriculares JBL,CrÃ©dito,4,5233.9,155233.9</t>
  </si>
  <si>
    <t>Ruben Acevedo,2025-06-23,230092.77,3173.0,Villa Allende,InÃ©s Campo Pont,Memoria RAM Corsair,Efectivo,2,4538.4,154538.4</t>
  </si>
  <si>
    <t>Baudelio Ricart,2025-04-07,122605.17,23918.84,Alta CÃ³rdoba,Paca Aramburu Luz,Placa de Video Nvidia,Transferencia,3,1973.73,151973.73</t>
  </si>
  <si>
    <t>Georgina FarrÃ©,2025-06-26,64256.12,15558.87,San Vicente,InÃ©s Campo Pont,Teclado Redragon,Efectivo,4,973.95,150973.95</t>
  </si>
  <si>
    <t>Hilario GonzÃ¡lez,2024-10-16,40039.82,8241.12,CÃ³rdoba Centro,InÃ©s Campo Pont,PC Gamer,CrÃ©dito,1,635.97,150635.97</t>
  </si>
  <si>
    <t>Ãngela Asensio,2025-01-15,405914.06,35146.1,Nueva CÃ³rdoba,Paca Aramburu Luz,Tablet Samsung,CrÃ©dito,1,7415.36,157415.36</t>
  </si>
  <si>
    <t>Ximena Prats,2025-02-10,222084.52,30800.56,San Vicente,Rosa de Bou,PC Gamer,Efectivo,4,3825.68,153825.68</t>
  </si>
  <si>
    <t>Vanesa Zorrilla,2025-02-27,129047.03,24480.2,San Vicente,LuÃ­s Chaparro Borja,Disco SSD Kingston,Transferencia,3,2091.34,152091.34</t>
  </si>
  <si>
    <t>Inmaculada Gaya,2024-08-06,367922.61,52513.23,CÃ³rdoba Centro,Dorita Abad LujÃ¡n,Mouse Logitech,CrÃ©dito,2,6308.19,156308.19</t>
  </si>
  <si>
    <t>Brunilda Cuevas,2024-12-23,334719.15,39244.71,General Paz,Edelmiro Valenciano-Ojeda,Memoria RAM Corsair,Efectivo,1,5909.49,155909.49</t>
  </si>
  <si>
    <t>Adolfo Carrasco,2025-03-27,485278.41,96138.0,San Vicente,InÃ©s Campo Pont,Mouse Logitech,Efectivo,4,7782.81,157782.81</t>
  </si>
  <si>
    <t>Julieta Serra,2024-10-09,66190.8,9326.15,Alta CÃ³rdoba,Calixta del Lago,Mouse Logitech,CrÃ©dito,2,1137.29,151137.29</t>
  </si>
  <si>
    <t>Vera Dominguez,2025-01-23,20082.69,3260.42,San Vicente,Calixta del Lago,Memoria RAM Corsair,Transferencia,2,336.45,150336.45</t>
  </si>
  <si>
    <t>Eutropio Codina,2024-08-20,74025.33,3692.31,San Vicente,InÃ©s Campo Pont,PC Gamer,Transferencia,2,1406.66,151406.66</t>
  </si>
  <si>
    <t>Elena JuliÃ¡n,2025-06-04,256202.41,28186.64,CÃ³rdoba Centro,InÃ©s Campo Pont,Monitor Samsung,CrÃ©dito,3,4560.32,154560.32</t>
  </si>
  <si>
    <t>Dimas Gimenez,2025-01-30,295505.83,71267.21,CÃ³rdoba Centro,Rosa de Bou,Memoria RAM Corsair,Transferencia,1,4484.77,154484.77</t>
  </si>
  <si>
    <t>Jacinta NuÃ±ez,2025-03-13,240635.35,1412.33,Villa Allende,Edelmiro Valenciano-Ojeda,Teclado Redragon,Transferencia,1,4784.46,154784.46</t>
  </si>
  <si>
    <t>NoemÃ­ Paniagua,2025-01-18,128057.02,12814.21,Alta CÃ³rdoba,InÃ©s Campo Pont,Tablet Samsung,Efectivo,3,2304.86,152304.86</t>
  </si>
  <si>
    <t>Jenaro Flores,2025-03-06,297162.68,61471.59,Villa Allende,Calixta del Lago,Memoria RAM Corsair,Efectivo,3,4713.82,154713.82</t>
  </si>
  <si>
    <t>Cesar Jara,2024-10-07,196064.1,1666.39,CÃ³rdoba Centro,Rosa de Bou,Memoria RAM Corsair,Efectivo,1,3887.95,153887.95</t>
  </si>
  <si>
    <t>Alex Campillo,2025-03-21,470564.51,23865.26,Nueva CÃ³rdoba,LuÃ­s Chaparro Borja,PC Gamer,Transferencia,3,8933.99,158933.99</t>
  </si>
  <si>
    <t>Heraclio Carrillo,2024-09-22,201178.8,13004.79,Alta CÃ³rdoba,PÃ¡nfilo Montenegro Alba,Teclado Redragon,CrÃ©dito,3,3763.48,153763.48</t>
  </si>
  <si>
    <t>Gabriel ValdÃ©s,2025-03-26,290241.38,10792.41,Villa Allende,LuÃ­s Chaparro Borja,PC Gamer,Efectivo,3,5588.98,155588.98</t>
  </si>
  <si>
    <t>Inmaculada DiÃ©guez,2025-04-01,430310.24,101095.64,Villa Allende,Rosa de Bou,Disco SSD Kingston,Transferencia,2,6584.29,156584.29</t>
  </si>
  <si>
    <t>Tamara Torre,2025-01-05,52801.79,10367.67,San Vicente,Dorita Abad LujÃ¡n,Teclado Redragon,CrÃ©dito,4,848.68,150848.68</t>
  </si>
  <si>
    <t>Mamen Barrios,2024-11-01,234415.93,45553.8,General Paz,Dorita Abad LujÃ¡n,Notebook Lenovo,Transferencia,3,3777.24,153777.24</t>
  </si>
  <si>
    <t>Zaira Casas,2025-03-27,97427.08,13046.39,Villa Allende,PÃ¡nfilo Montenegro Alba,Placa de Video Nvidia,Efectivo,3,1687.61,151687.61</t>
  </si>
  <si>
    <t>JosÃ© Ãngel Plana,2025-03-03,39503.88,769.78,San Vicente,Calixta del Lago,Notebook Lenovo,Transferencia,5,774.68,150774.68</t>
  </si>
  <si>
    <t>Obdulia PeÃ±as,2024-08-16,314543.4,46323.48,Villa Allende,Edelmiro Valenciano-Ojeda,Notebook Lenovo,CrÃ©dito,3,5364.4,155364.4</t>
  </si>
  <si>
    <t>Chuy Amo,2025-06-16,481100.33,57354.45,Nueva CÃ³rdoba,Dorita Abad LujÃ¡n,Placa de Video Nvidia,CrÃ©dito,4,8474.92,158474.92</t>
  </si>
  <si>
    <t>Asdrubal Busquets,2024-09-22,452496.98,36344.38,San Vicente,Paca Aramburu Luz,Disco SSD Kingston,CrÃ©dito,2,8323.05,158323.05</t>
  </si>
  <si>
    <t>Maribel Murillo,2024-08-29,387766.0,56701.14,Nueva CÃ³rdoba,PÃ¡nfilo Montenegro Alba,Monitor Samsung,CrÃ©dito,5,6621.3,156621.3</t>
  </si>
  <si>
    <t>Horacio Villena,2025-03-07,172169.35,3028.97,Nueva CÃ³rdoba,PÃ¡nfilo Montenegro Alba,Auriculares JBL,CrÃ©dito,4,3382.81,153382.81</t>
  </si>
  <si>
    <t>Jaime Pombo,2024-09-02,205292.85,30267.01,CÃ³rdoba Centro,Baldomero RamÃ³n,Tablet Samsung,CrÃ©dito,1,3500.52,153500.52</t>
  </si>
  <si>
    <t>Febe Pineda,2025-04-25,472533.22,104168.87,Nueva CÃ³rdoba,Rosa de Bou,Mouse Logitech,CrÃ©dito,5,7367.29,157367.29</t>
  </si>
  <si>
    <t>FabiÃ¡n NiÃ±o,2024-12-15,364564.13,88954.86,Villa Allende,InÃ©s Campo Pont,Teclado Redragon,Efectivo,5,5512.19,155512.19</t>
  </si>
  <si>
    <t>AngÃ©lica Coronado,2025-05-02,343724.74,43736.43,Nueva CÃ³rdoba,Dorita Abad LujÃ¡n,Auriculares JBL,Efectivo,1,5999.77,155999.77</t>
  </si>
  <si>
    <t>Cristina Porta,2024-10-28,491400.72,13997.0,Alta CÃ³rdoba,InÃ©s Campo Pont,Monitor Samsung,Transferencia,3,9548.07,159548.07</t>
  </si>
  <si>
    <t>Cecilio Flor,2025-07-12,62602.26,11231.7,Alta CÃ³rdoba,Rosa de Bou,Monitor Samsung,Transferencia,3,1027.41,151027.41</t>
  </si>
  <si>
    <t>Chucho Castell,2025-02-06,480235.34,82996.08,Villa Allende,Edelmiro Valenciano-Ojeda,Tablet Samsung,Transferencia,4,7944.79,157944.79</t>
  </si>
  <si>
    <t>Eulalia Ribes,2025-04-30,499587.99,19236.84,General Paz,Paca Aramburu Luz,Tablet Samsung,CrÃ©dito,2,9607.02,159607.02</t>
  </si>
  <si>
    <t>Poncio Chaves,2025-01-28,148149.0,15758.73,Nueva CÃ³rdoba,Dorita Abad LujÃ¡n,Teclado Redragon,Transferencia,5,2647.81,152647.81</t>
  </si>
  <si>
    <t>HaydÃ©e Barroso,2025-05-01,160559.1,37071.96,Nueva CÃ³rdoba,Dorita Abad LujÃ¡n,Tablet Samsung,CrÃ©dito,4,2469.74,152469.74</t>
  </si>
  <si>
    <t>Carlos EstÃ©vez,2025-06-12,351424.52,78458.88,Villa Allende,Rosa de Bou,Mouse Logitech,CrÃ©dito,3,5459.31,155459.31</t>
  </si>
  <si>
    <t>Belen MillÃ¡n,2024-08-26,437465.79,87787.49,CÃ³rdoba Centro,Nieves del Ortega,Disco SSD Kingston,CrÃ©dito,1,6993.57,156993.57</t>
  </si>
  <si>
    <t>Onofre Sanjuan,2024-11-12,199944.13,39864.69,San Vicente,PÃ¡nfilo Montenegro Alba,PC Gamer,Efectivo,2,3201.59,153201.59</t>
  </si>
  <si>
    <t>Georgina Espinosa,2025-07-21,463436.68,36539.19,CÃ³rdoba Centro,Edelmiro Valenciano-Ojeda,Mouse Logitech,CrÃ©dito,4,8537.95,158537.95</t>
  </si>
  <si>
    <t>Basilio LuÃ­s,2025-03-13,122781.22,27970.98,San Vicente,Paca Aramburu Luz,Mouse Logitech,CrÃ©dito,4,1896.2,151896.2</t>
  </si>
  <si>
    <t>Obdulia Salcedo,2025-06-06,56334.82,496.97,CÃ³rdoba Centro,Nieves del Ortega,Auriculares JBL,Transferencia,5,1116.76,151116.76</t>
  </si>
  <si>
    <t>Domitila MÃºÃ±iz,2024-08-18,498839.31,113069.24,CÃ³rdoba Centro,InÃ©s Campo Pont,Mouse Logitech,Transferencia,5,7715.4,157715.4</t>
  </si>
  <si>
    <t>Charo Baeza,2024-07-29,30320.27,7379.5,San Vicente,Paca Aramburu Luz,Tablet Samsung,CrÃ©dito,3,458.82,150458.82</t>
  </si>
  <si>
    <t>Catalina Vara,2025-05-30,88077.0,21396.92,Villa Allende,Dorita Abad LujÃ¡n,PC Gamer,Efectivo,1,1333.6,151333.6</t>
  </si>
  <si>
    <t>Nacio CalderÃ³n,2024-11-16,334238.29,44381.91,CÃ³rdoba Centro,Rosa de Bou,Teclado Redragon,Efectivo,5,5797.13,155797.13</t>
  </si>
  <si>
    <t>Santiago Santamaria,2024-11-06,201028.12,29487.46,Villa Allende,Baldomero RamÃ³n,Auriculares JBL,Efectivo,5,3430.81,153430.81</t>
  </si>
  <si>
    <t>Esperanza Acero,2025-01-20,420219.5,60356.32,Villa Allende,Edelmiro Valenciano-Ojeda,Placa de Video Nvidia,CrÃ©dito,4,7197.26,157197.26</t>
  </si>
  <si>
    <t>Ãmbar Albero,2025-05-05,20046.24,4096.56,Alta CÃ³rdoba,Baldomero RamÃ³n,Notebook Lenovo,CrÃ©dito,4,318.99,150318.99</t>
  </si>
  <si>
    <t>Alberto CaÃ±as,2024-11-21,284629.84,65600.88,Alta CÃ³rdoba,Dorita Abad LujÃ¡n,Disco SSD Kingston,Transferencia,5,4380.58,154380.58</t>
  </si>
  <si>
    <t>Eliana Trillo,2024-12-05,165884.0,31040.09,Nueva CÃ³rdoba,InÃ©s Campo Pont,Auriculares JBL,Efectivo,3,2696.88,152696.88</t>
  </si>
  <si>
    <t>Dorotea PiÃ±a,2024-09-04,173961.61,15494.42,Alta CÃ³rdoba,Rosa de Bou,Memoria RAM Corsair,Transferencia,3,3169.34,153169.34</t>
  </si>
  <si>
    <t>Montserrat Torrent,2025-06-19,44220.2,4317.52,San Vicente,Calixta del Lago,PC Gamer,CrÃ©dito,4,798.05,150798.05</t>
  </si>
  <si>
    <t>JosÃ© Trillo,2024-12-10,328139.96,47521.69,Villa Allende,Paca Aramburu Luz,Teclado Redragon,CrÃ©dito,3,5612.37,155612.37</t>
  </si>
  <si>
    <t>MarÃ­a Luisa YÃ¡Ã±ez,2024-11-24,190064.92,31311.38,San Vicente,PÃ¡nfilo Montenegro Alba,Mouse Logitech,CrÃ©dito,2,3175.07,153175.07</t>
  </si>
  <si>
    <t>Victor Lago,2024-09-16,352574.57,6205.32,Nueva CÃ³rdoba,Edelmiro Valenciano-Ojeda,Monitor Samsung,CrÃ©dito,5,6927.39,156927.39</t>
  </si>
  <si>
    <t>Jose Antonio EnrÃ­quez,2025-07-09,266569.13,50594.58,Nueva CÃ³rdoba,PÃ¡nfilo Montenegro Alba,PC Gamer,CrÃ©dito,3,4319.49,154319.49</t>
  </si>
  <si>
    <t>Carla Zamorano,2025-06-26,155168.19,26581.94,General Paz,Baldomero RamÃ³n,Auriculares JBL,Efectivo,5,2571.72,152571.72</t>
  </si>
  <si>
    <t>NoÃ© Plana,2024-11-26,170566.88,9442.04,Nueva CÃ³rdoba,Dorita Abad LujÃ¡n,Memoria RAM Corsair,CrÃ©dito,5,3222.5,153222.5</t>
  </si>
  <si>
    <t>FÃ¡tima Amador,2025-07-12,420597.08,19629.96,CÃ³rdoba Centro,Dorita Abad LujÃ¡n,Placa de Video Nvidia,Transferencia,3,8019.34,158019.34</t>
  </si>
  <si>
    <t>Vidal Sevillano,2025-03-02,73378.38,541.2,CÃ³rdoba Centro,Rosa de Bou,Teclado Redragon,Efectivo,2,1456.74,151456.74</t>
  </si>
  <si>
    <t>Federico Hernando,2025-02-17,34830.31,2093.1,General Paz,PÃ¡nfilo Montenegro Alba,Teclado Redragon,Transferencia,5,654.74,150654.74</t>
  </si>
  <si>
    <t>Belen Losada,2024-10-21,212897.5,40978.28,Alta CÃ³rdoba,Dorita Abad LujÃ¡n,Notebook Lenovo,Efectivo,4,3438.38,153438.38</t>
  </si>
  <si>
    <t>Lorenza Agullo,2025-06-16,69922.27,2494.24,Nueva CÃ³rdoba,Baldomero RamÃ³n,Monitor Samsung,Transferencia,5,1348.56,151348.56</t>
  </si>
  <si>
    <t>Cornelio AntÃºnez,2025-06-18,176333.14,10229.87,San Vicente,Edelmiro Valenciano-Ojeda,Teclado Redragon,Transferencia,5,3322.07,153322.07</t>
  </si>
  <si>
    <t>Calista Chaves,2025-05-21,46795.69,8037.92,Nueva CÃ³rdoba,Edelmiro Valenciano-Ojeda,Mouse Logitech,CrÃ©dito,2,775.16,150775.16</t>
  </si>
  <si>
    <t>Samuel Bernal,2025-03-09,443666.9,36394.27,General Paz,Dorita Abad LujÃ¡n,Memoria RAM Corsair,Efectivo,4,8145.45,158145.45</t>
  </si>
  <si>
    <t>Ricarda BayÃ³n,2025-02-12,418793.07,22433.69,Alta CÃ³rdoba,InÃ©s Campo Pont,Memoria RAM Corsair,Efectivo,2,7927.19,157927.19</t>
  </si>
  <si>
    <t>Dani RÃ­o,2024-11-04,217202.21,30582.3,CÃ³rdoba Centro,Paca Aramburu Luz,Tablet Samsung,Efectivo,1,3732.4,153732.4</t>
  </si>
  <si>
    <t>Santiago Pastor,2025-05-29,492201.67,78600.4,CÃ³rdoba Centro,InÃ©s Campo Pont,Monitor Samsung,Efectivo,2,8272.03,158272.03</t>
  </si>
  <si>
    <t>Juliana Rodriguez,2024-11-04,490586.73,81130.79,General Paz,Baldomero RamÃ³n,Placa de Video Nvidia,CrÃ©dito,3,8189.12,158189.12</t>
  </si>
  <si>
    <t>Santiago Acosta,2025-02-10,153346.65,25009.61,Villa Allende,Baldomero RamÃ³n,Tablet Samsung,Transferencia,4,2566.74,152566.74</t>
  </si>
  <si>
    <t>Jimena Ruano,2025-01-16,70474.64,13369.97,CÃ³rdoba Centro,Baldomero RamÃ³n,Disco SSD Kingston,Transferencia,2,1142.09,151142.09</t>
  </si>
  <si>
    <t>Jordi Trujillo,2025-01-18,100074.01,12463.52,San Vicente,Baldomero RamÃ³n,Placa de Video Nvidia,Transferencia,4,1752.21,151752.21</t>
  </si>
  <si>
    <t>Cloe Arce,2024-09-12,234097.37,261.25,General Paz,LuÃ­s Chaparro Borja,Tablet Samsung,CrÃ©dito,3,4676.72,154676.72</t>
  </si>
  <si>
    <t>RubÃ©n MacÃ­as,2024-10-09,336873.64,57977.61,San Vicente,Baldomero RamÃ³n,Disco SSD Kingston,Efectivo,4,5577.92,155577.92</t>
  </si>
  <si>
    <t>NoÃ© Andres,2024-09-19,162668.0,10973.57,Alta CÃ³rdoba,PÃ¡nfilo Montenegro Alba,Memoria RAM Corsair,Efectivo,2,3033.89,153033.89</t>
  </si>
  <si>
    <t>Nieves Benito,2024-12-22,82565.0,14694.5,CÃ³rdoba Centro,PÃ¡nfilo Montenegro Alba,Teclado Redragon,Efectivo,2,1357.41,151357.41</t>
  </si>
  <si>
    <t>Gisela Amores,2024-08-21,276492.69,67203.69,San Vicente,InÃ©s Campo Pont,PC Gamer,Transferencia,1,4185.78,154185.78</t>
  </si>
  <si>
    <t>Antonio Mesa,2024-11-05,428715.77,48126.05,Alta CÃ³rdoba,Calixta del Lago,Memoria RAM Corsair,Transferencia,4,7611.79,157611.79</t>
  </si>
  <si>
    <t>Micaela ViÃ±as,2025-06-04,196540.54,19577.56,Villa Allende,Nieves del Ortega,Memoria RAM Corsair,Transferencia,1,3539.26,153539.26</t>
  </si>
  <si>
    <t>MarÃ­a Cristina Daza,2025-03-31,29979.09,4846.08,Nueva CÃ³rdoba,Dorita Abad LujÃ¡n,Auriculares JBL,CrÃ©dito,2,502.66,150502.66</t>
  </si>
  <si>
    <t>Maribel PeÃ±alver,2025-01-28,149436.25,29922.0,Alta CÃ³rdoba,Paca Aramburu Luz,PC Gamer,Efectivo,2,2390.28,152390.28</t>
  </si>
  <si>
    <t>Ruth Galindo,2024-12-10,368095.36,52882.92,Nueva CÃ³rdoba,Dorita Abad LujÃ¡n,Mouse Logitech,Transferencia,2,6304.25,156304.25</t>
  </si>
  <si>
    <t>Amalia Herranz,2024-12-15,284035.53,40564.01,CÃ³rdoba Centro,Paca Aramburu Luz,Disco SSD Kingston,Efectivo,3,4869.43,154869.43</t>
  </si>
  <si>
    <t>HipÃ³lito Bas,2024-10-20,180856.17,31592.14,Alta CÃ³rdoba,Rosa de Bou,Placa de Video Nvidia,Efectivo,5,2985.28,152985.28</t>
  </si>
  <si>
    <t>Leonel Valderrama,2024-10-26,145223.97,20618.27,San Vicente,Edelmiro Valenciano-Ojeda,Memoria RAM Corsair,Transferencia,3,2492.11,152492.11</t>
  </si>
  <si>
    <t>RoldÃ¡n Robledo,2024-10-21,190041.87,42401.62,CÃ³rdoba Centro,LuÃ­s Chaparro Borja,PC Gamer,CrÃ©dito,4,2952.8,152952.8</t>
  </si>
  <si>
    <t>Urbano Ortega,2024-08-14,310836.06,33347.11,Alta CÃ³rdoba,Calixta del Lago,Disco SSD Kingston,CrÃ©dito,5,5549.78,155549.78</t>
  </si>
  <si>
    <t>Isabel RoldÃ¡n,2024-08-07,343807.33,82560.33,Nueva CÃ³rdoba,PÃ¡nfilo Montenegro Alba,Auriculares JBL,Transferencia,2,5224.94,155224.94</t>
  </si>
  <si>
    <t>Irene Jerez,2025-01-30,326900.23,35278.96,Villa Allende,LuÃ­s Chaparro Borja,Monitor Samsung,CrÃ©dito,5,5832.43,155832.43</t>
  </si>
  <si>
    <t>Baldomero Otero,2024-12-22,377832.93,8513.4,General Paz,Nieves del Ortega,Notebook Lenovo,Transferencia,3,7386.39,157386.39</t>
  </si>
  <si>
    <t>Fidela GirÃ³n,2025-04-22,307042.31,59425.36,San Vicente,Calixta del Lago,PC Gamer,Efectivo,2,4952.34,154952.34</t>
  </si>
  <si>
    <t>Trinidad AyllÃ³n,2024-10-28,254908.12,17689.31,San Vicente,Rosa de Bou,Teclado Redragon,Efectivo,5,4744.38,154744.38</t>
  </si>
  <si>
    <t>JosÃ© Amaya,2025-06-24,272576.44,59658.4,Villa Allende,PÃ¡nfilo Montenegro Alba,Placa de Video Nvidia,Efectivo,1,4258.36,154258.36</t>
  </si>
  <si>
    <t>PurificaciÃ³n Arribas,2025-02-13,254136.93,10241.11,Alta CÃ³rdoba,Rosa de Bou,Teclado Redragon,Transferencia,5,4877.92,154877.92</t>
  </si>
  <si>
    <t>Adolfo Roman,2024-10-02,249719.04,7489.7,General Paz,InÃ©s Campo Pont,Monitor Samsung,CrÃ©dito,4,4844.59,154844.59</t>
  </si>
  <si>
    <t>Ambrosio Castrillo,2024-12-06,407086.85,52248.45,Villa Allende,Paca Aramburu Luz,Memoria RAM Corsair,Transferencia,5,7096.77,157096.77</t>
  </si>
  <si>
    <t>Abraham Llanos,2025-03-13,150434.05,24015.78,San Vicente,Baldomero RamÃ³n,Memoria RAM Corsair,Efectivo,4,2528.37,152528.37</t>
  </si>
  <si>
    <t>Julio ValcÃ¡rcel,2025-01-07,234897.83,56421.87,Nueva CÃ³rdoba,Edelmiro Valenciano-Ojeda,Mouse Logitech,CrÃ©dito,3,3569.52,153569.52</t>
  </si>
  <si>
    <t>Rosaura Tomas,2025-07-09,44201.41,32.59,Villa Allende,InÃ©s Campo Pont,Mouse Logitech,CrÃ©dito,3,883.38,150883.38</t>
  </si>
  <si>
    <t>PacÃ­fica Borrego,2024-09-14,254462.46,10054.24,CÃ³rdoba Centro,Rosa de Bou,Notebook Lenovo,CrÃ©dito,1,4888.16,154888.16</t>
  </si>
  <si>
    <t>Silvio MascarÃ³,2024-11-15,407461.28,70462.13,CÃ³rdoba Centro,Paca Aramburu Luz,PC Gamer,Transferencia,4,6739.98,156739.98</t>
  </si>
  <si>
    <t>VÃ­ctor Chamorro,2024-10-29,327890.03,74894.15,CÃ³rdoba Centro,Baldomero RamÃ³n,Tablet Samsung,Efectivo,5,5059.92,155059.92</t>
  </si>
  <si>
    <t>Marina Gimenez,2024-10-29,261042.97,5061.22,Villa Allende,Nieves del Ortega,Disco SSD Kingston,Efectivo,1,5119.64,155119.64</t>
  </si>
  <si>
    <t>Francisca NarvÃ¡ez,2024-08-29,263984.84,35320.61,San Vicente,PÃ¡nfilo Montenegro Alba,PC Gamer,CrÃ©dito,5,4573.28,154573.28</t>
  </si>
  <si>
    <t>Abril Lobato,2025-02-13,487813.26,52295.13,General Paz,Paca Aramburu Luz,Teclado Redragon,CrÃ©dito,4,8710.36,158710.36</t>
  </si>
  <si>
    <t>Ãurea QuirÃ³s,2024-12-07,89688.04,6659.61,Nueva CÃ³rdoba,Rosa de Bou,PC Gamer,Transferencia,4,1660.57,151660.57</t>
  </si>
  <si>
    <t>Chuy CarriÃ³n,2024-12-01,408163.57,95474.86,Nueva CÃ³rdoba,Nieves del Ortega,Teclado Redragon,Transferencia,4,6253.77,156253.77</t>
  </si>
  <si>
    <t>Hermenegildo ViÃ±as,2025-02-06,237697.84,47775.85,San Vicente,LuÃ­s Chaparro Borja,PC Gamer,Transferencia,5,3798.44,153798.44</t>
  </si>
  <si>
    <t>Chelo Ferrero,2025-07-22,495193.15,61687.81,General Paz,Calixta del Lago,Memoria RAM Corsair,CrÃ©dito,1,8670.11,158670.11</t>
  </si>
  <si>
    <t>Adelaida Prieto,2025-07-14,276616.21,25286.84,San Vicente,Dorita Abad LujÃ¡n,Placa de Video Nvidia,CrÃ©dito,5,5026.59,155026.59</t>
  </si>
  <si>
    <t>Ignacia Sabater,2024-11-03,374659.75,88618.13,CÃ³rdoba Centro,Calixta del Lago,Tablet Samsung,Transferencia,1,5720.83,155720.83</t>
  </si>
  <si>
    <t>Rebeca Calvet,2024-10-23,35272.64,8094.03,Villa Allende,PÃ¡nfilo Montenegro Alba,Notebook Lenovo,Transferencia,1,543.57,150543.57</t>
  </si>
  <si>
    <t>Morena SimÃ³,2025-01-23,157594.19,4303.34,Villa Allende,Nieves del Ortega,Memoria RAM Corsair,Transferencia,5,3065.82,153065.82</t>
  </si>
  <si>
    <t>Mamen Manrique,2024-12-28,265400.8,34876.24,Nueva CÃ³rdoba,InÃ©s Campo Pont,Tablet Samsung,CrÃ©dito,3,4610.49,154610.49</t>
  </si>
  <si>
    <t>Loreto Becerra,2025-04-09,219279.26,6629.78,San Vicente,Rosa de Bou,Memoria RAM Corsair,Transferencia,3,4252.99,154252.99</t>
  </si>
  <si>
    <t>Ximena AriÃ±o,2024-08-19,308598.46,8022.02,Villa Allende,Calixta del Lago,Disco SSD Kingston,CrÃ©dito,5,6011.53,156011.53</t>
  </si>
  <si>
    <t>Beatriz ExpÃ³sito,2024-08-14,126399.99,23580.06,General Paz,Edelmiro Valenciano-Ojeda,Placa de Video Nvidia,Transferencia,3,2056.4,152056.4</t>
  </si>
  <si>
    <t>AdÃ¡n Nogueira,2025-07-04,365430.19,28927.86,Alta CÃ³rdoba,Dorita Abad LujÃ¡n,Mouse Logitech,Transferencia,3,6730.05,156730.05</t>
  </si>
  <si>
    <t>Gaspar GimÃ©nez,2025-03-31,451519.02,75998.99,San Vicente,LuÃ­s Chaparro Borja,Teclado Redragon,CrÃ©dito,5,7510.4,157510.4</t>
  </si>
  <si>
    <t>Amancio Nogueira,2024-09-08,239754.13,389.45,General Paz,PÃ¡nfilo Montenegro Alba,Tablet Samsung,Transferencia,5,4787.29,154787.29</t>
  </si>
  <si>
    <t>Nando Mateo,2025-04-15,405542.51,1777.21,Alta CÃ³rdoba,Dorita Abad LujÃ¡n,Tablet Samsung,CrÃ©dito,3,8075.31,158075.31</t>
  </si>
  <si>
    <t>Nico Campo,2025-07-16,352990.46,68998.44,Villa Allende,Paca Aramburu Luz,Disco SSD Kingston,CrÃ©dito,2,5679.84,155679.84</t>
  </si>
  <si>
    <t>Melania Torrens,2024-09-17,328431.66,57522.81,San Vicente,Calixta del Lago,Auriculares JBL,CrÃ©dito,3,5418.18,155418.18</t>
  </si>
  <si>
    <t>Rosario Alfonso,2025-03-25,38309.95,3763.26,San Vicente,Rosa de Bou,Notebook Lenovo,Transferencia,5,690.93,150690.93</t>
  </si>
  <si>
    <t>Eva MarÃ­a GÃ¡lvez,2024-11-08,92876.37,143.35,General Paz,Baldomero RamÃ³n,Placa de Video Nvidia,CrÃ©dito,2,1854.66,151854.66</t>
  </si>
  <si>
    <t>Aura Armengol,2024-08-27,401562.35,63462.4,Villa Allende,Dorita Abad LujÃ¡n,Tablet Samsung,Efectivo,2,6762.0,156762.0</t>
  </si>
  <si>
    <t>Juana Salazar,2024-09-02,383891.18,17236.05,General Paz,Rosa de Bou,Disco SSD Kingston,CrÃ©dito,4,7333.1,157333.1</t>
  </si>
  <si>
    <t>Apolinar Andres,2025-01-12,369602.53,1745.37,Nueva CÃ³rdoba,PÃ¡nfilo Montenegro Alba,Teclado Redragon,CrÃ©dito,5,7357.14,157357.14</t>
  </si>
  <si>
    <t>Graciano Roldan,2025-03-17,221605.5,36654.94,General Paz,Paca Aramburu Luz,Memoria RAM Corsair,Transferencia,2,3699.01,153699.01</t>
  </si>
  <si>
    <t>Ricardo TomÃ©,2024-08-11,364256.28,80889.49,Alta CÃ³rdoba,Paca Aramburu Luz,Memoria RAM Corsair,CrÃ©dito,2,5667.34,155667.34</t>
  </si>
  <si>
    <t>Valerio Requena,2025-02-22,289700.33,31016.03,General Paz,LuÃ­s Chaparro Borja,Disco SSD Kingston,Efectivo,4,5173.69,155173.69</t>
  </si>
  <si>
    <t>Rafaela Amores,2025-07-02,81608.17,13912.31,CÃ³rdoba Centro,LuÃ­s Chaparro Borja,Disco SSD Kingston,Transferencia,5,1353.92,151353.92</t>
  </si>
  <si>
    <t>Jordi Alberdi,2025-06-23,124134.22,4790.53,Alta CÃ³rdoba,Dorita Abad LujÃ¡n,Notebook Lenovo,Transferencia,3,2386.87,152386.87</t>
  </si>
  <si>
    <t>Charo Puerta,2025-03-03,79453.34,11835.79,Villa Allende,Baldomero RamÃ³n,Tablet Samsung,Efectivo,4,1352.35,151352.35</t>
  </si>
  <si>
    <t>Oriana BarragÃ¡n,2025-01-02,52852.55,4858.39,San Vicente,LuÃ­s Chaparro Borja,Tablet Samsung,Transferencia,3,959.88,150959.88</t>
  </si>
  <si>
    <t>Gilberto Collado,2025-01-12,360358.23,58111.99,San Vicente,LuÃ­s Chaparro Borja,PC Gamer,Efectivo,5,6044.92,156044.92</t>
  </si>
  <si>
    <t>Ester Pino,2024-12-18,271778.01,52881.68,Villa Allende,Edelmiro Valenciano-Ojeda,Disco SSD Kingston,Transferencia,2,4377.93,154377.93</t>
  </si>
  <si>
    <t>JosÃ© MarÃ­a Saavedra,2025-05-26,382752.31,42635.29,Alta CÃ³rdoba,Edelmiro Valenciano-Ojeda,Teclado Redragon,CrÃ©dito,5,6802.34,156802.34</t>
  </si>
  <si>
    <t>Salvador VerdÃº,2025-07-11,458551.53,19735.88,San Vicente,Baldomero RamÃ³n,Placa de Video Nvidia,Transferencia,4,8776.31,158776.31</t>
  </si>
  <si>
    <t>RocÃ­o MÃ©ndez,2025-02-25,328398.79,50834.64,Nueva CÃ³rdoba,Paca Aramburu Luz,Auriculares JBL,Transferencia,5,5551.28,155551.28</t>
  </si>
  <si>
    <t>Cayetana Madrid,2025-01-11,411256.41,96737.98,CÃ³rdoba Centro,Calixta del Lago,Auriculares JBL,Transferencia,1,6290.37,156290.37</t>
  </si>
  <si>
    <t>Javi DÃ¡vila,2025-03-05,470603.66,97060.59,Villa Allende,PÃ¡nfilo Montenegro Alba,Tablet Samsung,CrÃ©dito,2,7470.86,157470.86</t>
  </si>
  <si>
    <t>Rufina Ortiz,2024-11-30,149027.59,19458.93,General Paz,Dorita Abad LujÃ¡n,Memoria RAM Corsair,Efectivo,2,2591.37,152591.37</t>
  </si>
  <si>
    <t>Albert Pujol,2024-07-30,300796.52,32502.96,Villa Allende,LuÃ­s Chaparro Borja,Notebook Lenovo,Transferencia,2,5365.87,155365.87</t>
  </si>
  <si>
    <t>Jacinta Villar,2024-11-18,141707.84,31121.82,Villa Allende,PÃ¡nfilo Montenegro Alba,Monitor Samsung,CrÃ©dito,3,2211.72,152211.72</t>
  </si>
  <si>
    <t>Rosa Aguirre,2025-02-16,184767.25,9312.7,Villa Allende,PÃ¡nfilo Montenegro Alba,Notebook Lenovo,CrÃ©dito,5,3509.09,153509.09</t>
  </si>
  <si>
    <t>Tatiana Valls,2024-12-16,100943.28,12154.44,General Paz,InÃ©s Campo Pont,Disco SSD Kingston,CrÃ©dito,4,1775.78,151775.78</t>
  </si>
  <si>
    <t>AmÃ­lcar Prada,2024-11-17,243280.44,22900.9,Villa Allende,PÃ¡nfilo Montenegro Alba,Placa de Video Nvidia,Efectivo,3,4407.59,154407.59</t>
  </si>
  <si>
    <t>Mario Chico,2025-01-05,422776.12,53938.86,CÃ³rdoba Centro,LuÃ­s Chaparro Borja,Notebook Lenovo,CrÃ©dito,3,7376.75,157376.75</t>
  </si>
  <si>
    <t>Maricela Macias,2024-08-23,202888.37,43854.24,General Paz,InÃ©s Campo Pont,Mouse Logitech,Efectivo,4,3180.68,153180.68</t>
  </si>
  <si>
    <t>RaÃºl Gargallo,2025-03-25,217397.85,9103.35,Nueva CÃ³rdoba,Edelmiro Valenciano-Ojeda,Placa de Video Nvidia,Transferencia,2,4165.89,154165.89</t>
  </si>
  <si>
    <t>Pelayo Cervera,2024-09-14,398325.79,42660.84,Nueva CÃ³rdoba,Rosa de Bou,Placa de Video Nvidia,Transferencia,5,7113.3,157113.3</t>
  </si>
  <si>
    <t>Mariano EspaÃ±ol,2025-07-16,347660.57,37914.85,Villa Allende,Dorita Abad LujÃ¡n,Mouse Logitech,Transferencia,5,6194.91,156194.91</t>
  </si>
  <si>
    <t>FabiÃ¡n Iglesias,2024-09-08,291575.47,43464.56,Nueva CÃ³rdoba,Calixta del Lago,Teclado Redragon,CrÃ©dito,3,4962.22,154962.22</t>
  </si>
  <si>
    <t>Quirino Uribe,2025-04-26,380596.48,5527.38,San Vicente,Paca Aramburu Luz,Teclado Redragon,Efectivo,2,7501.38,157501.38</t>
  </si>
  <si>
    <t>Pascual Madrigal,2024-07-24,287952.67,447.54,San Vicente,InÃ©s Campo Pont,Disco SSD Kingston,CrÃ©dito,5,5750.1,155750.1</t>
  </si>
  <si>
    <t>Nazaret AbellÃ¡n,2024-12-19,29807.68,2121.52,Nueva CÃ³rdoba,Rosa de Bou,Tablet Samsung,Efectivo,1,553.72,150553.72</t>
  </si>
  <si>
    <t>Ariadna Campo,2024-10-09,203090.37,4585.1,CÃ³rdoba Centro,InÃ©s Campo Pont,Mouse Logitech,CrÃ©dito,2,3970.11,153970.11</t>
  </si>
  <si>
    <t>Nidia Monreal,2024-11-03,26839.2,4518.02,San Vicente,Paca Aramburu Luz,Mouse Logitech,Efectivo,2,446.42,150446.42</t>
  </si>
  <si>
    <t>Juan Francisco MÃ­nguez,2025-05-15,346442.02,31083.11,San Vicente,Dorita Abad LujÃ¡n,Notebook Lenovo,Transferencia,3,6307.18,156307.18</t>
  </si>
  <si>
    <t>Juanita Barrio,2024-12-31,413436.99,21870.17,San Vicente,LuÃ­s Chaparro Borja,Disco SSD Kingston,CrÃ©dito,4,7831.34,157831.34</t>
  </si>
  <si>
    <t>Ignacio Carrasco,2024-12-04,113840.71,18252.03,Nueva CÃ³rdoba,LuÃ­s Chaparro Borja,Disco SSD Kingston,CrÃ©dito,5,1911.77,151911.77</t>
  </si>
  <si>
    <t>Haroldo Oliva,2025-02-15,30441.49,535.67,Alta CÃ³rdoba,Nieves del Ortega,Mouse Logitech,Efectivo,1,598.12,150598.12</t>
  </si>
  <si>
    <t>Adalberto Canet,2024-11-11,50142.94,11574.36,San Vicente,LuÃ­s Chaparro Borja,Disco SSD Kingston,Transferencia,5,771.37,150771.37</t>
  </si>
  <si>
    <t>Camila SebastiÃ¡n,2024-11-28,101902.17,16173.66,San Vicente,Calixta del Lago,Tablet Samsung,CrÃ©dito,5,1714.57,151714.57</t>
  </si>
  <si>
    <t>Delfina SaldaÃ±a,2024-08-26,203337.89,1761.55,Alta CÃ³rdoba,Dorita Abad LujÃ¡n,Tablet Samsung,Efectivo,3,4031.53,154031.53</t>
  </si>
  <si>
    <t>Sandra Bustamante,2025-02-10,355046.93,12053.87,CÃ³rdoba Centro,Dorita Abad LujÃ¡n,Placa de Video Nvidia,Efectivo,3,6859.86,156859.86</t>
  </si>
  <si>
    <t>Clara Solera,2025-05-30,341867.54,42974.35,San Vicente,InÃ©s Campo Pont,Mouse Logitech,Transferencia,5,5977.86,155977.86</t>
  </si>
  <si>
    <t>Lino MarÃ­,2024-09-19,381317.0,91377.28,Alta CÃ³rdoba,Rosa de Bou,PC Gamer,CrÃ©dito,1,5798.79,155798.79</t>
  </si>
  <si>
    <t>Vilma Contreras,2024-10-25,340798.3,14088.41,General Paz,Nieves del Ortega,Auriculares JBL,CrÃ©dito,3,6534.2,156534.2</t>
  </si>
  <si>
    <t>Cosme Porcel,2025-05-07,265255.99,56605.19,General Paz,LuÃ­s Chaparro Borja,Notebook Lenovo,Transferencia,5,4173.02,154173.02</t>
  </si>
  <si>
    <t>MÃ³nica Arjona,2025-06-09,399590.21,15815.13,Alta CÃ³rdoba,Rosa de Bou,Notebook Lenovo,Transferencia,2,7675.5,157675.5</t>
  </si>
  <si>
    <t>Arcelia Figueroa,2024-09-22,173695.8,361.62,CÃ³rdoba Centro,Baldomero RamÃ³n,Monitor Samsung,Transferencia,3,3466.68,153466.68</t>
  </si>
  <si>
    <t>Fabiola Artigas,2024-08-15,21335.63,3444.02,San Vicente,InÃ©s Campo Pont,Tablet Samsung,CrÃ©dito,3,357.83,150357.83</t>
  </si>
  <si>
    <t>Danilo Guardia,2024-11-09,77892.51,19118.96,Villa Allende,Rosa de Bou,Monitor Samsung,CrÃ©dito,4,1175.47,151175.47</t>
  </si>
  <si>
    <t>Vera Medina,2025-04-01,235273.92,56620.97,Nueva CÃ³rdoba,Edelmiro Valenciano-Ojeda,Placa de Video Nvidia,Efectivo,1,3573.06,153573.06</t>
  </si>
  <si>
    <t>Vidal Bas,2025-07-13,254311.81,7299.71,CÃ³rdoba Centro,Rosa de Bou,Notebook Lenovo,Transferencia,5,4940.24,154940.24</t>
  </si>
  <si>
    <t>ConcepciÃ³n Pelayo,2024-12-19,74121.76,16651.25,Villa Allende,LuÃ­s Chaparro Borja,Tablet Samsung,Efectivo,5,1149.41,151149.41</t>
  </si>
  <si>
    <t>AbigaÃ­l Zabaleta,2024-09-05,418170.38,85904.25,Alta CÃ³rdoba,InÃ©s Campo Pont,PC Gamer,CrÃ©dito,4,6645.32,156645.32</t>
  </si>
  <si>
    <t>Adalberto Pintor,2024-09-02,451351.66,107782.05,Nueva CÃ³rdoba,Calixta del Lago,Memoria RAM Corsair,Efectivo,5,6871.39,156871.39</t>
  </si>
  <si>
    <t>Regina Jover,2024-09-05,310635.65,23867.59,San Vicente,Rosa de Bou,Teclado Redragon,Efectivo,2,5735.36,155735.36</t>
  </si>
  <si>
    <t>Luciana Lasa,2025-02-23,25273.65,5356.47,San Vicente,Calixta del Lago,Teclado Redragon,CrÃ©dito,2,398.34,150398.34</t>
  </si>
  <si>
    <t>Pepito Pascual,2024-09-10,224770.45,54444.54,Villa Allende,Rosa de Bou,Memoria RAM Corsair,CrÃ©dito,1,3406.52,153406.52</t>
  </si>
  <si>
    <t>Tania Gomila,2024-11-04,333821.68,76901.83,CÃ³rdoba Centro,Nieves del Ortega,Placa de Video Nvidia,Efectivo,3,5138.4,155138.4</t>
  </si>
  <si>
    <t>Delfina GimÃ©nez,2025-01-26,213591.97,25155.18,Alta CÃ³rdoba,InÃ©s Campo Pont,Memoria RAM Corsair,CrÃ©dito,4,3768.74,153768.74</t>
  </si>
  <si>
    <t>Vasco RossellÃ³,2024-10-30,194494.08,2572.59,Alta CÃ³rdoba,Paca Aramburu Luz,Notebook Lenovo,Efectivo,1,3838.43,153838.43</t>
  </si>
  <si>
    <t>JordÃ¡n CatalÃ¡,2025-07-18,154227.61,34198.02,CÃ³rdoba Centro,Nieves del Ortega,Tablet Samsung,Efectivo,4,2400.59,152400.59</t>
  </si>
  <si>
    <t>Valentina Pi,2025-07-14,157054.31,13349.9,General Paz,InÃ©s Campo Pont,Mouse Logitech,Efectivo,3,2874.09,152874.09</t>
  </si>
  <si>
    <t>Felix Ramos,2024-12-18,262016.73,39776.46,San Vicente,InÃ©s Campo Pont,Auriculares JBL,CrÃ©dito,4,4444.81,154444.81</t>
  </si>
  <si>
    <t>Dan Castellanos,2025-04-04,483758.65,95547.73,Nueva CÃ³rdoba,Nieves del Ortega,Auriculares JBL,Efectivo,4,7764.22,157764.22</t>
  </si>
  <si>
    <t>Petrona Izquierdo,2025-04-30,212444.63,9960.74,General Paz,Edelmiro Valenciano-Ojeda,Mouse Logitech,CrÃ©dito,1,4049.68,154049.68</t>
  </si>
  <si>
    <t>IvÃ¡n Canales,2024-10-17,210759.46,4672.22,CÃ³rdoba Centro,PÃ¡nfilo Montenegro Alba,Memoria RAM Corsair,Transferencia,3,4121.74,154121.74</t>
  </si>
  <si>
    <t>Cintia MontalbÃ¡n,2024-08-17,340885.97,59100.65,San Vicente,PÃ¡nfilo Montenegro Alba,Disco SSD Kingston,Efectivo,2,5635.71,155635.71</t>
  </si>
  <si>
    <t>Cristian Roca,2025-06-09,439675.54,68588.2,General Paz,InÃ©s Campo Pont,Monitor Samsung,Efectivo,4,7421.75,157421.75</t>
  </si>
  <si>
    <t>Bernarda Heras,2024-07-28,407339.67,79366.91,Nueva CÃ³rdoba,Nieves del Ortega,Auriculares JBL,Efectivo,2,6559.46,156559.46</t>
  </si>
  <si>
    <t>Narcisa Villena,2025-01-17,424811.29,54640.92,San Vicente,Baldomero RamÃ³n,Tablet Samsung,Transferencia,3,7403.41,157403.41</t>
  </si>
  <si>
    <t>Saturnina Ballester,2025-05-26,122688.86,18166.02,Nueva CÃ³rdoba,InÃ©s Campo Pont,Notebook Lenovo,Efectivo,3,2090.46,152090.46</t>
  </si>
  <si>
    <t>PÃ¡nfilo Pareja,2025-05-21,412549.06,17383.67,Nueva CÃ³rdoba,Edelmiro Valenciano-Ojeda,Memoria RAM Corsair,CrÃ©dito,5,7903.31,157903.31</t>
  </si>
  <si>
    <t>Teresa Peinado,2024-07-25,60800.84,9725.85,Nueva CÃ³rdoba,Baldomero RamÃ³n,Placa de Video Nvidia,Transferencia,1,1021.5,151021.5</t>
  </si>
  <si>
    <t>Bernardino CortÃ©s,2025-04-03,144153.42,34763.92,Villa Allende,InÃ©s Campo Pont,Placa de Video Nvidia,Transferencia,5,2187.79,152187.79</t>
  </si>
  <si>
    <t>Jordi Iborra,2025-06-29,463085.11,85802.47,Nueva CÃ³rdoba,Nieves del Ortega,Auriculares JBL,CrÃ©dito,2,7545.65,157545.65</t>
  </si>
  <si>
    <t>Xavier GalvÃ¡n,2025-06-17,20246.94,4439.84,Villa Allende,Baldomero RamÃ³n,Mouse Logitech,Efectivo,5,316.14,150316.14</t>
  </si>
  <si>
    <t>Atilio Valenciano,2024-09-22,221875.46,11312.26,San Vicente,InÃ©s Campo Pont,Memoria RAM Corsair,Efectivo,5,4211.26,154211.26</t>
  </si>
  <si>
    <t>Florentino Robledo,2025-05-21,239322.33,30657.64,Alta CÃ³rdoba,PÃ¡nfilo Montenegro Alba,Placa de Video Nvidia,Transferencia,5,4173.29,154173.29</t>
  </si>
  <si>
    <t>Macaria MenÃ©ndez,2025-01-17,194188.05,41943.67,Villa Allende,LuÃ­s Chaparro Borja,Auriculares JBL,Efectivo,2,3044.89,153044.89</t>
  </si>
  <si>
    <t>Juan Bautista Pedrero,2025-06-12,335518.13,16226.53,General Paz,Paca Aramburu Luz,Disco SSD Kingston,CrÃ©dito,2,6385.83,156385.83</t>
  </si>
  <si>
    <t>Onofre CabaÃ±as,2024-09-05,386321.82,87007.18,CÃ³rdoba Centro,Baldomero RamÃ³n,Placa de Video Nvidia,Efectivo,2,5986.29,155986.29</t>
  </si>
  <si>
    <t>Violeta Carvajal,2025-05-31,244827.84,17782.41,CÃ³rdoba Centro,Baldomero RamÃ³n,Mouse Logitech,Efectivo,2,4540.91,154540.91</t>
  </si>
  <si>
    <t>Sarita PallarÃ¨s,2025-03-14,279337.7,24978.02,Alta CÃ³rdoba,Dorita Abad LujÃ¡n,Disco SSD Kingston,Transferencia,4,5087.19,155087.19</t>
  </si>
  <si>
    <t>Rico Collado,2025-01-07,58501.8,6782.98,San Vicente,PÃ¡nfilo Montenegro Alba,Tablet Samsung,Efectivo,4,1034.38,151034.38</t>
  </si>
  <si>
    <t>Modesto Feijoo,2025-03-11,70056.47,669.03,Alta CÃ³rdoba,Nieves del Ortega,Mouse Logitech,CrÃ©dito,2,1387.75,151387.75</t>
  </si>
  <si>
    <t>JordÃ¡n Montes,2024-10-13,308299.91,46485.37,Villa Allende,Edelmiro Valenciano-Ojeda,Mouse Logitech,CrÃ©dito,5,5236.29,155236.29</t>
  </si>
  <si>
    <t>Olga OrtuÃ±o,2025-02-15,161300.3,11712.44,General Paz,Rosa de Bou,Placa de Video Nvidia,CrÃ©dito,1,2991.76,152991.76</t>
  </si>
  <si>
    <t>MarÃ­a Montes,2024-09-10,146450.84,14670.65,CÃ³rdoba Centro,Baldomero RamÃ³n,Memoria RAM Corsair,Transferencia,5,2635.6,152635.6</t>
  </si>
  <si>
    <t>Abilio Piquer,2024-12-17,330875.35,49315.45,Alta CÃ³rdoba,Rosa de Bou,Placa de Video Nvidia,CrÃ©dito,5,5631.2,155631.2</t>
  </si>
  <si>
    <t>Bibiana Comas,2024-10-08,274817.01,4897.14,Nueva CÃ³rdoba,Paca Aramburu Luz,Placa de Video Nvidia,Transferencia,3,5398.4,155398.4</t>
  </si>
  <si>
    <t>Casemiro Sastre,2024-11-28,145444.49,18722.8,CÃ³rdoba Centro,Edelmiro Valenciano-Ojeda,Monitor Samsung,Efectivo,1,2534.43,152534.43</t>
  </si>
  <si>
    <t>Rafael Redondo,2025-01-25,461568.55,79373.71,Villa Allende,LuÃ­s Chaparro Borja,Placa de Video Nvidia,Efectivo,3,7643.9,157643.9</t>
  </si>
  <si>
    <t>Aureliano AlemÃ¡n,2025-01-24,95107.11,18490.92,General Paz,Nieves del Ortega,Disco SSD Kingston,CrÃ©dito,5,1532.32,151532.32</t>
  </si>
  <si>
    <t>Inmaculada Peralta,2025-03-02,19267.98,613.78,Alta CÃ³rdoba,Edelmiro Valenciano-Ojeda,Notebook Lenovo,Efectivo,4,373.08,150373.08</t>
  </si>
  <si>
    <t>Jenny Llorens,2024-11-10,121294.27,26596.78,General Paz,Calixta del Lago,Memoria RAM Corsair,CrÃ©dito,4,1893.95,151893.95</t>
  </si>
  <si>
    <t>Bernardo Domingo,2025-04-10,62134.16,10615.47,General Paz,LuÃ­s Chaparro Borja,Monitor Samsung,Efectivo,5,1030.37,151030.37</t>
  </si>
  <si>
    <t>Moreno Anaya,2024-11-03,177398.12,43414.45,San Vicente,Dorita Abad LujÃ¡n,Tablet Samsung,CrÃ©dito,5,2679.67,152679.67</t>
  </si>
  <si>
    <t>Georgina Jurado,2024-08-22,87035.47,1991.71,CÃ³rdoba Centro,Paca Aramburu Luz,Memoria RAM Corsair,Efectivo,4,1700.88,151700.88</t>
  </si>
  <si>
    <t>Che Calleja,2024-11-24,328664.93,50307.24,Alta CÃ³rdoba,InÃ©s Campo Pont,PC Gamer,Transferencia,3,5567.15,155567.15</t>
  </si>
  <si>
    <t>Eladio Bernat,2025-02-01,406682.59,53401.69,Nueva CÃ³rdoba,Rosa de Bou,Notebook Lenovo,Efectivo,3,7065.62,157065.62</t>
  </si>
  <si>
    <t>Amancio Trillo,2024-11-19,343828.08,44467.01,San Vicente,Baldomero RamÃ³n,Monitor Samsung,Transferencia,3,5987.22,155987.22</t>
  </si>
  <si>
    <t>LuÃ­s Roig,2024-10-25,296087.25,30152.02,CÃ³rdoba Centro,InÃ©s Campo Pont,Memoria RAM Corsair,CrÃ©dito,3,5318.7,155318.7</t>
  </si>
  <si>
    <t>Silvestre Ribes,2024-10-02,65346.07,9619.43,CÃ³rdoba Centro,Nieves del Ortega,Notebook Lenovo,Efectivo,3,1114.53,151114.53</t>
  </si>
  <si>
    <t>AdriÃ¡n Molina,2024-10-23,268961.05,31486.08,Villa Allende,LuÃ­s Chaparro Borja,Monitor Samsung,CrÃ©dito,1,4749.5,154749.5</t>
  </si>
  <si>
    <t>Mario Baeza,2025-03-22,189935.59,3180.44,Alta CÃ³rdoba,Rosa de Bou,Disco SSD Kingston,Transferencia,5,3735.1,153735.1</t>
  </si>
  <si>
    <t>Remedios Rosado,2025-07-22,291300.52,8141.4,Villa Allende,PÃ¡nfilo Montenegro Alba,Auriculares JBL,CrÃ©dito,1,5663.18,155663.18</t>
  </si>
  <si>
    <t>Jesusa TerrÃ³n,2024-08-27,54974.04,4183.65,CÃ³rdoba Centro,Paca Aramburu Luz,Mouse Logitech,Transferencia,2,1015.81,151015.81</t>
  </si>
  <si>
    <t>PÃ­a Solsona,2024-11-05,117942.02,416.95,Alta CÃ³rdoba,InÃ©s Campo Pont,Memoria RAM Corsair,Efectivo,5,2350.5,152350.5</t>
  </si>
  <si>
    <t>Ceferino Merino,2025-03-27,151861.51,8853.57,Alta CÃ³rdoba,Baldomero RamÃ³n,PC Gamer,CrÃ©dito,4,2860.16,152860.16</t>
  </si>
  <si>
    <t>ToÃ±o Moles,2024-12-15,334068.63,6500.62,General Paz,Rosa de Bou,Monitor Samsung,Transferencia,4,6551.36,156551.36</t>
  </si>
  <si>
    <t>Juan MÃ©ndez,2025-02-25,250016.76,57704.89,Nueva CÃ³rdoba,Rosa de Bou,Tablet Samsung,Efectivo,5,3846.24,153846.24</t>
  </si>
  <si>
    <t>RenÃ© Ribas,2025-04-20,472954.79,11329.47,CÃ³rdoba Centro,Baldomero RamÃ³n,Notebook Lenovo,Efectivo,1,9232.51,159232.51</t>
  </si>
  <si>
    <t>Azahar Casares,2025-01-16,120292.69,1503.44,Villa Allende,Baldomero RamÃ³n,Auriculares JBL,Efectivo,1,2375.78,152375.78</t>
  </si>
  <si>
    <t>Mohamed Gallo,2024-07-25,478201.96,26471.7,Alta CÃ³rdoba,Baldomero RamÃ³n,Memoria RAM Corsair,Transferencia,4,9034.61,159034.61</t>
  </si>
  <si>
    <t>Cintia BarÃ³,2024-11-07,315707.8,38792.86,San Vicente,Baldomero RamÃ³n,Memoria RAM Corsair,Efectivo,2,5538.3,155538.3</t>
  </si>
  <si>
    <t>Nieves DÃ­az,2025-01-26,186535.65,42588.1,Nueva CÃ³rdoba,Paca Aramburu Luz,PC Gamer,CrÃ©dito,1,2878.95,152878.95</t>
  </si>
  <si>
    <t>Ãngel DueÃ±as,2025-04-22,332097.67,44821.71,Nueva CÃ³rdoba,Paca Aramburu Luz,Notebook Lenovo,CrÃ©dito,1,5745.52,155745.52</t>
  </si>
  <si>
    <t>Claudia Reyes,2025-06-12,364624.43,23990.0,San Vicente,LuÃ­s Chaparro Borja,PC Gamer,CrÃ©dito,5,6812.69,156812.69</t>
  </si>
  <si>
    <t>Felisa Colomer,2024-08-27,97652.67,5496.71,CÃ³rdoba Centro,Edelmiro Valenciano-Ojeda,Teclado Redragon,CrÃ©dito,3,1843.12,151843.12</t>
  </si>
  <si>
    <t>Heriberto Amo,2024-11-19,274834.96,63650.16,CÃ³rdoba Centro,Rosa de Bou,Placa de Video Nvidia,Efectivo,4,4223.7,154223.7</t>
  </si>
  <si>
    <t>Anacleto Fiol,2024-12-19,193423.02,31378.48,Nueva CÃ³rdoba,Paca Aramburu Luz,Monitor Samsung,Efectivo,1,3240.89,153240.89</t>
  </si>
  <si>
    <t>Olimpia Gracia,2025-06-30,476776.51,35943.05,San Vicente,InÃ©s Campo Pont,Disco SSD Kingston,Transferencia,3,8816.67,158816.67</t>
  </si>
  <si>
    <t>Rafaela Villa,2025-04-10,43501.24,3866.01,CÃ³rdoba Centro,Dorita Abad LujÃ¡n,Disco SSD Kingston,Efectivo,4,792.7,150792.7</t>
  </si>
  <si>
    <t>Ulises Gisbert,2025-05-30,488691.28,9124.35,Villa Allende,Baldomero RamÃ³n,Monitor Samsung,Efectivo,1,9591.34,159591.34</t>
  </si>
  <si>
    <t>Tiburcio Mayo,2024-12-17,128542.97,30602.9,Villa Allende,Paca Aramburu Luz,Auriculares JBL,CrÃ©dito,2,1958.8,151958.8</t>
  </si>
  <si>
    <t>GastÃ³n Vaquero,2024-08-22,410575.57,51864.73,Villa Allende,InÃ©s Campo Pont,Tablet Samsung,Transferencia,1,7174.22,157174.22</t>
  </si>
  <si>
    <t>Beatriz Baena,2024-08-22,412827.89,89325.63,Villa Allende,InÃ©s Campo Pont,Auriculares JBL,CrÃ©dito,5,6470.05,156470.05</t>
  </si>
  <si>
    <t>Mercedes Galiano,2024-09-17,490240.35,41093.1,Nueva CÃ³rdoba,Paca Aramburu Luz,Auriculares JBL,Efectivo,5,8982.94,158982.94</t>
  </si>
  <si>
    <t>Yaiza Molins,2025-01-22,30504.83,2967.07,Villa Allende,Dorita Abad LujÃ¡n,Tablet Samsung,CrÃ©dito,2,550.76,150550.76</t>
  </si>
  <si>
    <t>Adelardo Molina,2025-04-17,20788.82,696.29,Villa Allende,Dorita Abad LujÃ¡n,Memoria RAM Corsair,Efectivo,5,401.85,150401.85</t>
  </si>
  <si>
    <t>Godofredo Moya,2024-12-20,132992.4,6712.11,Alta CÃ³rdoba,Paca Aramburu Luz,Monitor Samsung,Efectivo,3,2525.61,152525.61</t>
  </si>
  <si>
    <t>Toni MariÃ±o,2025-01-03,228019.63,2312.08,Alta CÃ³rdoba,InÃ©s Campo Pont,Auriculares JBL,Transferencia,1,4514.15,154514.15</t>
  </si>
  <si>
    <t>Elodia Espinosa,2025-02-12,170199.19,22808.38,San Vicente,Paca Aramburu Luz,Disco SSD Kingston,Efectivo,2,2947.82,152947.82</t>
  </si>
  <si>
    <t>Carmelo Sevilla,2024-12-13,46142.84,5101.28,Alta CÃ³rdoba,LuÃ­s Chaparro Borja,Disco SSD Kingston,CrÃ©dito,4,820.83,150820.83</t>
  </si>
  <si>
    <t>Juan Manuel BÃ¡rcena,2024-09-25,407268.08,95708.75,Alta CÃ³rdoba,Edelmiro Valenciano-Ojeda,Placa de Video Nvidia,Efectivo,5,6231.19,156231.19</t>
  </si>
  <si>
    <t>Agustina Gracia,2024-07-28,196806.79,15204.3,San Vicente,Paca Aramburu Luz,Disco SSD Kingston,Efectivo,4,3632.05,153632.05</t>
  </si>
  <si>
    <t>Amancio Pozuelo,2025-01-13,22430.2,5003.36,Villa Allende,PÃ¡nfilo Montenegro Alba,Notebook Lenovo,Efectivo,2,348.54,150348.54</t>
  </si>
  <si>
    <t>Sosimo Ropero,2024-12-18,148133.88,5479.54,Nueva CÃ³rdoba,Nieves del Ortega,Mouse Logitech,Efectivo,5,2853.09,152853.09</t>
  </si>
  <si>
    <t>Tito Batlle,2025-03-14,113470.13,22949.7,General Paz,Edelmiro Valenciano-Ojeda,Placa de Video Nvidia,Transferencia,1,1810.41,151810.41</t>
  </si>
  <si>
    <t>Gabriel CuÃ©llar,2025-07-18,325387.61,56689.42,Villa Allende,LuÃ­s Chaparro Borja,Mouse Logitech,Transferencia,5,5373.96,155373.96</t>
  </si>
  <si>
    <t>Wilfredo Lloret,2024-12-22,494209.65,5875.45,San Vicente,Paca Aramburu Luz,Tablet Samsung,Transferencia,2,9766.68,159766.68</t>
  </si>
  <si>
    <t>Eli Palomo,2024-09-10,353163.14,82466.22,Alta CÃ³rdoba,Paca Aramburu Luz,Auriculares JBL,CrÃ©dito,4,5413.94,155413.94</t>
  </si>
  <si>
    <t>Octavio EnrÃ­quez,2024-10-22,438294.85,21478.36,General Paz,Nieves del Ortega,PC Gamer,Efectivo,3,8336.33,158336.33</t>
  </si>
  <si>
    <t>Marcia CÃ³rdoba,2025-06-28,339616.1,11301.65,Alta CÃ³rdoba,InÃ©s Campo Pont,PC Gamer,CrÃ©dito,1,6566.29,156566.29</t>
  </si>
  <si>
    <t>Gonzalo Mesa,2024-08-03,373726.53,75476.49,San Vicente,Baldomero RamÃ³n,Auriculares JBL,Transferencia,1,5965.0,155965.0</t>
  </si>
  <si>
    <t>Macario NoguÃ©s,2025-06-30,63158.52,11915.27,Villa Allende,Nieves del Ortega,Mouse Logitech,Efectivo,1,1024.87,151024.87</t>
  </si>
  <si>
    <t>Angelita Borrell,2025-04-24,316901.53,41429.87,San Vicente,LuÃ­s Chaparro Borja,Disco SSD Kingston,Efectivo,3,5509.43,155509.43</t>
  </si>
  <si>
    <t>Felisa Ochoa,2025-02-08,78305.92,2260.98,General Paz,Calixta del Lago,Memoria RAM Corsair,Efectivo,4,1520.9,151520.9</t>
  </si>
  <si>
    <t>AbigaÃ­l CerdÃ¡n,2024-09-30,278847.27,21761.63,Villa Allende,InÃ©s Campo Pont,Tablet Samsung,Transferencia,5,5141.71,155141.71</t>
  </si>
  <si>
    <t>ArÃ¡nzazu Acevedo,2025-03-27,403466.72,60646.97,Villa Allende,LuÃ­s Chaparro Borja,Teclado Redragon,Efectivo,2,6856.4,156856.4</t>
  </si>
  <si>
    <t>Samuel Cornejo,2024-12-24,364640.27,61360.82,CÃ³rdoba Centro,InÃ©s Campo Pont,Disco SSD Kingston,Efectivo,5,6065.59,156065.59</t>
  </si>
  <si>
    <t>Loreto Gomis,2025-02-19,405273.68,12076.06,CÃ³rdoba Centro,Rosa de Bou,Auriculares JBL,Transferencia,2,7863.95,157863.95</t>
  </si>
  <si>
    <t>Blanca Jover,2025-01-25,362912.73,74878.06,CÃ³rdoba Centro,InÃ©s Campo Pont,Monitor Samsung,Efectivo,4,5760.69,155760.69</t>
  </si>
  <si>
    <t>Atilio Barbero,2024-09-12,401168.67,64369.04,Villa Allende,InÃ©s Campo Pont,Monitor Samsung,Transferencia,1,6735.99,156735.99</t>
  </si>
  <si>
    <t>Sigfrido DueÃ±as,2024-09-08,72905.95,5199.82,Villa Allende,Baldomero RamÃ³n,Notebook Lenovo,Transferencia,4,1354.12,151354.12</t>
  </si>
  <si>
    <t>Eliseo Plana,2024-09-18,476297.58,87158.74,CÃ³rdoba Centro,Rosa de Bou,Placa de Video Nvidia,CrÃ©dito,2,7782.78,157782.78</t>
  </si>
  <si>
    <t>Regina Fuster,2025-04-01,161660.9,6974.73,Alta CÃ³rdoba,PÃ¡nfilo Montenegro Alba,Placa de Video Nvidia,Transferencia,3,3093.72,153093.72</t>
  </si>
  <si>
    <t>Ãngrid Marti,2024-08-09,143333.34,22253.74,General Paz,PÃ¡nfilo Montenegro Alba,Monitor Samsung,Efectivo,4,2421.59,152421.59</t>
  </si>
  <si>
    <t>Luis Miguel Guerra,2024-08-03,376675.85,33498.38,San Vicente,Rosa de Bou,Placa de Video Nvidia,Efectivo,2,6863.55,156863.55</t>
  </si>
  <si>
    <t>Marcial Quintanilla,2025-04-21,330152.51,23514.31,Villa Allende,Baldomero RamÃ³n,Teclado Redragon,CrÃ©dito,3,6132.76,156132.76</t>
  </si>
  <si>
    <t>Delfina Chamorro,2025-02-23,473500.17,29452.0,General Paz,Edelmiro Valenciano-Ojeda,PC Gamer,Transferencia,4,8880.96,158880.96</t>
  </si>
  <si>
    <t>Luisina PelÃ¡ez,2025-06-12,121380.23,9791.04,Nueva CÃ³rdoba,Edelmiro Valenciano-Ojeda,Disco SSD Kingston,Efectivo,5,2231.78,152231.78</t>
  </si>
  <si>
    <t>Antonio Pujadas,2025-04-11,91442.1,9103.73,Villa Allende,Edelmiro Valenciano-Ojeda,Memoria RAM Corsair,CrÃ©dito,2,1646.77,151646.77</t>
  </si>
  <si>
    <t>Anastasio AntÃºnez,2025-05-08,378956.54,70029.35,Villa Allende,Dorita Abad LujÃ¡n,Disco SSD Kingston,Efectivo,4,6178.54,156178.54</t>
  </si>
  <si>
    <t>Carlos Gallart,2025-06-09,17596.02,2810.59,San Vicente,Baldomero RamÃ³n,PC Gamer,Efectivo,1,295.71,150295.71</t>
  </si>
  <si>
    <t>Norberto Barrios,2025-01-09,13821.84,540.88,General Paz,Baldomero RamÃ³n,Auriculares JBL,Efectivo,4,265.62,150265.62</t>
  </si>
  <si>
    <t>Apolinar Castellanos,2025-02-23,418879.02,83441.18,Villa Allende,InÃ©s Campo Pont,Tablet Samsung,Transferencia,4,6708.76,156708.76</t>
  </si>
  <si>
    <t>Patricia MartÃ­,2025-01-13,452735.7,72950.03,General Paz,LuÃ­s Chaparro Borja,Mouse Logitech,CrÃ©dito,4,7595.71,157595.71</t>
  </si>
  <si>
    <t>SebastiÃ¡n Ballester,2025-05-23,411418.75,82059.96,San Vicente,LuÃ­s Chaparro Borja,Placa de Video Nvidia,Transferencia,1,6587.18,156587.18</t>
  </si>
  <si>
    <t>Elisa Gomis,2024-08-04,212060.43,17357.45,CÃ³rdoba Centro,PÃ¡nfilo Montenegro Alba,Teclado Redragon,CrÃ©dito,5,3894.06,153894.06</t>
  </si>
  <si>
    <t>Donato Llopis,2025-05-01,320492.09,12674.87,San Vicente,Edelmiro Valenciano-Ojeda,Teclado Redragon,CrÃ©dito,1,6156.34,156156.34</t>
  </si>
  <si>
    <t>Benita Salas,2025-03-25,87416.08,18385.64,San Vicente,PÃ¡nfilo Montenegro Alba,Auriculares JBL,Efectivo,3,1380.61,151380.61</t>
  </si>
  <si>
    <t>Lorenzo EcheverrÃ­a,2024-12-24,212945.15,24974.05,Nueva CÃ³rdoba,Baldomero RamÃ³n,Placa de Video Nvidia,CrÃ©dito,1,3759.42,153759.42</t>
  </si>
  <si>
    <t>JeremÃ­as Beltran,2025-03-10,343490.79,42892.59,Villa Allende,Calixta del Lago,Placa de Video Nvidia,CrÃ©dito,4,6011.96,156011.96</t>
  </si>
  <si>
    <t>Elpidio Oliva,2024-08-30,294988.66,51181.86,General Paz,Edelmiro Valenciano-Ojeda,Memoria RAM Corsair,Efectivo,5,4876.14,154876.14</t>
  </si>
  <si>
    <t>Eutropio Castrillo,2024-09-19,427934.86,46469.21,Nueva CÃ³rdoba,LuÃ­s Chaparro Borja,Auriculares JBL,Efectivo,5,7629.31,157629.31</t>
  </si>
  <si>
    <t>Cruz Varela,2025-03-09,427457.84,8645.18,Nueva CÃ³rdoba,Rosa de Bou,Tablet Samsung,CrÃ©dito,2,8376.25,158376.25</t>
  </si>
  <si>
    <t>Cristian Palau,2025-05-15,143192.6,7432.6,San Vicente,Dorita Abad LujÃ¡n,Notebook Lenovo,CrÃ©dito,4,2715.2,152715.2</t>
  </si>
  <si>
    <t>VerÃ³nica Colomer,2024-08-16,370147.23,18231.39,CÃ³rdoba Centro,Edelmiro Valenciano-Ojeda,Placa de Video Nvidia,Transferencia,2,7038.32,157038.32</t>
  </si>
  <si>
    <t>Ã“scar CÃ©spedes,2025-03-02,388732.62,93321.21,San Vicente,Baldomero RamÃ³n,Monitor Samsung,CrÃ©dito,2,5908.23,155908.23</t>
  </si>
  <si>
    <t>Segismundo Benito,2024-07-29,50641.38,872.1,San Vicente,Paca Aramburu Luz,Auriculares JBL,Efectivo,1,995.39,150995.39</t>
  </si>
  <si>
    <t>Horacio Verdejo,2024-10-05,441946.7,89174.67,Nueva CÃ³rdoba,InÃ©s Campo Pont,Monitor Samsung,Transferencia,1,7055.44,157055.44</t>
  </si>
  <si>
    <t>PacÃ­fica Ropero,2025-04-24,451788.54,9179.33,CÃ³rdoba Centro,Paca Aramburu Luz,PC Gamer,Efectivo,4,8852.18,158852.18</t>
  </si>
  <si>
    <t>Carlos Carretero,2024-12-21,226613.34,7703.85,San Vicente,Paca Aramburu Luz,Notebook Lenovo,Transferencia,1,4378.19,154378.19</t>
  </si>
  <si>
    <t>Xiomara DomÃ©nech,2025-03-27,197411.25,28281.75,CÃ³rdoba Centro,InÃ©s Campo Pont,Mouse Logitech,CrÃ©dito,3,3382.59,153382.59</t>
  </si>
  <si>
    <t>Nicolasa BuendÃ­a,2025-03-27,141545.13,33800.6,Nueva CÃ³rdoba,LuÃ­s Chaparro Borja,Teclado Redragon,CrÃ©dito,3,2154.89,152154.89</t>
  </si>
  <si>
    <t>Herberto Novoa,2024-09-12,104340.45,19846.11,General Paz,Baldomero RamÃ³n,PC Gamer,Efectivo,1,1689.89,151689.89</t>
  </si>
  <si>
    <t>Angelita Gras,2024-09-14,282372.78,5351.98,Villa Allende,Paca Aramburu Luz,Placa de Video Nvidia,CrÃ©dito,5,5540.42,155540.42</t>
  </si>
  <si>
    <t>Seve Barco,2025-04-15,321088.51,60628.61,CÃ³rdoba Centro,Dorita Abad LujÃ¡n,Placa de Video Nvidia,Efectivo,5,5209.2,155209.2</t>
  </si>
  <si>
    <t>PÃ¡nfilo Atienza,2025-06-25,242379.67,52241.0,San Vicente,Rosa de Bou,Auriculares JBL,Efectivo,1,3802.77,153802.77</t>
  </si>
  <si>
    <t>Merche Anguita,2025-05-25,360957.77,35522.7,San Vicente,InÃ©s Campo Pont,Tablet Samsung,CrÃ©dito,2,6508.7,156508.7</t>
  </si>
  <si>
    <t>Adolfo Quevedo,2025-01-10,431374.8,40483.39,CÃ³rdoba Centro,Nieves del Ortega,PC Gamer,Efectivo,3,7817.83,157817.83</t>
  </si>
  <si>
    <t>Ciriaco Campos,2024-09-16,402663.53,8240.05,Nueva CÃ³rdoba,InÃ©s Campo Pont,Teclado Redragon,CrÃ©dito,2,7888.47,157888.47</t>
  </si>
  <si>
    <t>GermÃ¡n Salcedo,2025-01-21,157724.78,7702.5,General Paz,InÃ©s Campo Pont,Notebook Lenovo,Transferencia,4,3000.45,153000.45</t>
  </si>
  <si>
    <t>Natanael Baeza,2025-06-06,485563.38,119848.49,Villa Allende,Rosa de Bou,PC Gamer,Efectivo,3,7314.3,157314.3</t>
  </si>
  <si>
    <t>Lidia Bernat,2025-06-28,444448.55,53925.79,Alta CÃ³rdoba,Rosa de Bou,Teclado Redragon,Transferencia,4,7810.46,157810.46</t>
  </si>
  <si>
    <t>Vilma Orozco,2024-08-02,36572.55,4500.33,San Vicente,Paca Aramburu Luz,Memoria RAM Corsair,Transferencia,2,641.44,150641.44</t>
  </si>
  <si>
    <t>BrÃ­gida Roca,2025-07-07,496078.13,99486.75,Villa Allende,Paca Aramburu Luz,PC Gamer,CrÃ©dito,3,7931.83,157931.83</t>
  </si>
  <si>
    <t>Bruno Parra,2025-06-16,131776.28,18357.79,Nueva CÃ³rdoba,Baldomero RamÃ³n,Mouse Logitech,Transferencia,2,2268.37,152268.37</t>
  </si>
  <si>
    <t>Loreto Miguel,2025-02-20,55727.89,6729.34,General Paz,Nieves del Ortega,Placa de Video Nvidia,Transferencia,3,979.97,150979.97</t>
  </si>
  <si>
    <t>SebastiÃ¡n Palau,2024-11-01,359068.0,5572.82,San Vicente,LuÃ­s Chaparro Borja,Notebook Lenovo,Transferencia,4,7069.9,157069.9</t>
  </si>
  <si>
    <t>LeÃ³n Sala,2025-03-28,240281.76,23336.2,CÃ³rdoba Centro,Nieves del Ortega,PC Gamer,CrÃ©dito,4,4338.91,154338.91</t>
  </si>
  <si>
    <t>Ã‰dgar Jimenez,2024-10-25,379117.96,21001.57,San Vicente,LuÃ­s Chaparro Borja,Disco SSD Kingston,Transferencia,1,7162.33,157162.33</t>
  </si>
  <si>
    <t>JosÃ© Manuel Valencia,2025-03-26,104389.33,20716.98,Villa Allende,PÃ¡nfilo Montenegro Alba,Tablet Samsung,Efectivo,3,1673.45,151673.45</t>
  </si>
  <si>
    <t>Ruperto Nevado,2024-11-25,428693.38,56409.77,Nueva CÃ³rdoba,Baldomero RamÃ³n,Memoria RAM Corsair,CrÃ©dito,1,7445.67,157445.67</t>
  </si>
  <si>
    <t>MoisÃ©s Vilaplana,2025-01-03,181799.53,36697.28,Villa Allende,Paca Aramburu Luz,Monitor Samsung,Transferencia,5,2902.05,152902.05</t>
  </si>
  <si>
    <t>JosÃ© HervÃ¡s,2025-06-11,413609.63,29757.93,Alta CÃ³rdoba,Dorita Abad LujÃ¡n,Auriculares JBL,Transferencia,1,7677.03,157677.03</t>
  </si>
  <si>
    <t>Renata GuzmÃ¡n,2024-10-31,49361.83,10467.85,San Vicente,Calixta del Lago,Disco SSD Kingston,Transferencia,5,777.88,150777.88</t>
  </si>
  <si>
    <t>Balduino Laguna,2024-11-11,172600.41,29736.7,Villa Allende,Baldomero RamÃ³n,PC Gamer,Transferencia,5,2857.27,152857.27</t>
  </si>
  <si>
    <t>Dani Viana,2024-09-17,128173.69,22682.33,San Vicente,LuÃ­s Chaparro Borja,Disco SSD Kingston,Transferencia,1,2109.83,152109.83</t>
  </si>
  <si>
    <t>Camilo Pozuelo,2025-01-28,293481.38,58604.47,Alta CÃ³rdoba,LuÃ­s Chaparro Borja,Memoria RAM Corsair,Transferencia,5,4697.54,154697.54</t>
  </si>
  <si>
    <t>Enrique Cortina,2025-05-10,44162.79,4996.37,Alta CÃ³rdoba,Calixta del Lago,Memoria RAM Corsair,Efectivo,5,783.33,150783.33</t>
  </si>
  <si>
    <t>Ruy Olivera,2025-03-02,327584.82,2411.36,General Paz,Paca Aramburu Luz,Memoria RAM Corsair,Efectivo,3,6503.47,156503.47</t>
  </si>
  <si>
    <t>GermÃ¡n Quintana,2024-08-07,347565.53,3444.68,CÃ³rdoba Centro,Baldomero RamÃ³n,Placa de Video Nvidia,CrÃ©dito,2,6882.42,156882.42</t>
  </si>
  <si>
    <t>Dionisia Pizarro,2025-06-06,432668.76,91533.68,Alta CÃ³rdoba,Calixta del Lago,Monitor Samsung,CrÃ©dito,3,6822.7,156822.7</t>
  </si>
  <si>
    <t>Malena Villalonga,2024-09-19,294722.86,64797.1,Alta CÃ³rdoba,LuÃ­s Chaparro Borja,Auriculares JBL,Efectivo,5,4598.52,154598.52</t>
  </si>
  <si>
    <t>WÃ¡lter Roldan,2024-10-23,415199.32,56082.14,Nueva CÃ³rdoba,PÃ¡nfilo Montenegro Alba,Mouse Logitech,CrÃ©dito,2,7182.34,157182.34</t>
  </si>
  <si>
    <t>Ale Silva,2024-07-30,338452.06,16941.41,Alta CÃ³rdoba,Paca Aramburu Luz,Monitor Samsung,Transferencia,1,6430.21,156430.21</t>
  </si>
  <si>
    <t>Rosalinda Giner,2024-08-13,351663.62,75710.02,Villa Allende,Paca Aramburu Luz,PC Gamer,CrÃ©dito,3,5519.07,155519.07</t>
  </si>
  <si>
    <t>Pastora Morera,2024-11-25,410309.07,8186.95,Villa Allende,PÃ¡nfilo Montenegro Alba,Monitor Samsung,CrÃ©dito,3,8042.44,158042.44</t>
  </si>
  <si>
    <t>Nazaret PÃ©rez,2025-04-03,66701.72,5161.24,Alta CÃ³rdoba,InÃ©s Campo Pont,Auriculares JBL,CrÃ©dito,5,1230.81,151230.81</t>
  </si>
  <si>
    <t>Teodoro Vidal,2025-02-17,273097.09,21455.8,San Vicente,Calixta del Lago,Monitor Samsung,Transferencia,2,5032.83,155032.83</t>
  </si>
  <si>
    <t>Vilma Castillo,2025-05-09,427562.56,85611.23,San Vicente,Calixta del Lago,Auriculares JBL,Efectivo,5,6839.03,156839.03</t>
  </si>
  <si>
    <t>PÃ­o Pastor,2025-05-09,489149.55,10689.1,San Vicente,Baldomero RamÃ³n,Memoria RAM Corsair,Efectivo,3,9569.21,159569.21</t>
  </si>
  <si>
    <t>Pastor Ochoa,2024-11-22,310913.81,26462.36,San Vicente,Baldomero RamÃ³n,PC Gamer,CrÃ©dito,4,5689.03,155689.03</t>
  </si>
  <si>
    <t>Renato SÃ¡nchez,2025-03-30,75160.94,605.96,CÃ³rdoba Centro,PÃ¡nfilo Montenegro Alba,Placa de Video Nvidia,Efectivo,2,1491.1,151491.1</t>
  </si>
  <si>
    <t>Arturo Jaume,2025-05-02,332631.55,54617.41,Nueva CÃ³rdoba,Baldomero RamÃ³n,Mouse Logitech,CrÃ©dito,5,5560.28,155560.28</t>
  </si>
  <si>
    <t>Gracia Sevillano,2025-01-06,358474.59,87195.71,Nueva CÃ³rdoba,Dorita Abad LujÃ¡n,Teclado Redragon,CrÃ©dito,4,5425.58,155425.58</t>
  </si>
  <si>
    <t>SimÃ³n Palau,2025-04-21,148172.6,11706.31,Nueva CÃ³rdoba,Baldomero RamÃ³n,Tablet Samsung,Efectivo,3,2729.33,152729.33</t>
  </si>
  <si>
    <t>Liliana BertrÃ¡n,2025-04-09,96326.3,2721.98,General Paz,Nieves del Ortega,Notebook Lenovo,Efectivo,3,1872.09,151872.09</t>
  </si>
  <si>
    <t>MoisÃ©s PeÃ±alver,2025-06-21,36005.91,4118.15,San Vicente,Calixta del Lago,PC Gamer,Transferencia,4,637.76,150637.76</t>
  </si>
  <si>
    <t>Ruperta Ledesma,2025-04-11,92465.19,11240.49,General Paz,Dorita Abad LujÃ¡n,PC Gamer,CrÃ©dito,3,1624.49,151624.49</t>
  </si>
  <si>
    <t>Patricia Mariscal,2024-08-29,355243.92,3984.17,CÃ³rdoba Centro,Rosa de Bou,Monitor Samsung,CrÃ©dito,5,7025.19,157025.19</t>
  </si>
  <si>
    <t>Octavio Osorio,2024-08-22,141464.85,13058.08,San Vicente,Dorita Abad LujÃ¡n,Mouse Logitech,Efectivo,1,2568.14,152568.14</t>
  </si>
  <si>
    <t>Fernanda RÃ­os,2025-06-03,89796.93,19680.96,General Paz,Paca Aramburu Luz,Memoria RAM Corsair,Transferencia,2,1402.32,151402.32</t>
  </si>
  <si>
    <t>Edgardo Lamas,2025-06-19,457873.04,22042.0,Nueva CÃ³rdoba,Dorita Abad LujÃ¡n,PC Gamer,Transferencia,5,8716.62,158716.62</t>
  </si>
  <si>
    <t>Evita Tapia,2024-10-04,424272.33,40659.22,CÃ³rdoba Centro,Rosa de Bou,Monitor Samsung,Efectivo,3,7672.26,157672.26</t>
  </si>
  <si>
    <t>Emilio Batlle,2024-08-31,422688.67,81870.07,Alta CÃ³rdoba,InÃ©s Campo Pont,Tablet Samsung,CrÃ©dito,3,6816.37,156816.37</t>
  </si>
  <si>
    <t>Tecla Palomino,2024-10-26,266956.19,13634.7,Villa Allende,Dorita Abad LujÃ¡n,Disco SSD Kingston,Transferencia,5,5066.43,155066.43</t>
  </si>
  <si>
    <t>FÃ©lix Diaz,2024-09-16,188480.95,5938.21,General Paz,Calixta del Lago,Notebook Lenovo,CrÃ©dito,5,3650.85,153650.85</t>
  </si>
  <si>
    <t>Amelia BartolomÃ©,2025-06-06,324788.77,31952.98,Nueva CÃ³rdoba,Paca Aramburu Luz,Placa de Video Nvidia,Transferencia,3,5856.72,155856.72</t>
  </si>
  <si>
    <t>Vanesa Bayo,2025-02-16,184904.42,39187.28,CÃ³rdoba Centro,Paca Aramburu Luz,Tablet Samsung,Transferencia,5,2914.34,152914.34</t>
  </si>
  <si>
    <t>Berto Gomila,2024-10-23,398165.75,85021.72,San Vicente,Rosa de Bou,Monitor Samsung,Transferencia,2,6262.88,156262.88</t>
  </si>
  <si>
    <t>Matilde Galvez,2025-01-25,32506.58,7757.95,General Paz,Nieves del Ortega,Memoria RAM Corsair,CrÃ©dito,5,494.97,150494.97</t>
  </si>
  <si>
    <t>Reyna MillÃ¡n,2025-04-09,84721.93,4122.34,General Paz,Paca Aramburu Luz,Monitor Samsung,Efectivo,4,1611.99,151611.99</t>
  </si>
  <si>
    <t>Eladio Valencia,2025-03-02,403884.69,56727.39,San Vicente,LuÃ­s Chaparro Borja,Tablet Samsung,Efectivo,2,6943.15,156943.15</t>
  </si>
  <si>
    <t>Juanito Sanchez,2024-11-21,11699.19,2666.87,Alta CÃ³rdoba,PÃ¡nfilo Montenegro Alba,Tablet Samsung,CrÃ©dito,2,180.65,150180.65</t>
  </si>
  <si>
    <t>MÃ¡ximo Escalona,2025-01-30,330251.25,80593.19,Alta CÃ³rdoba,PÃ¡nfilo Montenegro Alba,Auriculares JBL,CrÃ©dito,3,4993.16,154993.16</t>
  </si>
  <si>
    <t>Cristian MirÃ³,2025-03-22,336158.12,45769.93,CÃ³rdoba Centro,Paca Aramburu Luz,Notebook Lenovo,Transferencia,2,5807.76,155807.76</t>
  </si>
  <si>
    <t>JosÃ© MarÃ­a Camps,2025-05-06,204724.18,33514.39,General Paz,Dorita Abad LujÃ¡n,Monitor Samsung,Efectivo,5,3424.2,153424.2</t>
  </si>
  <si>
    <t>Segismundo Recio,2025-05-30,156523.94,27769.77,General Paz,Baldomero RamÃ³n,Tablet Samsung,Transferencia,1,2575.08,152575.08</t>
  </si>
  <si>
    <t>MarÃ­a BelÃ©n Baquero,2024-08-22,41511.14,4223.99,Villa Allende,Dorita Abad LujÃ¡n,Monitor Samsung,CrÃ©dito,1,745.74,150745.74</t>
  </si>
  <si>
    <t>Aurelio CabaÃ±as,2025-05-20,285260.61,22318.78,San Vicente,Calixta del Lago,Monitor Samsung,CrÃ©dito,2,5258.84,155258.84</t>
  </si>
  <si>
    <t>Odalis ValentÃ­n,2024-10-09,221840.43,48469.09,Nueva CÃ³rdoba,LuÃ­s Chaparro Borja,Teclado Redragon,Transferencia,4,3467.43,153467.43</t>
  </si>
  <si>
    <t>Loida BarragÃ¡n,2024-08-05,233270.58,26912.57,San Vicente,Dorita Abad LujÃ¡n,Auriculares JBL,Transferencia,2,4127.16,154127.16</t>
  </si>
  <si>
    <t>Xiomara SolÃ©,2025-06-10,297850.29,70348.31,Villa Allende,Baldomero RamÃ³n,Teclado Redragon,Efectivo,5,4550.04,154550.04</t>
  </si>
  <si>
    <t>Amaya Duque,2025-05-14,403742.36,99860.48,Villa Allende,Dorita Abad LujÃ¡n,Mouse Logitech,Transferencia,5,6077.64,156077.64</t>
  </si>
  <si>
    <t>Juan Pablo Lerma,2025-03-22,398655.73,92385.97,Nueva CÃ³rdoba,PÃ¡nfilo Montenegro Alba,Disco SSD Kingston,CrÃ©dito,2,6125.4,156125.4</t>
  </si>
  <si>
    <t>Claudio CaparrÃ³s,2025-07-16,391147.94,81967.91,General Paz,Dorita Abad LujÃ¡n,Teclado Redragon,CrÃ©dito,3,6183.6,156183.6</t>
  </si>
  <si>
    <t>Marisela Gordillo,2025-01-02,129819.02,14314.34,Villa Allende,InÃ©s Campo Pont,Auriculares JBL,Transferencia,5,2310.09,152310.09</t>
  </si>
  <si>
    <t>Bernardo Escamilla,2024-07-30,193254.59,18557.99,Villa Allende,Calixta del Lago,Auriculares JBL,CrÃ©dito,3,3493.93,153493.93</t>
  </si>
  <si>
    <t>Jose Luis Carretero,2024-10-26,382375.97,67327.89,Alta CÃ³rdoba,PÃ¡nfilo Montenegro Alba,Placa de Video Nvidia,Transferencia,2,6300.96,156300.96</t>
  </si>
  <si>
    <t>Nazaret Morales,2024-10-11,327204.63,80068.91,Villa Allende,InÃ©s Campo Pont,Notebook Lenovo,CrÃ©dito,3,4942.71,154942.71</t>
  </si>
  <si>
    <t>Pepito Iglesia,2024-12-22,396229.9,40257.47,San Vicente,PÃ¡nfilo Montenegro Alba,Mouse Logitech,CrÃ©dito,3,7119.45,157119.45</t>
  </si>
  <si>
    <t>Emma Segovia,2024-09-29,334652.53,28405.34,Villa Allende,Nieves del Ortega,Disco SSD Kingston,Transferencia,4,6124.94,156124.94</t>
  </si>
  <si>
    <t>Florinda Vall,2025-03-09,206940.07,19412.2,San Vicente,Baldomero RamÃ³n,Mouse Logitech,Transferencia,2,3750.56,153750.56</t>
  </si>
  <si>
    <t>Elvira Nebot,2024-11-02,197847.69,28650.05,Villa Allende,Paca Aramburu Luz,Mouse Logitech,CrÃ©dito,5,3383.95,153383.95</t>
  </si>
  <si>
    <t>Vinicio SebastiÃ¡n,2024-11-13,488979.78,121973.39,Villa Allende,Edelmiro Valenciano-Ojeda,Mouse Logitech,Efectivo,5,7340.13,157340.13</t>
  </si>
  <si>
    <t>Rosa Peinado,2024-10-03,305263.86,38387.55,General Paz,Nieves del Ortega,PC Gamer,Efectivo,1,5337.53,155337.53</t>
  </si>
  <si>
    <t>Mario Anguita,2025-05-03,395195.0,5390.29,Nueva CÃ³rdoba,PÃ¡nfilo Montenegro Alba,Disco SSD Kingston,Transferencia,5,7796.09,157796.09</t>
  </si>
  <si>
    <t>Pepita UrÃ­a,2025-01-28,38275.91,6968.94,CÃ³rdoba Centro,Paca Aramburu Luz,Monitor Samsung,Transferencia,3,626.14,150626.14</t>
  </si>
  <si>
    <t>Macario Arana,2024-08-24,226115.79,12535.78,Villa Allende,Nieves del Ortega,Memoria RAM Corsair,CrÃ©dito,5,4271.6,154271.6</t>
  </si>
  <si>
    <t>Paca Moliner,2024-09-24,340776.46,45177.68,San Vicente,InÃ©s Campo Pont,Placa de Video Nvidia,Efectivo,5,5911.98,155911.98</t>
  </si>
  <si>
    <t>Dalila Campoy,2025-05-12,346073.9,63239.36,CÃ³rdoba Centro,Nieves del Ortega,Memoria RAM Corsair,Efectivo,2,5656.69,155656.69</t>
  </si>
  <si>
    <t>Susana Quintero,2025-02-07,205728.26,19491.68,Villa Allende,Edelmiro Valenciano-Ojeda,PC Gamer,Transferencia,4,3724.73,153724.73</t>
  </si>
  <si>
    <t>Glauco Botella,2024-08-09,126427.97,1907.59,General Paz,Nieves del Ortega,Teclado Redragon,Transferencia,4,2490.41,152490.41</t>
  </si>
  <si>
    <t>IvÃ¡n RossellÃ³,2024-09-15,211933.25,13909.77,Villa Allende,Rosa de Bou,Teclado Redragon,Transferencia,5,3960.47,153960.47</t>
  </si>
  <si>
    <t>Albano Solana,2025-05-16,392085.81,5435.39,CÃ³rdoba Centro,Paca Aramburu Luz,Disco SSD Kingston,Efectivo,2,7733.01,157733.01</t>
  </si>
  <si>
    <t>Carlito Goicoechea,2024-12-11,443208.1,91824.61,San Vicente,PÃ¡nfilo Montenegro Alba,Teclado Redragon,Transferencia,4,7027.67,157027.67</t>
  </si>
  <si>
    <t>Eva MarÃ­a Torre,2024-11-25,475415.46,61438.12,Villa Allende,Nieves del Ortega,Monitor Samsung,Transferencia,1,8279.55,158279.55</t>
  </si>
  <si>
    <t>Loreto Izquierdo,2024-11-10,447078.59,29839.71,Nueva CÃ³rdoba,PÃ¡nfilo Montenegro Alba,Tablet Samsung,Efectivo,4,8344.78,158344.78</t>
  </si>
  <si>
    <t>Alba Guitart,2025-03-08,112621.32,8215.14,Nueva CÃ³rdoba,Rosa de Bou,Notebook Lenovo,Transferencia,2,2088.12,152088.12</t>
  </si>
  <si>
    <t>BrÃ­gida Oliva,2024-09-14,221883.07,4029.13,Alta CÃ³rdoba,LuÃ­s Chaparro Borja,Monitor Samsung,Efectivo,1,4357.08,154357.08</t>
  </si>
  <si>
    <t>DamiÃ¡n Pedrero,2024-10-14,73051.01,6169.85,San Vicente,Baldomero RamÃ³n,Notebook Lenovo,CrÃ©dito,2,1337.62,151337.62</t>
  </si>
  <si>
    <t>Ignacia Rebollo,2025-06-02,350713.1,23743.31,Nueva CÃ³rdoba,Edelmiro Valenciano-Ojeda,Auriculares JBL,Efectivo,5,6539.4,156539.4</t>
  </si>
  <si>
    <t>Dimas Hoz,2025-07-11,136909.53,14129.98,Nueva CÃ³rdoba,Dorita Abad LujÃ¡n,Tablet Samsung,CrÃ©dito,1,2455.59,152455.59</t>
  </si>
  <si>
    <t>LÃ¡zaro Peinado,2024-12-28,183265.37,34593.97,Alta CÃ³rdoba,Rosa de Bou,Mouse Logitech,CrÃ©dito,4,2973.43,152973.43</t>
  </si>
  <si>
    <t>Emiliano Chaparro,2025-05-07,492166.22,46383.06,Alta CÃ³rdoba,Baldomero RamÃ³n,Placa de Video Nvidia,CrÃ©dito,4,8915.66,158915.66</t>
  </si>
  <si>
    <t>Prudencia LlabrÃ©s,2024-11-08,436997.61,21529.97,CÃ³rdoba Centro,LuÃ­s Chaparro Borja,Auriculares JBL,CrÃ©dito,5,8309.35,158309.35</t>
  </si>
  <si>
    <t>GermÃ¡n Iborra,2024-09-14,76104.04,8142.52,Nueva CÃ³rdoba,Rosa de Bou,Tablet Samsung,Efectivo,2,1359.23,151359.23</t>
  </si>
  <si>
    <t>Delfina Ariza,2024-11-20,421676.83,58737.9,San Vicente,PÃ¡nfilo Montenegro Alba,Monitor Samsung,CrÃ©dito,5,7258.78,157258.78</t>
  </si>
  <si>
    <t>Armando Alberola,2025-03-20,282796.06,19875.41,Nueva CÃ³rdoba,Edelmiro Valenciano-Ojeda,Memoria RAM Corsair,Transferencia,1,5258.41,155258.41</t>
  </si>
  <si>
    <t>Teo Pedrosa,2025-04-24,91790.29,3989.49,Villa Allende,Nieves del Ortega,Notebook Lenovo,CrÃ©dito,5,1756.02,151756.02</t>
  </si>
  <si>
    <t>Amado AntÃºnez,2024-10-21,437743.87,63679.4,Alta CÃ³rdoba,Baldomero RamÃ³n,Placa de Video Nvidia,Efectivo,1,7481.29,157481.29</t>
  </si>
  <si>
    <t>Gervasio Palacios,2025-07-22,489983.7,21772.36,CÃ³rdoba Centro,Paca Aramburu Luz,Auriculares JBL,Efectivo,2,9364.23,159364.23</t>
  </si>
  <si>
    <t>Telmo Colomer,2024-08-25,58032.94,12198.94,CÃ³rdoba Centro,Calixta del Lago,Monitor Samsung,Transferencia,5,916.68,150916.68</t>
  </si>
  <si>
    <t>Samuel Plana,2025-05-27,475626.44,3509.18,General Paz,Calixta del Lago,Placa de Video Nvidia,Transferencia,3,9442.35,159442.35</t>
  </si>
  <si>
    <t>Vilma SÃ¡ez,2025-02-13,261841.35,52599.4,Villa Allende,Nieves del Ortega,Auriculares JBL,Transferencia,3,4184.84,154184.84</t>
  </si>
  <si>
    <t>Sebastian Gonzalez,2024-12-14,452429.42,43213.14,San Vicente,InÃ©s Campo Pont,Placa de Video Nvidia,Transferencia,4,8184.33,158184.33</t>
  </si>
  <si>
    <t>Paloma EscrivÃ¡,2024-12-10,22801.72,1868.42,San Vicente,Edelmiro Valenciano-Ojeda,PC Gamer,Efectivo,1,418.67,150418.67</t>
  </si>
  <si>
    <t>Ariadna Somoza,2025-02-27,119280.38,14825.34,San Vicente,Rosa de Bou,Notebook Lenovo,CrÃ©dito,5,2089.1,152089.1</t>
  </si>
  <si>
    <t>Isabel Noguera,2025-02-15,16448.63,2788.19,Alta CÃ³rdoba,LuÃ­s Chaparro Borja,Teclado Redragon,CrÃ©dito,2,273.21,150273.21</t>
  </si>
  <si>
    <t>Dulce Aliaga,2025-05-16,10126.96,1264.97,Nueva CÃ³rdoba,Calixta del Lago,Mouse Logitech,CrÃ©dito,4,177.24,150177.24</t>
  </si>
  <si>
    <t>Hector Casares,2024-12-23,164656.44,33858.85,San Vicente,Edelmiro Valenciano-Ojeda,PC Gamer,Transferencia,4,2615.95,152615.95</t>
  </si>
  <si>
    <t>Dani PeÃ±as,2024-12-26,56414.48,12102.24,Villa Allende,Dorita Abad LujÃ¡n,Auriculares JBL,Efectivo,1,886.24,150886.24</t>
  </si>
  <si>
    <t>Florentino Vicente,2024-09-30,372531.53,27478.41,San Vicente,Dorita Abad LujÃ¡n,Teclado Redragon,CrÃ©dito,5,6901.06,156901.06</t>
  </si>
  <si>
    <t>Virgilio MÃ¡rquez,2024-09-20,284634.29,17595.45,Alta CÃ³rdoba,LuÃ­s Chaparro Borja,Teclado Redragon,CrÃ©dito,4,5340.78,155340.78</t>
  </si>
  <si>
    <t>Sara Gargallo,2024-07-31,381324.42,66774.0,Alta CÃ³rdoba,InÃ©s Campo Pont,Disco SSD Kingston,CrÃ©dito,3,6291.01,156291.01</t>
  </si>
  <si>
    <t>Hilario Tena,2024-11-16,90631.62,12284.02,General Paz,Rosa de Bou,Memoria RAM Corsair,Transferencia,3,1566.95,151566.95</t>
  </si>
  <si>
    <t>Mar Girona,2025-01-24,14854.39,920.59,General Paz,Rosa de Bou,Placa de Video Nvidia,Efectivo,4,278.68,150278.68</t>
  </si>
  <si>
    <t>Flavia Garmendia,2024-09-30,21371.72,1675.7,Alta CÃ³rdoba,InÃ©s Campo Pont,Placa de Video Nvidia,Efectivo,1,393.92,150393.92</t>
  </si>
  <si>
    <t>Vasco Fortuny,2025-03-10,227997.0,40133.88,Villa Allende,LuÃ­s Chaparro Borja,Teclado Redragon,Efectivo,4,3757.26,153757.26</t>
  </si>
  <si>
    <t>Macaria Rey,2024-10-15,412091.59,62891.54,General Paz,Nieves del Ortega,Memoria RAM Corsair,Efectivo,5,6984.0,156984.0</t>
  </si>
  <si>
    <t>Ãurea Vaquero,2024-10-25,448895.41,56211.78,Alta CÃ³rdoba,Edelmiro Valenciano-Ojeda,Auriculares JBL,CrÃ©dito,3,7853.67,157853.67</t>
  </si>
  <si>
    <t>Lope Folch,2025-04-08,139375.22,27425.94,General Paz,Edelmiro Valenciano-Ojeda,Auriculares JBL,CrÃ©dito,3,2238.99,152238.99</t>
  </si>
  <si>
    <t>Joan Reyes,2025-01-10,218933.67,26998.46,CÃ³rdoba Centro,Dorita Abad LujÃ¡n,Auriculares JBL,CrÃ©dito,3,3838.7,153838.7</t>
  </si>
  <si>
    <t>Corona Merino,2025-06-15,165747.38,39493.58,Villa Allende,InÃ©s Campo Pont,Memoria RAM Corsair,Transferencia,3,2525.08,152525.08</t>
  </si>
  <si>
    <t>Gabino Pellicer,2024-10-26,164236.95,32140.63,Alta CÃ³rdoba,Rosa de Bou,Disco SSD Kingston,Transferencia,4,2641.93,152641.93</t>
  </si>
  <si>
    <t>Calista Clavero,2024-07-31,172688.39,18889.53,General Paz,Baldomero RamÃ³n,Memoria RAM Corsair,CrÃ©dito,1,3075.98,153075.98</t>
  </si>
  <si>
    <t>Guadalupe Escamilla,2025-05-31,364005.46,84306.86,Alta CÃ³rdoba,PÃ¡nfilo Montenegro Alba,Auriculares JBL,CrÃ©dito,2,5593.97,155593.97</t>
  </si>
  <si>
    <t>FÃ©lix Pera,2024-10-19,454772.8,103701.15,General Paz,InÃ©s Campo Pont,Mouse Logitech,CrÃ©dito,4,7021.43,157021.43</t>
  </si>
  <si>
    <t>Nadia Sabater,2025-04-07,70721.81,1767.38,San Vicente,LuÃ­s Chaparro Borja,Mouse Logitech,Transferencia,2,1379.09,151379.09</t>
  </si>
  <si>
    <t>Lino Cortes,2025-07-11,243511.97,21211.43,Alta CÃ³rdoba,Dorita Abad LujÃ¡n,Notebook Lenovo,CrÃ©dito,2,4446.01,154446.01</t>
  </si>
  <si>
    <t>Rodolfo Gras,2025-03-15,150804.42,8193.66,CÃ³rdoba Centro,Rosa de Bou,Tablet Samsung,CrÃ©dito,2,2852.22,152852.22</t>
  </si>
  <si>
    <t>Tere Ãlvarez,2025-06-21,463068.27,13663.7,General Paz,Dorita Abad LujÃ¡n,Placa de Video Nvidia,Transferencia,1,8988.09,158988.09</t>
  </si>
  <si>
    <t>Kike Castell,2024-10-25,491256.85,71849.95,San Vicente,Calixta del Lago,Monitor Samsung,Transferencia,3,8388.14,158388.14</t>
  </si>
  <si>
    <t>ToÃ±o NarvÃ¡ez,2025-06-29,171304.98,42366.25,Villa Allende,Dorita Abad LujÃ¡n,PC Gamer,Efectivo,5,2578.77,152578.77</t>
  </si>
  <si>
    <t>Eva Correa,2025-04-10,405682.11,8079.95,Alta CÃ³rdoba,Paca Aramburu Luz,Tablet Samsung,Efectivo,3,7952.04,157952.04</t>
  </si>
  <si>
    <t>Leocadia Perera,2024-08-31,167810.89,35565.57,San Vicente,Paca Aramburu Luz,Monitor Samsung,Efectivo,5,2644.91,152644.91</t>
  </si>
  <si>
    <t>CristÃ³bal Santamaria,2024-09-15,173397.12,1140.37,Nueva CÃ³rdoba,Edelmiro Valenciano-Ojeda,Placa de Video Nvidia,CrÃ©dito,1,3445.14,153445.14</t>
  </si>
  <si>
    <t>Nereida AmigÃ³,2024-08-01,355787.69,22345.15,General Paz,Paca Aramburu Luz,Auriculares JBL,CrÃ©dito,3,6668.85,156668.85</t>
  </si>
  <si>
    <t>MarÃ­a Ãngeles Conesa,2024-11-16,327165.6,45943.8,Alta CÃ³rdoba,Nieves del Ortega,Mouse Logitech,Efectivo,4,5624.44,155624.44</t>
  </si>
  <si>
    <t>SebastiÃ¡n Tomas,2025-01-30,75476.39,10410.23,San Vicente,Edelmiro Valenciano-Ojeda,Tablet Samsung,CrÃ©dito,5,1301.32,151301.32</t>
  </si>
  <si>
    <t>Loreto Duque,2025-07-23,33717.79,1446.49,Alta CÃ³rdoba,LuÃ­s Chaparro Borja,Monitor Samsung,Efectivo,4,645.43,150645.43</t>
  </si>
  <si>
    <t>EspiridiÃ³n Bonet,2024-11-18,362851.57,3420.77,San Vicente,Calixta del Lago,Mouse Logitech,CrÃ©dito,1,7188.62,157188.62</t>
  </si>
  <si>
    <t>Priscila Gallart,2025-07-20,99560.65,5376.02,Villa Allende,Paca Aramburu Luz,Teclado Redragon,Efectivo,5,1883.69,151883.69</t>
  </si>
  <si>
    <t>Felicidad CarbÃ³,2024-10-13,57457.06,5161.84,General Paz,Rosa de Bou,Monitor Samsung,Transferencia,5,1045.9,151045.9</t>
  </si>
  <si>
    <t>CÃ¡ndido Corbacho,2024-10-02,339397.84,39242.08,General Paz,Paca Aramburu Luz,Memoria RAM Corsair,Efectivo,3,6003.12,156003.12</t>
  </si>
  <si>
    <t>Renata Valbuena,2025-02-17,187371.55,43229.08,Alta CÃ³rdoba,Calixta del Lago,Memoria RAM Corsair,Efectivo,5,2882.85,152882.85</t>
  </si>
  <si>
    <t>AscensiÃ³n AlemÃ¡n,2025-02-18,420343.25,83777.21,CÃ³rdoba Centro,Rosa de Bou,Teclado Redragon,Transferencia,1,6731.32,156731.32</t>
  </si>
  <si>
    <t>Olegario Arco,2025-06-05,364590.56,5155.1,Alta CÃ³rdoba,Dorita Abad LujÃ¡n,Placa de Video Nvidia,Transferencia,4,7188.71,157188.71</t>
  </si>
  <si>
    <t>Alba Campo,2024-09-27,232396.73,19663.76,Nueva CÃ³rdoba,Baldomero RamÃ³n,Teclado Redragon,CrÃ©dito,3,4254.66,154254.66</t>
  </si>
  <si>
    <t>Demetrio CabaÃ±as,2024-12-10,92667.84,12824.72,General Paz,Baldomero RamÃ³n,Tablet Samsung,CrÃ©dito,2,1596.86,151596.86</t>
  </si>
  <si>
    <t>Prudencio ExpÃ³sito,2025-03-14,345702.41,45211.28,San Vicente,Calixta del Lago,Placa de Video Nvidia,CrÃ©dito,2,6009.82,156009.82</t>
  </si>
  <si>
    <t>Ceferino Cortes,2024-11-30,118582.83,20039.09,Alta CÃ³rdoba,Paca Aramburu Luz,Disco SSD Kingston,Transferencia,5,1970.87,151970.87</t>
  </si>
  <si>
    <t>Nilda Cases,2025-05-11,308718.18,25730.7,Nueva CÃ³rdoba,Paca Aramburu Luz,PC Gamer,Efectivo,2,5659.75,155659.75</t>
  </si>
  <si>
    <t>Maricela SuÃ¡rez,2025-07-13,44834.01,9738.38,Nueva CÃ³rdoba,Paca Aramburu Luz,Monitor Samsung,Efectivo,5,701.91,150701.91</t>
  </si>
  <si>
    <t>Mercedes Moles,2024-09-16,222140.9,43583.22,Nueva CÃ³rdoba,Calixta del Lago,Tablet Samsung,Efectivo,3,3571.15,153571.15</t>
  </si>
  <si>
    <t>Pelayo Carbajo,2025-02-15,456542.66,7504.55,Nueva CÃ³rdoba,Rosa de Bou,Tablet Samsung,Efectivo,3,8980.76,158980.76</t>
  </si>
  <si>
    <t>GastÃ³n Noriega,2024-10-27,238375.59,14122.34,Villa Allende,PÃ¡nfilo Montenegro Alba,PC Gamer,Efectivo,5,4485.07,154485.07</t>
  </si>
  <si>
    <t>Rogelio Ramos,2025-06-14,10571.55,1492.21,San Vicente,Rosa de Bou,Auriculares JBL,CrÃ©dito,5,181.59,150181.59</t>
  </si>
  <si>
    <t>NoemÃ­ Sotelo,2024-08-25,401283.86,53910.56,Nueva CÃ³rdoba,PÃ¡nfilo Montenegro Alba,PC Gamer,CrÃ©dito,5,6947.47,156947.47</t>
  </si>
  <si>
    <t>Trini Bernat,2024-08-28,99938.68,2145.88,Nueva CÃ³rdoba,LuÃ­s Chaparro Borja,Tablet Samsung,Transferencia,2,1955.86,151955.86</t>
  </si>
  <si>
    <t>Luisina Oliveras,2024-09-03,441565.05,10156.62,General Paz,Rosa de Bou,Placa de Video Nvidia,Efectivo,1,8628.17,158628.17</t>
  </si>
  <si>
    <t>Anselma Viana,2025-05-04,250744.06,5311.06,San Vicente,Baldomero RamÃ³n,Teclado Redragon,Transferencia,2,4908.66,154908.66</t>
  </si>
  <si>
    <t>Samu GimÃ©nez,2024-09-07,165132.31,28709.25,Nueva CÃ³rdoba,InÃ©s Campo Pont,Monitor Samsung,CrÃ©dito,4,2728.46,152728.46</t>
  </si>
  <si>
    <t>Margarita Gilabert,2025-04-12,468714.18,5018.61,Alta CÃ³rdoba,LuÃ­s Chaparro Borja,Memoria RAM Corsair,CrÃ©dito,2,9273.91,159273.91</t>
  </si>
  <si>
    <t>Santos Ãlamo,2025-03-24,371103.29,82732.59,General Paz,Baldomero RamÃ³n,Monitor Samsung,CrÃ©dito,1,5767.41,155767.41</t>
  </si>
  <si>
    <t>Iker Agudo,2024-07-29,310712.81,19554.11,CÃ³rdoba Centro,Nieves del Ortega,PC Gamer,Transferencia,4,5823.17,155823.17</t>
  </si>
  <si>
    <t>RubÃ©n Armengol,2025-06-14,445014.36,80768.81,General Paz,Calixta del Lago,Teclado Redragon,Efectivo,4,7284.91,157284.91</t>
  </si>
  <si>
    <t>MarÃ­a Ãngeles Santiago,2025-01-18,77891.86,14418.67,Nueva CÃ³rdoba,Baldomero RamÃ³n,Notebook Lenovo,CrÃ©dito,5,1269.46,151269.46</t>
  </si>
  <si>
    <t>Emilio Cortina,2024-11-25,91307.62,2598.78,Villa Allende,Paca Aramburu Luz,Teclado Redragon,Transferencia,3,1774.18,151774.18</t>
  </si>
  <si>
    <t>Calista Alvarado,2024-12-22,477660.63,76067.64,Villa Allende,Baldomero RamÃ³n,Auriculares JBL,Transferencia,4,8031.86,158031.86</t>
  </si>
  <si>
    <t>Evelia Mancebo,2024-08-03,347327.53,43691.76,Alta CÃ³rdoba,Rosa de Bou,Monitor Samsung,Efectivo,4,6072.72,156072.72</t>
  </si>
  <si>
    <t>Edelmira GascÃ³n,2024-08-30,15305.62,207.83,Villa Allende,PÃ¡nfilo Montenegro Alba,Auriculares JBL,CrÃ©dito,5,301.96,150301.96</t>
  </si>
  <si>
    <t>Almudena Muro,2025-04-09,107328.4,10339.04,General Paz,Dorita Abad LujÃ¡n,Mouse Logitech,Efectivo,1,1939.79,151939.79</t>
  </si>
  <si>
    <t>Filomena Vilaplana,2024-12-28,72060.43,6801.09,Villa Allende,PÃ¡nfilo Montenegro Alba,Auriculares JBL,Transferencia,2,1305.19,151305.19</t>
  </si>
  <si>
    <t>Tomasa Morante,2024-10-17,27800.73,83.29,CÃ³rdoba Centro,InÃ©s Campo Pont,Monitor Samsung,Transferencia,5,554.35,150554.35</t>
  </si>
  <si>
    <t>Nazario Mateos,2025-05-31,324268.53,41905.72,General Paz,Calixta del Lago,Auriculares JBL,CrÃ©dito,1,5647.26,155647.26</t>
  </si>
  <si>
    <t>Jenaro BenÃ­tez,2024-08-31,461135.77,103967.79,Villa Allende,PÃ¡nfilo Montenegro Alba,Mouse Logitech,Efectivo,3,7143.36,157143.36</t>
  </si>
  <si>
    <t>Marisa Poza,2024-12-01,163133.97,36420.82,Nueva CÃ³rdoba,Rosa de Bou,Tablet Samsung,Efectivo,3,2534.26,152534.26</t>
  </si>
  <si>
    <t>ToÃ±o BorrÃ¡s,2024-09-19,439597.49,31763.44,General Paz,Baldomero RamÃ³n,PC Gamer,CrÃ©dito,3,8156.68,158156.68</t>
  </si>
  <si>
    <t>Alejo Gallo,2025-04-04,11000.03,1650.32,San Vicente,LuÃ­s Chaparro Borja,Notebook Lenovo,Transferencia,4,186.99,150186.99</t>
  </si>
  <si>
    <t>FÃ©lix AlarcÃ³n,2025-05-03,466583.05,15901.32,CÃ³rdoba Centro,PÃ¡nfilo Montenegro Alba,Notebook Lenovo,CrÃ©dito,2,9013.63,159013.63</t>
  </si>
  <si>
    <t>Alcides Morata,2025-06-15,152582.5,11881.03,Alta CÃ³rdoba,Rosa de Bou,Tablet Samsung,Efectivo,4,2814.03,152814.03</t>
  </si>
  <si>
    <t>Concha FarrÃ©,2024-08-28,429554.54,31299.1,General Paz,Rosa de Bou,Monitor Samsung,Transferencia,3,7965.11,157965.11</t>
  </si>
  <si>
    <t>Leire AragonÃ©s,2025-03-09,408875.44,3558.33,San Vicente,Paca Aramburu Luz,Tablet Samsung,CrÃ©dito,3,8106.34,158106.34</t>
  </si>
  <si>
    <t>Federico Hoyos,2025-01-22,60952.65,13318.4,San Vicente,Paca Aramburu Luz,Mouse Logitech,Efectivo,4,952.69,150952.69</t>
  </si>
  <si>
    <t>Leire Miguel,2024-12-30,463036.06,30477.46,General Paz,Baldomero RamÃ³n,Memoria RAM Corsair,Efectivo,3,8651.17,158651.17</t>
  </si>
  <si>
    <t>Raquel Quintero,2025-02-17,286344.99,1920.04,Alta CÃ³rdoba,Paca Aramburu Luz,Tablet Samsung,CrÃ©dito,3,5688.5,155688.5</t>
  </si>
  <si>
    <t>Martina Pozuelo,2024-11-19,290680.82,44069.03,Alta CÃ³rdoba,Edelmiro Valenciano-Ojeda,Tablet Samsung,Transferencia,5,4932.24,154932.24</t>
  </si>
  <si>
    <t>Feliciano Mayoral,2024-11-07,299961.12,20101.6,San Vicente,Baldomero RamÃ³n,Auriculares JBL,Transferencia,2,5597.19,155597.19</t>
  </si>
  <si>
    <t>Claudia Perales,2025-07-20,69312.6,527.63,San Vicente,Calixta del Lago,Mouse Logitech,CrÃ©dito,3,1375.7,151375.7</t>
  </si>
  <si>
    <t>BernabÃ© GÃ³mez,2025-05-31,124830.78,19015.64,General Paz,Paca Aramburu Luz,Tablet Samsung,Transferencia,3,2116.3,152116.3</t>
  </si>
  <si>
    <t>Emperatriz Castro,2025-06-12,213594.73,21198.01,Villa Allende,Nieves del Ortega,Tablet Samsung,Efectivo,3,3847.93,153847.93</t>
  </si>
  <si>
    <t>Carmelo Pablo,2024-11-13,447130.32,26080.44,CÃ³rdoba Centro,PÃ¡nfilo Montenegro Alba,Auriculares JBL,Efectivo,3,8421.0,158421.0</t>
  </si>
  <si>
    <t>RocÃ­o Calleja,2025-01-27,260153.33,3054.96,San Vicente,PÃ¡nfilo Montenegro Alba,Auriculares JBL,Efectivo,1,5141.97,155141.97</t>
  </si>
  <si>
    <t>Santos Feliu,2025-02-06,59497.03,3357.09,General Paz,LuÃ­s Chaparro Borja,Mouse Logitech,Efectivo,2,1122.8,151122.8</t>
  </si>
  <si>
    <t>Ofelia Lerma,2024-10-25,377099.99,45991.98,Villa Allende,Edelmiro Valenciano-Ojeda,Disco SSD Kingston,Transferencia,4,6622.16,156622.16</t>
  </si>
  <si>
    <t>Graciela Baena,2024-11-21,483500.73,17716.91,CÃ³rdoba Centro,Dorita Abad LujÃ¡n,Memoria RAM Corsair,Transferencia,5,9315.68,159315.68</t>
  </si>
  <si>
    <t>PacÃ­fica Pintor,2025-03-09,393990.29,62705.58,CÃ³rdoba Centro,PÃ¡nfilo Montenegro Alba,Notebook Lenovo,Transferencia,4,6625.69,156625.69</t>
  </si>
  <si>
    <t>MarÃ­a BelÃ©n GÃ³mez,2024-09-13,163570.76,33411.42,CÃ³rdoba Centro,Edelmiro Valenciano-Ojeda,Placa de Video Nvidia,Efectivo,2,2603.19,152603.19</t>
  </si>
  <si>
    <t>Gustavo Diez,2024-11-08,291965.34,64928.0,General Paz,InÃ©s Campo Pont,Auriculares JBL,Efectivo,3,4540.75,154540.75</t>
  </si>
  <si>
    <t>Juan Antonio Bru,2025-03-31,211472.85,19895.3,General Paz,LuÃ­s Chaparro Borja,Mouse Logitech,Efectivo,2,3831.55,153831.55</t>
  </si>
  <si>
    <t>Casandra CalderÃ³n,2025-05-28,384166.19,71389.49,San Vicente,Rosa de Bou,Teclado Redragon,Efectivo,2,6255.53,156255.53</t>
  </si>
  <si>
    <t>MarÃ­a Trillo,2025-02-20,413591.93,88650.47,San Vicente,LuÃ­s Chaparro Borja,Placa de Video Nvidia,CrÃ©dito,3,6498.83,156498.83</t>
  </si>
  <si>
    <t>ValentÃ­n RÃ­o,2024-08-02,440725.67,52972.04,San Vicente,Baldomero RamÃ³n,Placa de Video Nvidia,CrÃ©dito,3,7755.07,157755.07</t>
  </si>
  <si>
    <t>Narcisa Marco,2025-03-30,222082.51,3380.62,San Vicente,Dorita Abad LujÃ¡n,Monitor Samsung,Efectivo,2,4374.04,154374.04</t>
  </si>
  <si>
    <t>Rodolfo BÃ¡ez,2025-07-02,219572.49,54096.97,General Paz,InÃ©s Campo Pont,Placa de Video Nvidia,CrÃ©dito,4,3309.51,153309.51</t>
  </si>
  <si>
    <t>Primitivo FerrÃ¡n,2024-12-18,162424.71,16839.26,Villa Allende,PÃ¡nfilo Montenegro Alba,Memoria RAM Corsair,CrÃ©dito,2,2911.71,152911.71</t>
  </si>
  <si>
    <t>Valerio Leiva,2025-03-29,46626.63,4344.12,Nueva CÃ³rdoba,Edelmiro Valenciano-Ojeda,PC Gamer,CrÃ©dito,4,845.65,150845.65</t>
  </si>
  <si>
    <t>Reina SuÃ¡rez,2024-08-27,23568.66,1323.42,San Vicente,Dorita Abad LujÃ¡n,Teclado Redragon,Efectivo,4,444.9,150444.9</t>
  </si>
  <si>
    <t>Felipe Rey,2025-07-24,363313.03,2737.38,Nueva CÃ³rdoba,Calixta del Lago,PC Gamer,Efectivo,3,7211.51,157211.51</t>
  </si>
  <si>
    <t>Hugo Reyes,2025-01-28,398270.84,3269.35,San Vicente,Dorita Abad LujÃ¡n,Disco SSD Kingston,Efectivo,3,7900.03,157900.03</t>
  </si>
  <si>
    <t>Eric Roma,2025-04-01,446227.0,105153.79,CÃ³rdoba Centro,Dorita Abad LujÃ¡n,Monitor Samsung,CrÃ©dito,2,6821.46,156821.46</t>
  </si>
  <si>
    <t>Mar Riera,2025-01-23,486893.24,61423.93,Alta CÃ³rdoba,Nieves del Ortega,Teclado Redragon,Efectivo,3,8509.39,158509.39</t>
  </si>
  <si>
    <t>Ruy Adadia,2025-07-14,203682.93,48002.89,General Paz,Nieves del Ortega,Memoria RAM Corsair,Transferencia,3,3113.6,153113.6</t>
  </si>
  <si>
    <t>Loreto Romeu,2025-01-13,255715.76,2860.54,Nueva CÃ³rdoba,Baldomero RamÃ³n,PC Gamer,Transferencia,1,5057.1,155057.1</t>
  </si>
  <si>
    <t>Borja Solsona,2025-06-08,330244.98,27266.73,General Paz,LuÃ­s Chaparro Borja,Memoria RAM Corsair,Transferencia,4,6059.57,156059.57</t>
  </si>
  <si>
    <t>Narcisa Tapia,2025-04-23,494450.85,81169.83,CÃ³rdoba Centro,LuÃ­s Chaparro Borja,PC Gamer,Transferencia,4,8265.62,158265.62</t>
  </si>
  <si>
    <t>Edu Andres,2025-05-03,22580.41,5284.75,CÃ³rdoba Centro,Nieves del Ortega,Teclado Redragon,CrÃ©dito,1,345.91,150345.91</t>
  </si>
  <si>
    <t>Estrella Molina,2024-10-10,55957.52,10332.56,San Vicente,Baldomero RamÃ³n,Notebook Lenovo,CrÃ©dito,2,912.5,150912.5</t>
  </si>
  <si>
    <t>Lupe Carnero,2025-05-17,16748.67,3732.13,San Vicente,Calixta del Lago,Auriculares JBL,Efectivo,5,260.33,150260.33</t>
  </si>
  <si>
    <t>Lucila Izquierdo,2024-12-29,467045.85,21986.47,Alta CÃ³rdoba,Dorita Abad LujÃ¡n,Monitor Samsung,Transferencia,5,8901.19,158901.19</t>
  </si>
  <si>
    <t>Jose Miguel Molins,2024-10-06,362735.67,53172.09,San Vicente,Edelmiro Valenciano-Ojeda,Notebook Lenovo,Transferencia,2,6191.27,156191.27</t>
  </si>
  <si>
    <t>Che CarreÃ±o,2024-10-19,45341.07,6587.34,General Paz,Calixta del Lago,Teclado Redragon,CrÃ©dito,3,775.07,150775.07</t>
  </si>
  <si>
    <t>JuliÃ¡n Almansa,2024-08-30,271859.37,38436.25,Villa Allende,Paca Aramburu Luz,Auriculares JBL,Efectivo,4,4668.46,154668.46</t>
  </si>
  <si>
    <t>PÃ¡nfilo PeirÃ³,2025-01-28,396113.41,60055.78,San Vicente,Paca Aramburu Luz,Notebook Lenovo,Efectivo,5,6721.15,156721.15</t>
  </si>
  <si>
    <t>Noelia TÃ©llez,2025-01-10,384417.46,38987.4,Nueva CÃ³rdoba,InÃ©s Campo Pont,Placa de Video Nvidia,Efectivo,5,6908.6,156908.6</t>
  </si>
  <si>
    <t>Julio CÃ¡rdenas,2025-02-09,62986.03,13064.72,CÃ³rdoba Centro,Paca Aramburu Luz,Auriculares JBL,Efectivo,2,998.43,150998.43</t>
  </si>
  <si>
    <t>Sara Andreu,2025-06-02,339714.48,14078.07,Villa Allende,Calixta del Lago,Placa de Video Nvidia,CrÃ©dito,3,6512.73,156512.73</t>
  </si>
  <si>
    <t>PlÃ¡cido ArÃ©valo,2024-09-14,152577.36,13694.22,San Vicente,Nieves del Ortega,Disco SSD Kingston,Efectivo,5,2777.66,152777.66</t>
  </si>
  <si>
    <t>Socorro Benitez,2025-01-08,291576.28,41312.4,San Vicente,Edelmiro Valenciano-Ojeda,Monitor Samsung,CrÃ©dito,3,5005.28,155005.28</t>
  </si>
  <si>
    <t>Fernanda Aznar,2025-02-20,208743.19,40700.07,Villa Allende,Calixta del Lago,Mouse Logitech,CrÃ©dito,4,3360.86,153360.86</t>
  </si>
  <si>
    <t>Anastasio PallarÃ¨s,2025-01-14,160268.2,8231.08,Villa Allende,InÃ©s Campo Pont,Tablet Samsung,CrÃ©dito,4,3040.74,153040.74</t>
  </si>
  <si>
    <t>MÃ³nica Landa,2025-06-15,379769.27,62028.03,General Paz,Baldomero RamÃ³n,Tablet Samsung,Transferencia,3,6354.82,156354.82</t>
  </si>
  <si>
    <t>Estrella Sabater,2025-06-28,247202.07,31872.13,San Vicente,Calixta del Lago,Disco SSD Kingston,Transferencia,1,4306.6,154306.6</t>
  </si>
  <si>
    <t>Jacobo GÃ³mez,2025-05-21,204247.54,48706.38,Nueva CÃ³rdoba,Edelmiro Valenciano-Ojeda,Teclado Redragon,Efectivo,5,3110.82,153110.82</t>
  </si>
  <si>
    <t>Emilio Rebollo,2025-01-01,318999.49,31747.29,Alta CÃ³rdoba,Baldomero RamÃ³n,Disco SSD Kingston,CrÃ©dito,2,5745.04,155745.04</t>
  </si>
  <si>
    <t>Cipriano Anaya,2025-05-10,347312.87,84900.97,Nueva CÃ³rdoba,Paca Aramburu Luz,Monitor Samsung,Transferencia,4,5248.24,155248.24</t>
  </si>
  <si>
    <t>JosÃ© Antonio Mayo,2025-02-26,35715.82,6034.72,General Paz,Rosa de Bou,Memoria RAM Corsair,CrÃ©dito,2,593.62,150593.62</t>
  </si>
  <si>
    <t>Sabas Collado,2025-04-08,66316.98,9965.0,San Vicente,Dorita Abad LujÃ¡n,Disco SSD Kingston,Efectivo,4,1127.04,151127.04</t>
  </si>
  <si>
    <t>Amado Bilbao,2024-10-30,213164.94,36535.2,Alta CÃ³rdoba,Dorita Abad LujÃ¡n,Tablet Samsung,Efectivo,3,3532.59,153532.59</t>
  </si>
  <si>
    <t>Elena Aguirre,2024-11-23,356602.84,36269.96,Nueva CÃ³rdoba,Calixta del Lago,PC Gamer,Transferencia,2,6406.66,156406.66</t>
  </si>
  <si>
    <t>Gaspar EcheverrÃ­a,2024-09-26,344855.25,19425.13,Villa Allende,InÃ©s Campo Pont,PC Gamer,CrÃ©dito,1,6508.6,156508.6</t>
  </si>
  <si>
    <t>Roberto Rosales,2024-08-20,248424.05,36313.35,General Paz,Rosa de Bou,Memoria RAM Corsair,CrÃ©dito,5,4242.21,154242.21</t>
  </si>
  <si>
    <t>Nadia FernÃ¡ndez,2024-11-27,391905.14,50623.01,Alta CÃ³rdoba,LuÃ­s Chaparro Borja,Auriculares JBL,CrÃ©dito,4,6825.64,156825.64</t>
  </si>
  <si>
    <t>Ruy FernÃ¡ndez,2025-04-22,178495.13,26439.42,CÃ³rdoba Centro,Calixta del Lago,Teclado Redragon,Transferencia,5,3041.11,153041.11</t>
  </si>
  <si>
    <t>Aroa Cueto,2025-04-16,475543.8,107100.35,Villa Allende,Nieves del Ortega,PC Gamer,CrÃ©dito,2,7368.87,157368.87</t>
  </si>
  <si>
    <t>Angelita Palomares,2025-01-01,147418.35,35004.59,Alta CÃ³rdoba,LuÃ­s Chaparro Borja,Auriculares JBL,Efectivo,1,2248.28,152248.28</t>
  </si>
  <si>
    <t>Celia Goicoechea,2024-09-23,340697.91,40102.05,CÃ³rdoba Centro,LuÃ­s Chaparro Borja,Mouse Logitech,CrÃ©dito,1,6011.92,156011.92</t>
  </si>
  <si>
    <t>MoisÃ©s Torre,2025-01-11,357488.13,85566.0,San Vicente,Nieves del Ortega,Memoria RAM Corsair,CrÃ©dito,1,5438.44,155438.44</t>
  </si>
  <si>
    <t>BÃ¡rbara MÃºÃ±iz,2025-04-13,43601.14,4376.13,San Vicente,Nieves del Ortega,Disco SSD Kingston,Transferencia,3,784.5,150784.5</t>
  </si>
  <si>
    <t>Alonso Esparza,2025-04-03,494539.73,77834.68,San Vicente,Calixta del Lago,Monitor Samsung,Efectivo,1,8334.1,158334.1</t>
  </si>
  <si>
    <t>Juan Carlos Velasco,2025-01-15,301575.86,27198.23,General Paz,Paca Aramburu Luz,Disco SSD Kingston,Efectivo,2,5487.55,155487.55</t>
  </si>
  <si>
    <t>Tiburcio LladÃ³,2025-03-02,420756.84,31022.51,Villa Allende,PÃ¡nfilo Montenegro Alba,Monitor Samsung,Efectivo,3,7794.69,157794.69</t>
  </si>
  <si>
    <t>Eloy Lobo,2025-02-21,360018.14,524.3,CÃ³rdoba Centro,InÃ©s Campo Pont,Memoria RAM Corsair,Transferencia,4,7189.88,157189.88</t>
  </si>
  <si>
    <t>Concha Sabater,2025-03-04,284794.81,5101.67,Nueva CÃ³rdoba,Baldomero RamÃ³n,Auriculares JBL,CrÃ©dito,3,5593.86,155593.86</t>
  </si>
  <si>
    <t>Dani BeltrÃ¡n,2025-05-09,17033.57,368.52,Alta CÃ³rdoba,Edelmiro Valenciano-Ojeda,Memoria RAM Corsair,Efectivo,1,333.3,150333.3</t>
  </si>
  <si>
    <t>Olga AguilÃ³,2025-06-14,496788.46,56560.47,Villa Allende,Edelmiro Valenciano-Ojeda,Auriculares JBL,Efectivo,3,8804.56,158804.56</t>
  </si>
  <si>
    <t>Bernardo Ros,2024-08-29,399538.32,10569.95,CÃ³rdoba Centro,Baldomero RamÃ³n,Mouse Logitech,CrÃ©dito,4,7779.37,157779.37</t>
  </si>
  <si>
    <t>Inmaculada Mur,2024-11-01,382111.49,4869.17,CÃ³rdoba Centro,Edelmiro Valenciano-Ojeda,Monitor Samsung,Transferencia,4,7544.85,157544.85</t>
  </si>
  <si>
    <t>Goyo Bueno,2024-11-04,104788.45,1780.42,San Vicente,Baldomero RamÃ³n,Memoria RAM Corsair,Transferencia,1,2060.16,152060.16</t>
  </si>
  <si>
    <t>Ceferino Manzano,2025-05-13,321384.1,40474.07,Villa Allende,PÃ¡nfilo Montenegro Alba,Monitor Samsung,Transferencia,1,5618.2,155618.2</t>
  </si>
  <si>
    <t>Nilda Ruano,2025-07-20,41123.26,3094.62,General Paz,Edelmiro Valenciano-Ojeda,Monitor Samsung,CrÃ©dito,2,760.57,150760.57</t>
  </si>
  <si>
    <t>Coral Lozano,2025-01-28,365825.25,54065.92,Alta CÃ³rdoba,Nieves del Ortega,Tablet Samsung,Transferencia,5,6235.19,156235.19</t>
  </si>
  <si>
    <t>Alonso CabaÃ±as,2025-01-23,305982.38,35717.83,Villa Allende,Dorita Abad LujÃ¡n,Auriculares JBL,Transferencia,3,5405.29,155405.29</t>
  </si>
  <si>
    <t>Fortunata Canales,2024-09-10,332408.54,4136.68,Nueva CÃ³rdoba,Dorita Abad LujÃ¡n,Notebook Lenovo,Efectivo,2,6565.44,156565.44</t>
  </si>
  <si>
    <t>Bernarda Lerma,2024-11-30,272410.4,59204.47,CÃ³rdoba Centro,InÃ©s Campo Pont,Teclado Redragon,Efectivo,1,4264.12,154264.12</t>
  </si>
  <si>
    <t>Quique Herrera,2024-11-25,108665.35,1911.04,General Paz,Paca Aramburu Luz,Teclado Redragon,CrÃ©dito,3,2135.09,152135.09</t>
  </si>
  <si>
    <t>ClÃ­maco Mateu,2025-01-11,262942.04,54318.22,Nueva CÃ³rdoba,Dorita Abad LujÃ¡n,Tablet Samsung,Efectivo,2,4172.48,154172.48</t>
  </si>
  <si>
    <t>Feliciana Sevillano,2025-06-21,227246.38,8738.68,Villa Allende,Edelmiro Valenciano-Ojeda,Mouse Logitech,Efectivo,1,4370.15,154370.15</t>
  </si>
  <si>
    <t>Isa Lozano,2025-02-27,165546.19,7057.15,General Paz,Dorita Abad LujÃ¡n,PC Gamer,Efectivo,1,3169.78,153169.78</t>
  </si>
  <si>
    <t>SofÃ­a Cobo,2024-09-15,362125.77,46694.63,San Vicente,Baldomero RamÃ³n,PC Gamer,Efectivo,2,6308.62,156308.62</t>
  </si>
  <si>
    <t>Cayetano ValcÃ¡rcel,2025-06-25,451018.99,58710.77,CÃ³rdoba Centro,PÃ¡nfilo Montenegro Alba,Monitor Samsung,Transferencia,3,7846.16,157846.16</t>
  </si>
  <si>
    <t>Brunilda Llano,2025-04-10,321155.35,25068.94,CÃ³rdoba Centro,Edelmiro Valenciano-Ojeda,Mouse Logitech,Transferencia,1,5921.73,155921.73</t>
  </si>
  <si>
    <t>Patricia Pedro,2025-04-28,320985.39,74824.4,Villa Allende,LuÃ­s Chaparro Borja,Monitor Samsung,Transferencia,3,4923.22,154923.22</t>
  </si>
  <si>
    <t>Hortensia Alfaro,2025-04-30,66352.17,11891.28,CÃ³rdoba Centro,Nieves del Ortega,Placa de Video Nvidia,Efectivo,2,1089.22,151089.22</t>
  </si>
  <si>
    <t>Zaira Zabaleta,2024-08-02,149306.55,8257.63,San Vicente,Paca Aramburu Luz,Memoria RAM Corsair,CrÃ©dito,2,2820.98,152820.98</t>
  </si>
  <si>
    <t>Abel Ojeda,2024-09-02,270477.68,19195.59,Villa Allende,Nieves del Ortega,Placa de Video Nvidia,Efectivo,4,5025.64,155025.64</t>
  </si>
  <si>
    <t>Odalis Morera,2024-10-07,154996.63,1213.81,Alta CÃ³rdoba,Calixta del Lago,Teclado Redragon,CrÃ©dito,4,3075.66,153075.66</t>
  </si>
  <si>
    <t>Jovita Benito,2024-08-28,221972.52,44408.5,Villa Allende,Paca Aramburu Luz,Teclado Redragon,Transferencia,3,3551.28,153551.28</t>
  </si>
  <si>
    <t>Alex Campos,2025-05-23,280511.12,12345.57,CÃ³rdoba Centro,Paca Aramburu Luz,Placa de Video Nvidia,Transferencia,1,5363.31,155363.31</t>
  </si>
  <si>
    <t>Carmela VÃ©lez,2024-11-01,450223.76,5463.56,General Paz,Baldomero RamÃ³n,Disco SSD Kingston,Transferencia,1,8895.2,158895.2</t>
  </si>
  <si>
    <t>Malena Tormo,2025-07-14,18060.43,2472.27,General Paz,Calixta del Lago,Disco SSD Kingston,Transferencia,1,311.76,150311.76</t>
  </si>
  <si>
    <t>Leandro BarcelÃ³,2025-01-09,104465.48,13814.39,CÃ³rdoba Centro,Rosa de Bou,Disco SSD Kingston,CrÃ©dito,5,1813.02,151813.02</t>
  </si>
  <si>
    <t>Adelardo MirÃ³,2025-01-01,450979.55,54455.36,General Paz,InÃ©s Campo Pont,Notebook Lenovo,Transferencia,3,7930.48,157930.48</t>
  </si>
  <si>
    <t>MarÃ­a BelÃ©n Jimenez,2025-03-16,157989.27,2605.83,CÃ³rdoba Centro,Dorita Abad LujÃ¡n,Mouse Logitech,Transferencia,2,3107.67,153107.67</t>
  </si>
  <si>
    <t>Nicolasa Aguilera,2024-07-24,114517.28,16614.92,General Paz,InÃ©s Campo Pont,Teclado Redragon,CrÃ©dito,3,1958.05,151958.05</t>
  </si>
  <si>
    <t>Edelmira BaÃ±os,2025-06-07,365439.44,36062.93,CÃ³rdoba Centro,Paca Aramburu Luz,Memoria RAM Corsair,Efectivo,1,6587.53,156587.53</t>
  </si>
  <si>
    <t>David Aliaga,2025-03-15,440275.58,33868.2,San Vicente,Calixta del Lago,Disco SSD Kingston,Transferencia,3,8128.15,158128.15</t>
  </si>
  <si>
    <t>Gabriel Urrutia,2025-04-20,448282.08,34035.39,General Paz,Edelmiro Valenciano-Ojeda,Tablet Samsung,CrÃ©dito,3,8284.93,158284.93</t>
  </si>
  <si>
    <t>Tania Ruano,2025-07-22,465197.0,33375.11,Alta CÃ³rdoba,Edelmiro Valenciano-Ojeda,Tablet Samsung,Efectivo,2,8636.44,158636.44</t>
  </si>
  <si>
    <t>Joaquina Alvarado,2025-05-09,247968.91,48331.1,San Vicente,PÃ¡nfilo Montenegro Alba,Memoria RAM Corsair,Transferencia,3,3992.76,153992.76</t>
  </si>
  <si>
    <t>GerÃ³nimo Anaya,2024-11-03,384790.04,9599.65,Alta CÃ³rdoba,Edelmiro Valenciano-Ojeda,Notebook Lenovo,Transferencia,2,7503.81,157503.81</t>
  </si>
  <si>
    <t>IsaÃ­as Sales,2025-03-20,477024.14,80402.41,Nueva CÃ³rdoba,Rosa de Bou,Auriculares JBL,Transferencia,5,7932.43,157932.43</t>
  </si>
  <si>
    <t>IsaÃ­as AdÃ¡n,2025-06-02,426301.87,40683.58,CÃ³rdoba Centro,InÃ©s Campo Pont,Mouse Logitech,Efectivo,4,7712.37,157712.37</t>
  </si>
  <si>
    <t>Eusebia EchevarrÃ­a,2025-02-14,310441.29,66484.1,Nueva CÃ³rdoba,Nieves del Ortega,Placa de Video Nvidia,CrÃ©dito,4,4879.14,154879.14</t>
  </si>
  <si>
    <t>Hernando Aparicio,2025-02-09,181240.62,1247.51,General Paz,Baldomero RamÃ³n,Disco SSD Kingston,Transferencia,2,3599.86,153599.86</t>
  </si>
  <si>
    <t>Celia Zamorano,2025-04-20,219860.36,13206.7,Villa Allende,InÃ©s Campo Pont,Notebook Lenovo,Transferencia,2,4133.07,154133.07</t>
  </si>
  <si>
    <t>Sergio Arcos,2024-09-27,373103.98,43977.57,Alta CÃ³rdoba,Baldomero RamÃ³n,Mouse Logitech,Transferencia,4,6582.53,156582.53</t>
  </si>
  <si>
    <t>Valero Clemente,2025-01-27,434397.94,81439.14,Nueva CÃ³rdoba,Nieves del Ortega,Teclado Redragon,Transferencia,2,7059.18,157059.18</t>
  </si>
  <si>
    <t>Irene Barrera,2025-03-06,155096.66,3183.11,Nueva CÃ³rdoba,Edelmiro Valenciano-Ojeda,Placa de Video Nvidia,CrÃ©dito,1,3038.27,153038.27</t>
  </si>
  <si>
    <t>Chus AcuÃ±a,2024-12-03,34759.37,1151.46,San Vicente,Nieves del Ortega,Tablet Samsung,CrÃ©dito,5,672.16,150672.16</t>
  </si>
  <si>
    <t>Luisina Clemente,2024-08-12,48622.1,9417.35,General Paz,Edelmiro Valenciano-Ojeda,Notebook Lenovo,CrÃ©dito,5,784.1,150784.1</t>
  </si>
  <si>
    <t>Edgardo Rovira,2024-08-28,225483.45,31384.08,Alta CÃ³rdoba,LuÃ­s Chaparro Borja,Mouse Logitech,CrÃ©dito,4,3881.99,153881.99</t>
  </si>
  <si>
    <t>Modesta Mir,2025-05-08,297458.72,35063.75,Villa Allende,InÃ©s Campo Pont,Placa de Video Nvidia,CrÃ©dito,5,5247.9,155247.9</t>
  </si>
  <si>
    <t>JosÃ© Luis Bas,2024-11-30,53803.63,3332.19,Villa Allende,Nieves del Ortega,PC Gamer,Transferencia,2,1009.43,151009.43</t>
  </si>
  <si>
    <t>Cesar Arnau,2024-11-16,406321.88,85253.18,Nueva CÃ³rdoba,InÃ©s Campo Pont,Memoria RAM Corsair,CrÃ©dito,2,6421.37,156421.37</t>
  </si>
  <si>
    <t>Jose Manuel Lillo,2025-02-03,201133.53,9403.66,Villa Allende,PÃ¡nfilo Montenegro Alba,Mouse Logitech,Efectivo,2,3834.6,153834.6</t>
  </si>
  <si>
    <t>Dimas Costa,2024-12-02,386580.8,50810.83,General Paz,Baldomero RamÃ³n,Mouse Logitech,Efectivo,5,6715.4,156715.4</t>
  </si>
  <si>
    <t>Flor Briones,2024-12-29,203084.84,49640.07,Alta CÃ³rdoba,Nieves del Ortega,PC Gamer,Efectivo,2,3068.9,153068.9</t>
  </si>
  <si>
    <t>Dan Pineda,2024-10-26,413664.91,98044.5,Villa Allende,Edelmiro Valenciano-Ojeda,Placa de Video Nvidia,Transferencia,5,6312.41,156312.41</t>
  </si>
  <si>
    <t>Eladio Chamorro,2025-06-05,487692.13,829.62,San Vicente,Edelmiro Valenciano-Ojeda,Auriculares JBL,CrÃ©dito,5,9737.25,159737.25</t>
  </si>
  <si>
    <t>Aitor Villanueva,2025-06-15,203195.39,17341.0,San Vicente,InÃ©s Campo Pont,Memoria RAM Corsair,Transferencia,3,3717.09,153717.09</t>
  </si>
  <si>
    <t>MarÃ­a JosÃ© GuzmÃ¡n,2025-03-13,129621.31,11270.22,General Paz,Nieves del Ortega,Notebook Lenovo,Transferencia,5,2367.02,152367.02</t>
  </si>
  <si>
    <t>Eusebio Valenciano,2024-10-15,474445.45,27990.37,CÃ³rdoba Centro,Baldomero RamÃ³n,Placa de Video Nvidia,Transferencia,2,8929.1,158929.1</t>
  </si>
  <si>
    <t>Eustaquio MendizÃ¡bal,2025-07-21,129196.18,29638.42,General Paz,Nieves del Ortega,PC Gamer,Efectivo,5,1991.16,151991.16</t>
  </si>
  <si>
    <t>Yago ViÃ±a,2024-10-08,374741.57,7259.5,San Vicente,Rosa de Bou,Mouse Logitech,Transferencia,3,7349.64,157349.64</t>
  </si>
  <si>
    <t>Pilar Araujo,2025-06-09,163283.99,5244.83,San Vicente,Rosa de Bou,Memoria RAM Corsair,CrÃ©dito,5,3160.78,153160.78</t>
  </si>
  <si>
    <t>VerÃ³nica Anaya,2025-01-30,437355.84,48992.68,Nueva CÃ³rdoba,Baldomero RamÃ³n,Memoria RAM Corsair,CrÃ©dito,1,7767.26,157767.26</t>
  </si>
  <si>
    <t>Xavier Pi,2025-05-15,269067.3,34912.5,Nueva CÃ³rdoba,PÃ¡nfilo Montenegro Alba,Mouse Logitech,Transferencia,2,4683.1,154683.1</t>
  </si>
  <si>
    <t>Severino Figueras,2025-01-31,412989.06,2343.29,CÃ³rdoba Centro,LuÃ­s Chaparro Borja,PC Gamer,CrÃ©dito,4,8212.92,158212.92</t>
  </si>
  <si>
    <t>Fulgencio Egea,2025-03-25,432675.49,5192.45,General Paz,Calixta del Lago,Placa de Video Nvidia,Efectivo,3,8549.66,158549.66</t>
  </si>
  <si>
    <t>Rufina Porras,2025-05-11,243030.76,24897.64,Nueva CÃ³rdoba,Nieves del Ortega,Mouse Logitech,CrÃ©dito,2,4362.66,154362.66</t>
  </si>
  <si>
    <t>Eleuterio CerdÃ¡n,2025-05-16,391269.77,7726.74,San Vicente,Paca Aramburu Luz,Auriculares JBL,CrÃ©dito,1,7670.86,157670.86</t>
  </si>
  <si>
    <t>Emiliana Sainz,2024-12-09,297046.17,25673.34,General Paz,PÃ¡nfilo Montenegro Alba,Placa de Video Nvidia,Efectivo,1,5427.46,155427.46</t>
  </si>
  <si>
    <t>Albino Alfaro,2024-12-18,362895.31,65576.3,General Paz,PÃ¡nfilo Montenegro Alba,Placa de Video Nvidia,Efectivo,2,5946.38,155946.38</t>
  </si>
  <si>
    <t>Eugenio MirÃ³,2025-04-19,467677.45,78503.63,Nueva CÃ³rdoba,InÃ©s Campo Pont,Auriculares JBL,Efectivo,4,7783.48,157783.48</t>
  </si>
  <si>
    <t>Leonardo Gimenez,2025-03-05,238419.48,38985.89,San Vicente,PÃ¡nfilo Montenegro Alba,Memoria RAM Corsair,CrÃ©dito,4,3988.67,153988.67</t>
  </si>
  <si>
    <t>Olegario Pera,2025-02-20,222513.18,34967.41,CÃ³rdoba Centro,PÃ¡nfilo Montenegro Alba,Teclado Redragon,Transferencia,4,3750.92,153750.92</t>
  </si>
  <si>
    <t>Brunilda Cadenas,2024-09-07,496054.29,14582.87,Alta CÃ³rdoba,PÃ¡nfilo Montenegro Alba,Disco SSD Kingston,CrÃ©dito,4,9629.43,159629.43</t>
  </si>
  <si>
    <t>Gervasio Canales,2025-04-17,121571.45,7517.3,San Vicente,Calixta del Lago,Notebook Lenovo,Efectivo,2,2281.08,152281.08</t>
  </si>
  <si>
    <t>Marita Bosch,2024-08-29,196608.7,16826.08,Villa Allende,Paca Aramburu Luz,Teclado Redragon,Transferencia,4,3595.65,153595.65</t>
  </si>
  <si>
    <t>Carmelita Guardia,2025-04-12,23500.58,1370.18,CÃ³rdoba Centro,Paca Aramburu Luz,Auriculares JBL,CrÃ©dito,2,442.61,150442.61</t>
  </si>
  <si>
    <t>PÃ­o Amaya,2025-05-20,177664.66,24509.12,Nueva CÃ³rdoba,InÃ©s Campo Pont,Auriculares JBL,CrÃ©dito,1,3063.11,153063.11</t>
  </si>
  <si>
    <t>MÃ¡xima Granados,2024-11-09,315028.75,58705.74,Alta CÃ³rdoba,Nieves del Ortega,Auriculares JBL,Efectivo,3,5126.46,155126.46</t>
  </si>
  <si>
    <t>Cruz Conde,2024-09-02,466443.44,109707.61,Alta CÃ³rdoba,Calixta del Lago,Mouse Logitech,CrÃ©dito,2,7134.72,157134.72</t>
  </si>
  <si>
    <t>Anastasio Bernal,2025-05-22,353020.58,23579.0,San Vicente,Paca Aramburu Luz,Auriculares JBL,CrÃ©dito,4,6588.83,156588.83</t>
  </si>
  <si>
    <t>JosÃ© Mari Cueto,2024-11-01,12300.68,579.87,Villa Allende,PÃ¡nfilo Montenegro Alba,Memoria RAM Corsair,CrÃ©dito,5,234.42,150234.42</t>
  </si>
  <si>
    <t>Palmira Tejedor,2025-06-29,204447.08,41962.42,Villa Allende,Nieves del Ortega,Notebook Lenovo,CrÃ©dito,1,3249.69,153249.69</t>
  </si>
  <si>
    <t>Mar HernÃ¡ndez,2025-05-16,316531.74,43249.33,Nueva CÃ³rdoba,PÃ¡nfilo Montenegro Alba,Teclado Redragon,Efectivo,4,5465.65,155465.65</t>
  </si>
  <si>
    <t>Borja Cervera,2024-09-06,136318.87,4988.1,Villa Allende,PÃ¡nfilo Montenegro Alba,Notebook Lenovo,Efectivo,4,2626.62,152626.62</t>
  </si>
  <si>
    <t>Hermenegildo Galvez,2025-07-08,397369.95,50332.57,Villa Allende,Baldomero RamÃ³n,Placa de Video Nvidia,Transferencia,1,6940.75,156940.75</t>
  </si>
  <si>
    <t>Emilia Aroca,2025-04-16,205828.3,47139.63,Alta CÃ³rdoba,PÃ¡nfilo Montenegro Alba,Memoria RAM Corsair,Transferencia,4,3173.77,153173.77</t>
  </si>
  <si>
    <t>Curro Campillo,2025-07-17,118082.3,16877.53,CÃ³rdoba Centro,Paca Aramburu Luz,Tablet Samsung,Transferencia,2,2024.1,152024.1</t>
  </si>
  <si>
    <t>YÃ©sica Blasco,2024-10-23,36073.92,5210.67,San Vicente,Calixta del Lago,Auriculares JBL,CrÃ©dito,5,617.26,150617.26</t>
  </si>
  <si>
    <t>JosÃ© OrdÃ³Ã±ez,2025-03-21,483694.4,74015.22,CÃ³rdoba Centro,LuÃ­s Chaparro Borja,Notebook Lenovo,Efectivo,4,8193.58,158193.58</t>
  </si>
  <si>
    <t>Severino BeltrÃ¡n,2025-02-16,238355.14,44495.14,Alta CÃ³rdoba,Paca Aramburu Luz,Disco SSD Kingston,Transferencia,1,3877.2,153877.2</t>
  </si>
  <si>
    <t>Antonio Palomo,2025-05-10,148740.93,8954.66,Alta CÃ³rdoba,Dorita Abad LujÃ¡n,Disco SSD Kingston,CrÃ©dito,5,2795.73,152795.73</t>
  </si>
  <si>
    <t>Juan Carlos Guerra,2025-01-08,468634.08,62093.54,CÃ³rdoba Centro,InÃ©s Campo Pont,Placa de Video Nvidia,Transferencia,5,8130.81,158130.81</t>
  </si>
  <si>
    <t>Merche Alba,2024-08-19,367731.81,80129.53,General Paz,Dorita Abad LujÃ¡n,Memoria RAM Corsair,Transferencia,1,5752.05,155752.05</t>
  </si>
  <si>
    <t>Dimas DÃ¡vila,2025-03-20,490121.71,22546.84,Villa Allende,Baldomero RamÃ³n,Monitor Samsung,Efectivo,2,9351.5,159351.5</t>
  </si>
  <si>
    <t>Luciana QuirÃ³s,2025-07-22,93590.55,14602.84,Nueva CÃ³rdoba,Nieves del Ortega,PC Gamer,CrÃ©dito,5,1579.75,151579.75</t>
  </si>
  <si>
    <t>Beatriz Peralta,2024-07-28,289980.39,36394.53,San Vicente,Calixta del Lago,Memoria RAM Corsair,Efectivo,3,5071.72,155071.72</t>
  </si>
  <si>
    <t>MarÃ­a Teresa Benet,2024-08-04,440619.22,97901.53,CÃ³rdoba Centro,LuÃ­s Chaparro Borja,Tablet Samsung,Efectivo,1,6854.35,156854.35</t>
  </si>
  <si>
    <t>Pepe Sanabria,2025-03-07,372789.07,36336.36,CÃ³rdoba Centro,InÃ©s Campo Pont,Memoria RAM Corsair,CrÃ©dito,2,6729.05,156729.05</t>
  </si>
  <si>
    <t>Marcela Mora,2025-04-14,208618.55,32252.01,San Vicente,Rosa de Bou,Mouse Logitech,Transferencia,1,3527.33,153527.33</t>
  </si>
  <si>
    <t>Blas Amaya,2025-02-06,324630.56,14815.29,CÃ³rdoba Centro,Dorita Abad LujÃ¡n,Disco SSD Kingston,Transferencia,4,6196.31,156196.31</t>
  </si>
  <si>
    <t>Gilberto Rios,2025-03-13,457692.22,74611.64,Alta CÃ³rdoba,Calixta del Lago,Memoria RAM Corsair,Transferencia,1,7661.61,157661.61</t>
  </si>
  <si>
    <t>Evaristo Bravo,2025-03-14,77493.88,14595.86,Villa Allende,Nieves del Ortega,Monitor Samsung,Efectivo,1,1257.96,151257.96</t>
  </si>
  <si>
    <t>Jorge Pol,2025-01-22,476733.43,78854.76,General Paz,Nieves del Ortega,Teclado Redragon,Transferencia,2,7957.57,157957.57</t>
  </si>
  <si>
    <t>Tere Alba,2024-08-01,164418.51,28047.23,Villa Allende,Edelmiro Valenciano-Ojeda,Notebook Lenovo,CrÃ©dito,2,2727.43,152727.43</t>
  </si>
  <si>
    <t>Macaria Hierro,2024-12-11,410824.67,101535.4,Nueva CÃ³rdoba,Edelmiro Valenciano-Ojeda,Placa de Video Nvidia,Transferencia,1,6185.79,156185.79</t>
  </si>
  <si>
    <t>Saturnino Company,2025-07-05,68255.69,11557.3,San Vicente,PÃ¡nfilo Montenegro Alba,Placa de Video Nvidia,Transferencia,5,1133.97,151133.97</t>
  </si>
  <si>
    <t>Osvaldo Berrocal,2025-02-18,257007.96,58842.73,CÃ³rdoba Centro,Dorita Abad LujÃ¡n,Notebook Lenovo,Transferencia,3,3963.3,153963.3</t>
  </si>
  <si>
    <t>Oriana Ramis,2024-09-08,439593.37,67247.79,Nueva CÃ³rdoba,Paca Aramburu Luz,Tablet Samsung,CrÃ©dito,1,7446.91,157446.91</t>
  </si>
  <si>
    <t>AarÃ³n Calvo,2024-08-26,20819.08,1361.66,Alta CÃ³rdoba,LuÃ­s Chaparro Borja,Memoria RAM Corsair,Efectivo,5,389.15,150389.15</t>
  </si>
  <si>
    <t>Susana Ropero,2025-02-26,448220.67,328.09,San Vicente,Dorita Abad LujÃ¡n,Monitor Samsung,Efectivo,5,8957.85,158957.85</t>
  </si>
  <si>
    <t>Abel HervÃ¡s,2025-04-06,227080.86,44587.61,Villa Allende,Nieves del Ortega,Tablet Samsung,Transferencia,5,3649.87,153649.87</t>
  </si>
  <si>
    <t>Ceferino CastejÃ³n,2024-11-20,466674.03,30104.98,Villa Allende,Baldomero RamÃ³n,Mouse Logitech,CrÃ©dito,1,8731.38,158731.38</t>
  </si>
  <si>
    <t>Juan JosÃ© Montesinos,2025-03-01,208831.09,50840.7,Villa Allende,Paca Aramburu Luz,PC Gamer,Efectivo,5,3159.81,153159.81</t>
  </si>
  <si>
    <t>Marina Izquierdo,2024-08-02,325626.14,7638.26,General Paz,Nieves del Ortega,Placa de Video Nvidia,Efectivo,5,6359.76,156359.76</t>
  </si>
  <si>
    <t>Azahara SaldaÃ±a,2024-08-10,121871.71,1994.92,Nueva CÃ³rdoba,Nieves del Ortega,Memoria RAM Corsair,Efectivo,3,2397.54,152397.54</t>
  </si>
  <si>
    <t>Encarnita Ojeda,2024-08-27,429372.56,46133.04,CÃ³rdoba Centro,LuÃ­s Chaparro Borja,PC Gamer,CrÃ©dito,5,7664.79,157664.79</t>
  </si>
  <si>
    <t>Paz Palacios,2024-08-08,351229.47,46169.93,Nueva CÃ³rdoba,Dorita Abad LujÃ¡n,Tablet Samsung,CrÃ©dito,5,6101.19,156101.19</t>
  </si>
  <si>
    <t>Nilo MartÃ­nez,2024-12-27,271487.85,37354.07,Villa Allende,Calixta del Lago,Placa de Video Nvidia,Transferencia,1,4682.68,154682.68</t>
  </si>
  <si>
    <t>Eugenia Puig,2024-11-05,313842.65,50997.64,Villa Allende,Dorita Abad LujÃ¡n,Auriculares JBL,CrÃ©dito,1,5256.9,155256.9</t>
  </si>
  <si>
    <t>GerÃ³nimo Balaguer,2024-08-06,405475.12,49679.09,Villa Allende,LuÃ­s Chaparro Borja,Monitor Samsung,Efectivo,4,7115.92,157115.92</t>
  </si>
  <si>
    <t>Angelita TomÃ©,2025-05-31,209961.66,35610.14,San Vicente,LuÃ­s Chaparro Borja,Teclado Redragon,CrÃ©dito,5,3487.03,153487.03</t>
  </si>
  <si>
    <t>InÃ©s Briones,2025-06-11,408021.24,100547.25,Alta CÃ³rdoba,LuÃ­s Chaparro Borja,PC Gamer,CrÃ©dito,5,6149.48,156149.48</t>
  </si>
  <si>
    <t>Mariano Moles,2025-04-10,396952.11,23880.34,Nueva CÃ³rdoba,Nieves del Ortega,Monitor Samsung,Efectivo,1,7461.44,157461.44</t>
  </si>
  <si>
    <t>Emiliano BlÃ¡zquez,2024-07-31,80226.26,15970.17,Alta CÃ³rdoba,Rosa de Bou,Mouse Logitech,Efectivo,2,1285.12,151285.12</t>
  </si>
  <si>
    <t>MarÃ­a Luisa Alcaraz,2025-04-27,24445.68,4665.87,Villa Allende,Baldomero RamÃ³n,Teclado Redragon,Transferencia,3,395.6,150395.6</t>
  </si>
  <si>
    <t>Santos VizcaÃ­no,2025-07-10,278457.82,41310.72,San Vicente,Edelmiro Valenciano-Ojeda,PC Gamer,CrÃ©dito,1,4742.94,154742.94</t>
  </si>
  <si>
    <t>Fabricio Priego,2024-08-24,120267.92,21535.71,Alta CÃ³rdoba,Paca Aramburu Luz,Auriculares JBL,Efectivo,4,1974.64,151974.64</t>
  </si>
  <si>
    <t>Juan Carlos Puerta,2025-03-12,78416.16,7877.03,General Paz,Edelmiro Valenciano-Ojeda,PC Gamer,Efectivo,2,1410.78,151410.78</t>
  </si>
  <si>
    <t>Trinidad Torrecilla,2024-11-11,77361.73,5712.31,Villa Allende,PÃ¡nfilo Montenegro Alba,PC Gamer,Transferencia,5,1432.99,151432.99</t>
  </si>
  <si>
    <t>Magdalena Sanjuan,2024-08-06,68472.97,15014.16,Nueva CÃ³rdoba,Dorita Abad LujÃ¡n,Disco SSD Kingston,CrÃ©dito,2,1069.18,151069.18</t>
  </si>
  <si>
    <t>Serafina Valle,2024-09-04,55226.18,775.84,General Paz,InÃ©s Campo Pont,Mouse Logitech,Transferencia,4,1089.01,151089.01</t>
  </si>
  <si>
    <t>Cristian Mas,2024-11-19,306994.37,10801.25,Nueva CÃ³rdoba,PÃ¡nfilo Montenegro Alba,Notebook Lenovo,CrÃ©dito,5,5923.86,155923.86</t>
  </si>
  <si>
    <t>Angelino Andreu,2025-03-15,325989.39,74979.79,Nueva CÃ³rdoba,LuÃ­s Chaparro Borja,Tablet Samsung,Transferencia,4,5020.19,155020.19</t>
  </si>
  <si>
    <t>Lilia Polo,2025-05-23,241019.12,49178.01,Nueva CÃ³rdoba,PÃ¡nfilo Montenegro Alba,Notebook Lenovo,Transferencia,4,3836.82,153836.82</t>
  </si>
  <si>
    <t>Ã“scar Anguita,2024-09-03,362184.71,35651.77,Nueva CÃ³rdoba,InÃ©s Campo Pont,Auriculares JBL,Efectivo,2,6530.66,156530.66</t>
  </si>
  <si>
    <t>Iris Manzanares,2025-02-05,104510.8,9144.53,Alta CÃ³rdoba,Paca Aramburu Luz,Disco SSD Kingston,CrÃ©dito,3,1907.33,151907.33</t>
  </si>
  <si>
    <t>Mireia Baena,2024-10-14,273318.76,55889.36,Villa Allende,InÃ©s Campo Pont,PC Gamer,CrÃ©dito,1,4348.59,154348.59</t>
  </si>
  <si>
    <t>Isidoro Almansa,2024-09-30,79366.33,5536.1,Villa Allende,Calixta del Lago,PC Gamer,Transferencia,1,1476.6,151476.6</t>
  </si>
  <si>
    <t>Eutropio Jurado,2024-08-17,146651.33,32360.36,San Vicente,Dorita Abad LujÃ¡n,Disco SSD Kingston,CrÃ©dito,4,2285.82,152285.82</t>
  </si>
  <si>
    <t>Herminio AlemÃ¡n,2025-07-18,211550.88,42403.74,General Paz,Calixta del Lago,Mouse Logitech,Transferencia,3,3382.94,153382.94</t>
  </si>
  <si>
    <t>Jordana Mateo,2024-08-25,345058.01,63889.58,Nueva CÃ³rdoba,LuÃ­s Chaparro Borja,Mouse Logitech,Transferencia,2,5623.37,155623.37</t>
  </si>
  <si>
    <t>Narciso Briones,2025-02-24,212374.03,48499.99,San Vicente,Baldomero RamÃ³n,Notebook Lenovo,Efectivo,2,3277.48,153277.48</t>
  </si>
  <si>
    <t>Constanza IÃ±iguez,2025-01-22,169639.82,284.89,San Vicente,Edelmiro Valenciano-Ojeda,Monitor Samsung,Transferencia,3,3387.1,153387.1</t>
  </si>
  <si>
    <t>Bautista SanmartÃ­n,2024-09-06,297096.48,56692.03,General Paz,Edelmiro Valenciano-Ojeda,Memoria RAM Corsair,Efectivo,4,4808.09,154808.09</t>
  </si>
  <si>
    <t>Elodia Ugarte,2025-07-07,208650.13,34914.3,Alta CÃ³rdoba,Edelmiro Valenciano-Ojeda,Placa de Video Nvidia,CrÃ©dito,1,3474.72,153474.72</t>
  </si>
  <si>
    <t>NÃ©stor Ãguila,2025-01-05,59472.11,50.95,CÃ³rdoba Centro,Calixta del Lago,Teclado Redragon,CrÃ©dito,4,1188.42,151188.42</t>
  </si>
  <si>
    <t>Rodolfo Bastida,2025-04-22,211313.46,51142.15,Nueva CÃ³rdoba,LuÃ­s Chaparro Borja,Tablet Samsung,Efectivo,4,3203.43,153203.43</t>
  </si>
  <si>
    <t>Dolores Querol,2025-03-01,103827.01,10806.49,Nueva CÃ³rdoba,Calixta del Lago,Disco SSD Kingston,CrÃ©dito,2,1860.41,151860.41</t>
  </si>
  <si>
    <t>Concha Marin,2024-12-15,90581.49,12409.33,CÃ³rdoba Centro,LuÃ­s Chaparro Borja,Disco SSD Kingston,CrÃ©dito,4,1563.44,151563.44</t>
  </si>
  <si>
    <t>Amaya Criado,2025-01-01,338674.7,35802.98,General Paz,Edelmiro Valenciano-Ojeda,Tablet Samsung,Transferencia,1,6057.43,156057.43</t>
  </si>
  <si>
    <t>CristÃ³bal CaÃ±izares,2025-02-05,286019.5,55271.52,Villa Allende,Dorita Abad LujÃ¡n,Placa de Video Nvidia,Efectivo,1,4614.96,154614.96</t>
  </si>
  <si>
    <t>Jaime Pons,2024-10-03,196245.66,14434.29,Nueva CÃ³rdoba,InÃ©s Campo Pont,Placa de Video Nvidia,Efectivo,4,3636.23,153636.23</t>
  </si>
  <si>
    <t>Mariano CarriÃ³n,2024-09-26,448724.42,106981.08,San Vicente,Nieves del Ortega,PC Gamer,Efectivo,2,6834.87,156834.87</t>
  </si>
  <si>
    <t>Maxi CatalÃ¡n,2025-05-23,39965.76,7594.13,San Vicente,Nieves del Ortega,Teclado Redragon,Efectivo,1,647.43,150647.43</t>
  </si>
  <si>
    <t>Carolina Acedo,2025-04-19,139813.66,33200.2,San Vicente,LuÃ­s Chaparro Borja,Mouse Logitech,CrÃ©dito,2,2132.27,152132.27</t>
  </si>
  <si>
    <t>RenÃ© Novoa,2025-05-24,10084.6,548.21,CÃ³rdoba Centro,InÃ©s Campo Pont,Memoria RAM Corsair,Efectivo,2,190.73,150190.73</t>
  </si>
  <si>
    <t>Ema Moreno,2024-11-26,195107.89,32977.83,Nueva CÃ³rdoba,Calixta del Lago,Teclado Redragon,Transferencia,4,3242.6,153242.6</t>
  </si>
  <si>
    <t>Susana SÃ¡ez,2025-06-29,299666.78,54784.99,Nueva CÃ³rdoba,Calixta del Lago,Mouse Logitech,Transferencia,1,4897.64,154897.64</t>
  </si>
  <si>
    <t>Alfredo Pomares,2025-01-31,41940.52,3476.87,CÃ³rdoba Centro,Rosa de Bou,Teclado Redragon,Efectivo,5,769.27,150769.27</t>
  </si>
  <si>
    <t>Azahar Arjona,2025-01-24,65505.04,1783.5,Villa Allende,PÃ¡nfilo Montenegro Alba,Auriculares JBL,Efectivo,3,1274.43,151274.43</t>
  </si>
  <si>
    <t>Virgilio Solano,2024-09-05,316792.77,33182.02,San Vicente,Paca Aramburu Luz,Memoria RAM Corsair,CrÃ©dito,2,5672.22,155672.22</t>
  </si>
  <si>
    <t>Luis Ãngel Benavent,2025-02-16,438113.41,109173.23,General Paz,Dorita Abad LujÃ¡n,Tablet Samsung,Transferencia,4,6578.8,156578.8</t>
  </si>
  <si>
    <t>Blanca Ayala,2024-11-16,258155.89,7293.84,San Vicente,Rosa de Bou,Mouse Logitech,Transferencia,4,5017.24,155017.24</t>
  </si>
  <si>
    <t>Lourdes Sala,2024-12-17,254151.06,37923.37,San Vicente,Edelmiro Valenciano-Ojeda,Notebook Lenovo,CrÃ©dito,4,4324.55,154324.55</t>
  </si>
  <si>
    <t>RaÃºl Zurita,2024-11-01,489931.11,75883.09,Alta CÃ³rdoba,Rosa de Bou,Notebook Lenovo,Transferencia,2,8280.96,158280.96</t>
  </si>
  <si>
    <t>MarÃ­a Fernanda TomÃ©,2025-01-03,176513.32,8424.48,Nueva CÃ³rdoba,Dorita Abad LujÃ¡n,PC Gamer,Efectivo,2,3361.78,153361.78</t>
  </si>
  <si>
    <t>Pelayo Cerro,2024-08-09,473522.44,4629.11,Villa Allende,Dorita Abad LujÃ¡n,Memoria RAM Corsair,CrÃ©dito,1,9377.87,159377.87</t>
  </si>
  <si>
    <t>Piedad Gallo,2025-05-30,418678.37,15928.38,Alta CÃ³rdoba,Nieves del Ortega,PC Gamer,CrÃ©dito,3,8055.0,158055.0</t>
  </si>
  <si>
    <t>Gil Sola,2025-07-15,289325.2,14072.88,Nueva CÃ³rdoba,Baldomero RamÃ³n,PC Gamer,Transferencia,5,5505.05,155505.05</t>
  </si>
  <si>
    <t>MÃ¡ximo Hidalgo,2025-01-27,364231.98,26691.06,San Vicente,Calixta del Lago,Mouse Logitech,Transferencia,4,6750.82,156750.82</t>
  </si>
  <si>
    <t>Celso ViÃ±a,2024-07-25,354526.38,77180.98,San Vicente,PÃ¡nfilo Montenegro Alba,Disco SSD Kingston,Efectivo,2,5546.91,155546.91</t>
  </si>
  <si>
    <t>Roberto Pombo,2025-03-08,146506.84,29564.24,San Vicente,Paca Aramburu Luz,Mouse Logitech,Transferencia,3,2338.85,152338.85</t>
  </si>
  <si>
    <t>Rico Belda,2024-12-06,444645.75,88936.29,CÃ³rdoba Centro,PÃ¡nfilo Montenegro Alba,Disco SSD Kingston,CrÃ©dito,2,7114.19,157114.19</t>
  </si>
  <si>
    <t>Valentina Pascual,2025-06-02,70952.0,1085.45,Alta CÃ³rdoba,Baldomero RamÃ³n,Tablet Samsung,Efectivo,2,1397.33,151397.33</t>
  </si>
  <si>
    <t>Teodosio Cifuentes,2025-04-27,173323.56,37273.88,General Paz,InÃ©s Campo Pont,Tablet Samsung,Transferencia,2,2720.99,152720.99</t>
  </si>
  <si>
    <t>Pascual Salcedo,2025-06-22,18161.43,4089.06,San Vicente,LuÃ­s Chaparro Borja,Teclado Redragon,CrÃ©dito,3,281.45,150281.45</t>
  </si>
  <si>
    <t>Miriam Menendez,2025-01-27,271649.29,37979.99,Villa Allende,Dorita Abad LujÃ¡n,Disco SSD Kingston,Efectivo,4,4673.39,154673.39</t>
  </si>
  <si>
    <t>Patricia GÃ¡rate,2024-11-26,292371.38,57379.54,Villa Allende,Edelmiro Valenciano-Ojeda,Memoria RAM Corsair,Transferencia,3,4699.84,154699.84</t>
  </si>
  <si>
    <t>Marta Izaguirre,2025-05-06,12923.65,384.72,Villa Allende,Paca Aramburu Luz,Notebook Lenovo,CrÃ©dito,1,250.78,150250.78</t>
  </si>
  <si>
    <t>Saturnino Mateo,2024-08-08,316956.01,71376.47,CÃ³rdoba Centro,Edelmiro Valenciano-Ojeda,Notebook Lenovo,Efectivo,2,4911.59,154911.59</t>
  </si>
  <si>
    <t>Victoria Checa,2024-11-15,238312.67,50398.48,General Paz,PÃ¡nfilo Montenegro Alba,Disco SSD Kingston,CrÃ©dito,4,3758.28,153758.28</t>
  </si>
  <si>
    <t>Eugenio Pinto,2024-08-02,474192.67,47410.98,San Vicente,Dorita Abad LujÃ¡n,Placa de Video Nvidia,Efectivo,1,8535.63,158535.63</t>
  </si>
  <si>
    <t>AdriÃ¡n PiÃ±a,2024-08-15,117224.89,5586.81,Villa Allende,InÃ©s Campo Pont,Mouse Logitech,CrÃ©dito,4,2232.76,152232.76</t>
  </si>
  <si>
    <t>Dalila Hidalgo,2025-04-13,35542.5,7797.6,Nueva CÃ³rdoba,Dorita Abad LujÃ¡n,Memoria RAM Corsair,Efectivo,4,554.9,150554.9</t>
  </si>
  <si>
    <t>Borja Serna,2025-03-05,201078.25,29767.12,General Paz,Dorita Abad LujÃ¡n,Notebook Lenovo,Efectivo,2,3426.22,153426.22</t>
  </si>
  <si>
    <t>Martirio Pelayo,2024-11-09,466973.22,74131.35,Villa Allende,Nieves del Ortega,Memoria RAM Corsair,CrÃ©dito,4,7856.84,157856.84</t>
  </si>
  <si>
    <t>JosuÃ© Diego,2024-08-22,81113.7,14352.62,Villa Allende,Dorita Abad LujÃ¡n,PC Gamer,Efectivo,5,1335.22,151335.22</t>
  </si>
  <si>
    <t>BegoÃ±a Cabeza,2025-04-15,252434.97,52321.41,Villa Allende,Paca Aramburu Luz,Teclado Redragon,Efectivo,2,4002.27,154002.27</t>
  </si>
  <si>
    <t>Sara Mayoral,2025-01-17,497125.33,123388.21,Nueva CÃ³rdoba,InÃ©s Campo Pont,Mouse Logitech,Efectivo,5,7474.74,157474.74</t>
  </si>
  <si>
    <t>Chema Arco,2025-01-12,195431.02,33596.31,Nueva CÃ³rdoba,Baldomero RamÃ³n,Placa de Video Nvidia,Efectivo,4,3236.69,153236.69</t>
  </si>
  <si>
    <t>Guiomar PeirÃ³,2025-01-28,460269.45,37457.58,San Vicente,Calixta del Lago,Monitor Samsung,Transferencia,2,8456.24,158456.24</t>
  </si>
  <si>
    <t>Nicolasa Ruano,2025-06-19,120484.9,10431.35,San Vicente,Calixta del Lago,Memoria RAM Corsair,Efectivo,5,2201.07,152201.07</t>
  </si>
  <si>
    <t>Ariel Lillo,2025-04-12,379189.82,68986.81,Alta CÃ³rdoba,Baldomero RamÃ³n,Disco SSD Kingston,Efectivo,4,6204.06,156204.06</t>
  </si>
  <si>
    <t>Marcial Heredia,2025-05-17,422057.95,79147.33,Nueva CÃ³rdoba,Baldomero RamÃ³n,Disco SSD Kingston,Efectivo,5,6858.21,156858.21</t>
  </si>
  <si>
    <t>Abril CaÃ±izares,2024-07-26,318596.37,19612.13,Alta CÃ³rdoba,Calixta del Lago,Mouse Logitech,Transferencia,2,5979.68,155979.68</t>
  </si>
  <si>
    <t>Alicia Cadenas,2024-12-14,220925.49,45792.69,Nueva CÃ³rdoba,PÃ¡nfilo Montenegro Alba,Placa de Video Nvidia,Transferencia,4,3502.66,153502.66</t>
  </si>
  <si>
    <t>MartÃ­n GalvÃ¡n,2025-01-03,12287.66,263.9,CÃ³rdoba Centro,Rosa de Bou,PC Gamer,Transferencia,1,240.48,150240.48</t>
  </si>
  <si>
    <t>Olalla Figuerola,2025-02-13,160798.66,18345.29,Nueva CÃ³rdoba,Dorita Abad LujÃ¡n,Notebook Lenovo,CrÃ©dito,4,2849.07,152849.07</t>
  </si>
  <si>
    <t>Imelda ElÃ­as,2024-12-16,218403.14,32121.46,CÃ³rdoba Centro,Paca Aramburu Luz,Auriculares JBL,Efectivo,1,3725.63,153725.63</t>
  </si>
  <si>
    <t>Marcelino Sanabria,2025-02-22,302357.66,24185.57,CÃ³rdoba Centro,Calixta del Lago,Placa de Video Nvidia,Transferencia,5,5563.44,155563.44</t>
  </si>
  <si>
    <t>Febe Lasa,2024-09-11,172213.69,35059.87,Alta CÃ³rdoba,Rosa de Bou,Disco SSD Kingston,CrÃ©dito,1,2743.08,152743.08</t>
  </si>
  <si>
    <t>Feliciano Nieto,2024-08-01,197049.63,40552.69,Nueva CÃ³rdoba,PÃ¡nfilo Montenegro Alba,Notebook Lenovo,Transferencia,1,3129.94,153129.94</t>
  </si>
  <si>
    <t>Patricio Alcolea,2025-01-14,150622.19,12081.3,Villa Allende,Edelmiro Valenciano-Ojeda,Tablet Samsung,Transferencia,3,2770.82,152770.82</t>
  </si>
  <si>
    <t>Rogelio Fortuny,2025-05-11,255882.44,9414.47,Villa Allende,Calixta del Lago,PC Gamer,Transferencia,5,4929.36,154929.36</t>
  </si>
  <si>
    <t>Azucena CuÃ©llar,2025-03-26,237526.68,35551.4,San Vicente,LuÃ­s Chaparro Borja,Teclado Redragon,Efectivo,3,4039.51,154039.51</t>
  </si>
  <si>
    <t>Ãmbar Sanz,2025-07-14,428957.17,128.14,Nueva CÃ³rdoba,Calixta del Lago,Disco SSD Kingston,CrÃ©dito,1,8576.58,158576.58</t>
  </si>
  <si>
    <t>Alonso Moreno,2024-08-24,357759.38,60996.19,San Vicente,Paca Aramburu Luz,Monitor Samsung,Efectivo,4,5935.26,155935.26</t>
  </si>
  <si>
    <t>Silvia Rodrigo,2024-09-06,364953.33,16946.07,San Vicente,Paca Aramburu Luz,Notebook Lenovo,Efectivo,5,6960.15,156960.15</t>
  </si>
  <si>
    <t>Amparo Zurita,2025-06-15,125340.91,30370.82,General Paz,Baldomero RamÃ³n,Mouse Logitech,CrÃ©dito,5,1899.4,151899.4</t>
  </si>
  <si>
    <t>Ainara Peralta,2025-04-06,487551.81,56859.98,CÃ³rdoba Centro,InÃ©s Campo Pont,Mouse Logitech,Transferencia,3,8613.84,158613.84</t>
  </si>
  <si>
    <t>Constanza Santana,2024-10-08,198644.76,9856.41,General Paz,Edelmiro Valenciano-Ojeda,Disco SSD Kingston,Transferencia,2,3775.77,153775.77</t>
  </si>
  <si>
    <t>Ãngela BarÃ³n,2024-09-21,25869.99,2482.49,San Vicente,Calixta del Lago,Teclado Redragon,Efectivo,5,467.75,150467.75</t>
  </si>
  <si>
    <t>Amanda Raya,2024-12-08,288239.52,48292.51,Nueva CÃ³rdoba,Dorita Abad LujÃ¡n,Notebook Lenovo,CrÃ©dito,1,4798.94,154798.94</t>
  </si>
  <si>
    <t>Feliciana Guzman,2024-08-08,140114.59,9025.99,Nueva CÃ³rdoba,LuÃ­s Chaparro Borja,Notebook Lenovo,Efectivo,5,2621.77,152621.77</t>
  </si>
  <si>
    <t>Haroldo CastaÃ±eda,2024-12-15,59504.31,14334.77,Villa Allende,Paca Aramburu Luz,Notebook Lenovo,Efectivo,3,903.39,150903.39</t>
  </si>
  <si>
    <t>Dimas Miguel,2025-04-26,255983.29,2027.85,Villa Allende,Dorita Abad LujÃ¡n,Memoria RAM Corsair,CrÃ©dito,5,5079.11,155079.11</t>
  </si>
  <si>
    <t>Ãgata Calzada,2025-05-03,429000.24,71167.15,San Vicente,Calixta del Lago,Mouse Logitech,CrÃ©dito,2,7156.66,157156.66</t>
  </si>
  <si>
    <t>Dionisio Tapia,2025-06-19,91363.07,2347.58,General Paz,Paca Aramburu Luz,Memoria RAM Corsair,CrÃ©dito,3,1780.31,151780.31</t>
  </si>
  <si>
    <t>Roberto Villalonga,2025-07-13,64567.68,7379.66,Nueva CÃ³rdoba,InÃ©s Campo Pont,PC Gamer,Transferencia,1,1143.76,151143.76</t>
  </si>
  <si>
    <t>Aitana BarÃ³,2025-06-02,135061.93,20511.36,CÃ³rdoba Centro,LuÃ­s Chaparro Borja,Mouse Logitech,Transferencia,1,2291.01,152291.01</t>
  </si>
  <si>
    <t>Evita Vilar,2024-12-06,46809.84,2320.11,General Paz,Edelmiro Valenciano-Ojeda,Disco SSD Kingston,CrÃ©dito,1,889.79,150889.79</t>
  </si>
  <si>
    <t>Nazaret Martinez,2024-11-13,87390.87,18414.52,San Vicente,PÃ¡nfilo Montenegro Alba,Memoria RAM Corsair,Efectivo,3,1379.53,151379.53</t>
  </si>
  <si>
    <t>Paulino Cepeda,2024-08-08,382253.71,82664.48,San Vicente,Nieves del Ortega,Memoria RAM Corsair,CrÃ©dito,4,5991.78,155991.78</t>
  </si>
  <si>
    <t>Dominga Flor,2024-12-16,489992.55,6335.04,General Paz,Rosa de Bou,Mouse Logitech,CrÃ©dito,1,9673.15,159673.15</t>
  </si>
  <si>
    <t>AngÃ©lica Carrasco,2025-03-21,361754.63,86356.29,CÃ³rdoba Centro,InÃ©s Campo Pont,Memoria RAM Corsair,Transferencia,4,5507.97,155507.97</t>
  </si>
  <si>
    <t>Pedro Vives,2025-06-30,447742.67,30760.21,CÃ³rdoba Centro,Calixta del Lago,Teclado Redragon,CrÃ©dito,2,8339.65,158339.65</t>
  </si>
  <si>
    <t>Soledad Pla,2025-05-18,203358.16,47013.48,Alta CÃ³rdoba,Edelmiro Valenciano-Ojeda,PC Gamer,Transferencia,2,3126.89,153126.89</t>
  </si>
  <si>
    <t>Estela Canet,2025-05-12,109165.28,3205.35,Alta CÃ³rdoba,Dorita Abad LujÃ¡n,Placa de Video Nvidia,Efectivo,1,2119.2,152119.2</t>
  </si>
  <si>
    <t>Francisco Jose Alonso,2025-04-20,193242.16,38016.93,Nueva CÃ³rdoba,Rosa de Bou,PC Gamer,Transferencia,4,3104.5,153104.5</t>
  </si>
  <si>
    <t>Crescencia Rivero,2024-07-27,159618.25,35631.22,Nueva CÃ³rdoba,Nieves del Ortega,Notebook Lenovo,CrÃ©dito,2,2479.74,152479.74</t>
  </si>
  <si>
    <t>Teresita Yuste,2025-02-08,77187.52,3181.09,General Paz,Baldomero RamÃ³n,PC Gamer,Efectivo,4,1480.13,151480.13</t>
  </si>
  <si>
    <t>Teresa FrÃ­as,2025-07-23,276689.22,26549.73,Villa Allende,Calixta del Lago,Disco SSD Kingston,Efectivo,3,5002.79,155002.79</t>
  </si>
  <si>
    <t>Eva MarÃ­a Leon,2025-07-12,48956.39,10520.94,San Vicente,LuÃ­s Chaparro Borja,Auriculares JBL,CrÃ©dito,5,768.71,150768.71</t>
  </si>
  <si>
    <t>Candelas Riquelme,2025-03-24,214396.81,43117.71,Alta CÃ³rdoba,Paca Aramburu Luz,Auriculares JBL,Efectivo,1,3425.58,153425.58</t>
  </si>
  <si>
    <t>Jaime Camino,2024-12-25,391273.05,75717.22,Villa Allende,Edelmiro Valenciano-Ojeda,Teclado Redragon,CrÃ©dito,3,6311.12,156311.12</t>
  </si>
  <si>
    <t>Florentino Lara,2024-11-09,189225.3,15402.4,Nueva CÃ³rdoba,Paca Aramburu Luz,Auriculares JBL,Efectivo,3,3476.46,153476.46</t>
  </si>
  <si>
    <t>Patricio Tello,2024-10-18,166352.55,17475.64,General Paz,Baldomero RamÃ³n,Monitor Samsung,CrÃ©dito,1,2977.54,152977.54</t>
  </si>
  <si>
    <t>InÃ©s Sastre,2024-12-28,380384.16,79502.7,CÃ³rdoba Centro,Baldomero RamÃ³n,Notebook Lenovo,CrÃ©dito,2,6017.63,156017.63</t>
  </si>
  <si>
    <t>MarÃ­a Dolores JuliÃ¡,2024-08-26,379091.24,61548.95,CÃ³rdoba Centro,Nieves del Ortega,Placa de Video Nvidia,Efectivo,4,6350.85,156350.85</t>
  </si>
  <si>
    <t>Marcial Quintanilla,2024-09-17,93637.06,17960.93,Nueva CÃ³rdoba,Nieves del Ortega,Notebook Lenovo,CrÃ©dito,1,1513.52,151513.52</t>
  </si>
  <si>
    <t>JosÃ© Antonio Olivares,2025-07-01,268965.15,18772.55,Nueva CÃ³rdoba,InÃ©s Campo Pont,Placa de Video Nvidia,Efectivo,2,5003.85,155003.85</t>
  </si>
  <si>
    <t>Custodia Perales,2024-08-10,430789.87,69583.95,Villa Allende,Calixta del Lago,Disco SSD Kingston,CrÃ©dito,4,7224.12,157224.12</t>
  </si>
  <si>
    <t>Quirino Vargas,2025-07-16,256510.81,34833.25,CÃ³rdoba Centro,Calixta del Lago,Monitor Samsung,Efectivo,1,4433.55,154433.55</t>
  </si>
  <si>
    <t>Samanta Roman,2025-01-27,132534.97,21035.22,Nueva CÃ³rdoba,Calixta del Lago,Monitor Samsung,Efectivo,3,2229.99,152229.99</t>
  </si>
  <si>
    <t>Ruth Berrocal,2025-04-11,328268.75,27124.31,CÃ³rdoba Centro,PÃ¡nfilo Montenegro Alba,PC Gamer,CrÃ©dito,2,6022.89,156022.89</t>
  </si>
  <si>
    <t>MarÃ­a Puga,2025-04-27,196038.96,44299.98,Nueva CÃ³rdoba,Dorita Abad LujÃ¡n,Placa de Video Nvidia,Efectivo,5,3034.78,153034.78</t>
  </si>
  <si>
    <t>JosÃ© Mari Noguera,2024-10-31,402474.01,62236.64,General Paz,LuÃ­s Chaparro Borja,Disco SSD Kingston,CrÃ©dito,4,6804.75,156804.75</t>
  </si>
  <si>
    <t>Melisa Galan,2024-12-18,280727.11,62601.02,Nueva CÃ³rdoba,Calixta del Lago,PC Gamer,Efectivo,2,4362.52,154362.52</t>
  </si>
  <si>
    <t>Dulce Perera,2025-04-03,67032.96,4680.2,Alta CÃ³rdoba,PÃ¡nfilo Montenegro Alba,Disco SSD Kingston,CrÃ©dito,5,1247.06,151247.06</t>
  </si>
  <si>
    <t>Fidel SÃ¡nchez,2025-06-17,395104.6,81863.06,Villa Allende,Edelmiro Valenciano-Ojeda,PC Gamer,CrÃ©dito,4,6264.83,156264.83</t>
  </si>
  <si>
    <t>Guillermo Borrego,2025-03-16,460337.42,3037.08,CÃ³rdoba Centro,Rosa de Bou,Mouse Logitech,Efectivo,5,9146.01,159146.01</t>
  </si>
  <si>
    <t>Victoriano Pinto,2024-10-31,34480.94,3598.16,Nueva CÃ³rdoba,Calixta del Lago,Mouse Logitech,CrÃ©dito,2,617.66,150617.66</t>
  </si>
  <si>
    <t>AnunciaciÃ³n Gallardo,2024-12-12,215473.78,41435.32,Alta CÃ³rdoba,Calixta del Lago,Mouse Logitech,Efectivo,2,3480.77,153480.77</t>
  </si>
  <si>
    <t>Alba Rojas,2024-12-17,241102.62,16776.09,San Vicente,Baldomero RamÃ³n,Tablet Samsung,Efectivo,3,4486.53,154486.53</t>
  </si>
  <si>
    <t>Melisa Arellano,2024-08-21,173710.14,31980.75,Nueva CÃ³rdoba,Baldomero RamÃ³n,Monitor Samsung,CrÃ©dito,2,2834.59,152834.59</t>
  </si>
  <si>
    <t>VenceslÃ¡s Carrera,2025-01-23,403281.15,35677.16,CÃ³rdoba Centro,PÃ¡nfilo Montenegro Alba,Placa de Video Nvidia,Efectivo,3,7352.08,157352.08</t>
  </si>
  <si>
    <t>Cecilio Casal,2024-08-15,135885.61,9301.42,Alta CÃ³rdoba,Rosa de Bou,Disco SSD Kingston,Efectivo,1,2531.68,152531.68</t>
  </si>
  <si>
    <t>IvÃ¡n Alonso,2025-01-01,176050.35,37064.55,General Paz,InÃ©s Campo Pont,Tablet Samsung,CrÃ©dito,5,2779.72,152779.72</t>
  </si>
  <si>
    <t>Eli Camps,2025-02-09,68548.49,13792.77,General Paz,Calixta del Lago,PC Gamer,Efectivo,3,1095.11,151095.11</t>
  </si>
  <si>
    <t>NoÃ© Font,2024-07-27,153634.59,18393.91,General Paz,Dorita Abad LujÃ¡n,Notebook Lenovo,Efectivo,1,2704.81,152704.81</t>
  </si>
  <si>
    <t>Octavio Pla,2024-08-02,139437.72,32510.4,Alta CÃ³rdoba,PÃ¡nfilo Montenegro Alba,Tablet Samsung,CrÃ©dito,5,2138.55,152138.55</t>
  </si>
  <si>
    <t>Dorotea Gargallo,2024-08-24,407723.42,47662.56,San Vicente,Nieves del Ortega,Placa de Video Nvidia,Efectivo,4,7201.22,157201.22</t>
  </si>
  <si>
    <t>Flavio Arribas,2024-07-26,347732.03,43999.0,General Paz,LuÃ­s Chaparro Borja,Tablet Samsung,Transferencia,1,6074.66,156074.66</t>
  </si>
  <si>
    <t>Anselma Canales,2024-11-29,470020.56,102659.79,Villa Allende,Paca Aramburu Luz,Tablet Samsung,Efectivo,4,7347.22,157347.22</t>
  </si>
  <si>
    <t>Godofredo BertrÃ¡n,2025-03-07,172378.4,39459.78,San Vicente,Calixta del Lago,Disco SSD Kingston,Efectivo,5,2658.37,152658.37</t>
  </si>
  <si>
    <t>Lucio FerrÃ¡ndiz,2024-12-24,102955.92,6209.77,San Vicente,PÃ¡nfilo Montenegro Alba,Notebook Lenovo,Transferencia,5,1934.92,151934.92</t>
  </si>
  <si>
    <t>Luciano Figuerola,2025-04-27,379326.85,68961.23,Villa Allende,Nieves del Ortega,Placa de Video Nvidia,CrÃ©dito,3,6207.31,156207.31</t>
  </si>
  <si>
    <t>Javiera Acosta,2025-07-01,207427.28,20179.34,Nueva CÃ³rdoba,Paca Aramburu Luz,Teclado Redragon,Efectivo,3,3744.96,153744.96</t>
  </si>
  <si>
    <t>LÃ¡zaro Fortuny,2024-08-09,119245.3,853.31,Nueva CÃ³rdoba,Dorita Abad LujÃ¡n,Notebook Lenovo,Transferencia,1,2367.84,152367.84</t>
  </si>
  <si>
    <t>Gabriela Murillo,2025-07-17,452376.26,27506.06,Villa Allende,Nieves del Ortega,Tablet Samsung,Efectivo,1,8497.4,158497.4</t>
  </si>
  <si>
    <t>Alejandro Merino,2024-12-24,99540.43,13696.45,General Paz,PÃ¡nfilo Montenegro Alba,Auriculares JBL,Efectivo,4,1716.88,151716.88</t>
  </si>
  <si>
    <t>MarÃ­a Luisa Gelabert,2025-05-28,499425.34,46212.88,Alta CÃ³rdoba,Calixta del Lago,Memoria RAM Corsair,Transferencia,2,9064.25,159064.25</t>
  </si>
  <si>
    <t>Selena Ledesma,2024-10-08,30308.37,6648.14,CÃ³rdoba Centro,Rosa de Bou,Placa de Video Nvidia,CrÃ©dito,1,473.2,150473.2</t>
  </si>
  <si>
    <t>Cayetana Pineda,2025-01-08,391975.03,5867.35,CÃ³rdoba Centro,Rosa de Bou,Teclado Redragon,Transferencia,4,7722.15,157722.15</t>
  </si>
  <si>
    <t>Ricarda Tenorio,2025-01-15,329424.57,49230.37,Alta CÃ³rdoba,LuÃ­s Chaparro Borja,Auriculares JBL,CrÃ©dito,1,5603.88,155603.88</t>
  </si>
  <si>
    <t>RaÃºl Solera,2024-10-19,81188.5,20030.17,Alta CÃ³rdoba,Dorita Abad LujÃ¡n,Placa de Video Nvidia,Transferencia,3,1223.17,151223.17</t>
  </si>
  <si>
    <t>Jordana Aramburu,2024-10-17,20657.63,2227.61,Alta CÃ³rdoba,InÃ©s Campo Pont,Teclado Redragon,Transferencia,1,368.6,150368.6</t>
  </si>
  <si>
    <t>Angelita MÃºÃ±iz,2025-07-11,262960.4,39359.2,Alta CÃ³rdoba,Nieves del Ortega,Mouse Logitech,Efectivo,2,4472.02,154472.02</t>
  </si>
  <si>
    <t>Ãngela Samper,2025-04-08,480162.05,9921.74,San Vicente,Paca Aramburu Luz,PC Gamer,Efectivo,4,9404.81,159404.81</t>
  </si>
  <si>
    <t>Almudena Uribe,2025-05-24,35631.9,3012.83,General Paz,Baldomero RamÃ³n,PC Gamer,Efectivo,2,652.38,150652.38</t>
  </si>
  <si>
    <t>Ulises Torres,2025-03-04,220002.81,46805.7,CÃ³rdoba Centro,Nieves del Ortega,Memoria RAM Corsair,Efectivo,2,3463.94,153463.94</t>
  </si>
  <si>
    <t>Pelayo PagÃ¨s,2025-06-06,181986.35,32643.18,CÃ³rdoba Centro,Rosa de Bou,Auriculares JBL,Efectivo,4,2986.86,152986.86</t>
  </si>
  <si>
    <t>Melania DueÃ±as,2025-01-04,484231.89,20070.53,Nueva CÃ³rdoba,PÃ¡nfilo Montenegro Alba,Mouse Logitech,CrÃ©dito,5,9283.23,159283.23</t>
  </si>
  <si>
    <t>Rico Soriano,2025-04-08,295236.89,47925.72,Alta CÃ³rdoba,Paca Aramburu Luz,PC Gamer,Transferencia,1,4946.22,154946.22</t>
  </si>
  <si>
    <t>Araceli Jaume,2025-02-24,41072.15,141.72,General Paz,PÃ¡nfilo Montenegro Alba,PC Gamer,Transferencia,2,818.61,150818.61</t>
  </si>
  <si>
    <t>Luna Montes,2025-04-02,188667.69,32443.89,General Paz,Nieves del Ortega,Notebook Lenovo,CrÃ©dito,2,3124.48,153124.48</t>
  </si>
  <si>
    <t>Jose RamÃ³n AgustÃ­,2025-04-09,71816.94,11111.74,Villa Allende,Baldomero RamÃ³n,Placa de Video Nvidia,CrÃ©dito,2,1214.1,151214.1</t>
  </si>
  <si>
    <t>Desiderio Quintanilla,2025-05-14,274240.36,57102.16,Alta CÃ³rdoba,Edelmiro Valenciano-Ojeda,Placa de Video Nvidia,CrÃ©dito,1,4342.76,154342.76</t>
  </si>
  <si>
    <t>Carmina Mate,2025-03-26,182396.94,3831.71,Nueva CÃ³rdoba,Calixta del Lago,Mouse Logitech,Efectivo,5,3571.3,153571.3</t>
  </si>
  <si>
    <t>Severo AriÃ±o,2024-09-12,39149.66,3402.77,Villa Allende,Nieves del Ortega,Mouse Logitech,CrÃ©dito,3,714.94,150714.94</t>
  </si>
  <si>
    <t>RubÃ©n Abad,2024-09-30,161396.34,27735.53,General Paz,Edelmiro Valenciano-Ojeda,PC Gamer,CrÃ©dito,5,2673.22,152673.22</t>
  </si>
  <si>
    <t>Cecilia Almagro,2025-03-17,389478.84,46999.04,Nueva CÃ³rdoba,Rosa de Bou,Disco SSD Kingston,Efectivo,1,6849.6,156849.6</t>
  </si>
  <si>
    <t>Gisela Araujo,2024-11-14,197774.97,41272.32,Alta CÃ³rdoba,Baldomero RamÃ³n,Memoria RAM Corsair,Transferencia,1,3130.05,153130.05</t>
  </si>
  <si>
    <t>Elvira Quiroga,2025-06-20,49534.92,7226.78,Villa Allende,Nieves del Ortega,Memoria RAM Corsair,Efectivo,3,846.16,150846.16</t>
  </si>
  <si>
    <t>RamÃ³n Acero,2024-08-21,265946.12,28265.58,Alta CÃ³rdoba,Calixta del Lago,Monitor Samsung,Efectivo,3,4753.61,154753.61</t>
  </si>
  <si>
    <t>Isaac Mosquera,2025-04-17,348409.71,19334.19,Alta CÃ³rdoba,Rosa de Bou,Placa de Video Nvidia,Efectivo,2,6581.51,156581.51</t>
  </si>
  <si>
    <t>Nico Bayo,2025-03-26,32133.77,1198.89,Nueva CÃ³rdoba,Edelmiro Valenciano-Ojeda,Monitor Samsung,Transferencia,1,618.7,150618.7</t>
  </si>
  <si>
    <t>BÃ¡rbara Ferrera,2025-04-26,173643.44,1815.96,Villa Allende,Edelmiro Valenciano-Ojeda,Placa de Video Nvidia,Efectivo,1,3436.55,153436.55</t>
  </si>
  <si>
    <t>Amaya Mesa,2024-10-21,65133.02,2358.84,Villa Allende,Edelmiro Valenciano-Ojeda,Auriculares JBL,Transferencia,2,1255.48,151255.48</t>
  </si>
  <si>
    <t>Gabino Nebot,2024-08-19,24697.76,4903.34,Villa Allende,Nieves del Ortega,Memoria RAM Corsair,Transferencia,5,395.89,150395.89</t>
  </si>
  <si>
    <t>Raquel Castells,2024-11-02,96803.46,1448.33,Alta CÃ³rdoba,Calixta del Lago,Mouse Logitech,Transferencia,4,1907.1,151907.1</t>
  </si>
  <si>
    <t>MarÃ­a JosÃ© Azcona,2025-04-25,293898.29,31653.11,San Vicente,Edelmiro Valenciano-Ojeda,Notebook Lenovo,Efectivo,4,5244.9,155244.9</t>
  </si>
  <si>
    <t>Cesar Sabater,2025-06-22,374882.28,91746.74,Nueva CÃ³rdoba,InÃ©s Campo Pont,Memoria RAM Corsair,CrÃ©dito,5,5662.71,155662.71</t>
  </si>
  <si>
    <t>Dionisio Nieto,2024-08-22,137900.68,19792.84,San Vicente,PÃ¡nfilo Montenegro Alba,Tablet Samsung,CrÃ©dito,1,2362.16,152362.16</t>
  </si>
  <si>
    <t>Amaro SimÃ³,2024-11-21,351163.98,57570.29,Villa Allende,Rosa de Bou,Memoria RAM Corsair,Efectivo,1,5871.87,155871.87</t>
  </si>
  <si>
    <t>Joel BarcelÃ³,2024-12-14,214643.7,39164.41,Villa Allende,PÃ¡nfilo Montenegro Alba,Monitor Samsung,Efectivo,2,3509.59,153509.59</t>
  </si>
  <si>
    <t>David Cisneros,2024-08-01,294038.27,7720.06,General Paz,Dorita Abad LujÃ¡n,Notebook Lenovo,CrÃ©dito,4,5726.36,155726.36</t>
  </si>
  <si>
    <t>Luciana AlemÃ¡n,2024-11-06,370620.89,13705.22,San Vicente,Nieves del Ortega,Tablet Samsung,CrÃ©dito,2,7138.31,157138.31</t>
  </si>
  <si>
    <t>Balduino Coca,2025-01-18,10660.5,1389.0,General Paz,Calixta del Lago,Notebook Lenovo,Transferencia,5,185.43,150185.43</t>
  </si>
  <si>
    <t>Clemente Ramis,2025-01-14,200796.36,46490.73,Alta CÃ³rdoba,Rosa de Bou,Auriculares JBL,Efectivo,1,3086.11,153086.11</t>
  </si>
  <si>
    <t>Loida Ibarra,2025-04-10,277248.79,33539.47,Alta CÃ³rdoba,Paca Aramburu Luz,Auriculares JBL,Efectivo,5,4874.19,154874.19</t>
  </si>
  <si>
    <t>Sabina Solano,2024-09-22,320778.34,68556.55,CÃ³rdoba Centro,Paca Aramburu Luz,Notebook Lenovo,Transferencia,2,5044.44,155044.44</t>
  </si>
  <si>
    <t>Flavia Donaire,2025-05-29,125466.07,18788.51,Nueva CÃ³rdoba,LuÃ­s Chaparro Borja,Notebook Lenovo,Efectivo,2,2133.55,152133.55</t>
  </si>
  <si>
    <t>Pancho Zurita,2025-04-02,467587.86,81817.05,Nueva CÃ³rdoba,Baldomero RamÃ³n,Notebook Lenovo,Transferencia,4,7715.42,157715.42</t>
  </si>
  <si>
    <t>Alma RossellÃ³,2024-11-10,49102.31,11703.24,Nueva CÃ³rdoba,Rosa de Bou,Tablet Samsung,Efectivo,5,747.98,150747.98</t>
  </si>
  <si>
    <t>Montserrat Trujillo,2024-08-30,283741.58,59802.45,CÃ³rdoba Centro,Calixta del Lago,Teclado Redragon,CrÃ©dito,1,4478.78,154478.78</t>
  </si>
  <si>
    <t>Tiburcio GirÃ³n,2025-05-30,346720.01,80649.4,Nueva CÃ³rdoba,InÃ©s Campo Pont,Teclado Redragon,Transferencia,4,5321.41,155321.41</t>
  </si>
  <si>
    <t>Claudia MontalbÃ¡n,2025-05-16,291013.61,15137.58,Nueva CÃ³rdoba,Calixta del Lago,Disco SSD Kingston,Efectivo,5,5517.52,155517.52</t>
  </si>
  <si>
    <t>Lupita Sanabria,2024-10-06,60742.63,14908.0,Alta CÃ³rdoba,Paca Aramburu Luz,Memoria RAM Corsair,Transferencia,3,916.69,150916.69</t>
  </si>
  <si>
    <t>Modesta Manso,2025-06-18,62981.65,14578.63,Villa Allende,Paca Aramburu Luz,Mouse Logitech,CrÃ©dito,2,968.06,150968.06</t>
  </si>
  <si>
    <t>Sonia Mayo,2025-03-06,484019.54,50822.1,General Paz,Rosa de Bou,Monitor Samsung,CrÃ©dito,5,8663.95,158663.95</t>
  </si>
  <si>
    <t>Amancio Canet,2025-05-11,41524.3,7438.99,General Paz,InÃ©s Campo Pont,Placa de Video Nvidia,Transferencia,4,681.71,150681.71</t>
  </si>
  <si>
    <t>Gerardo MendizÃ¡bal,2025-04-14,175555.32,8616.68,General Paz,Calixta del Lago,Tablet Samsung,Transferencia,2,3338.77,153338.77</t>
  </si>
  <si>
    <t>JosÃ© Ãngel CÃ¡novas,2024-12-03,132013.77,11054.66,Villa Allende,Rosa de Bou,Notebook Lenovo,Efectivo,1,2419.18,152419.18</t>
  </si>
  <si>
    <t>Felicia Casas,2025-04-24,54527.66,12107.33,San Vicente,Calixta del Lago,Notebook Lenovo,CrÃ©dito,3,848.41,150848.41</t>
  </si>
  <si>
    <t>Abilio Serrano,2024-07-29,130277.68,26230.27,Nueva CÃ³rdoba,Paca Aramburu Luz,Teclado Redragon,Transferencia,3,2080.95,152080.95</t>
  </si>
  <si>
    <t>Lilia Sotelo,2025-07-02,193615.9,31190.53,CÃ³rdoba Centro,Baldomero RamÃ³n,Memoria RAM Corsair,Efectivo,2,3248.51,153248.51</t>
  </si>
  <si>
    <t>TeÃ³filo Mateu,2025-01-10,64366.63,8059.9,Nueva CÃ³rdoba,Calixta del Lago,Monitor Samsung,Efectivo,5,1126.13,151126.13</t>
  </si>
  <si>
    <t>Jose Miguel Blanes,2025-02-28,423217.44,58348.35,CÃ³rdoba Centro,Nieves del Ortega,PC Gamer,Efectivo,4,7297.38,157297.38</t>
  </si>
  <si>
    <t>Juan Manuel Landa,2025-04-10,346233.59,67902.28,General Paz,LuÃ­s Chaparro Borja,PC Gamer,Efectivo,2,5566.63,155566.63</t>
  </si>
  <si>
    <t>Rafaela Cepeda,2024-12-17,96919.97,18229.25,Villa Allende,Baldomero RamÃ³n,Notebook Lenovo,Efectivo,1,1573.81,151573.81</t>
  </si>
  <si>
    <t>Ligia SÃ¡ez,2024-11-07,437369.33,5127.6,Alta CÃ³rdoba,PÃ¡nfilo Montenegro Alba,Teclado Redragon,Transferencia,5,8644.83,158644.83</t>
  </si>
  <si>
    <t>MarÃ­a JosÃ© CÃ©spedes,2024-12-25,67556.93,6785.28,CÃ³rdoba Centro,Dorita Abad LujÃ¡n,Auriculares JBL,CrÃ©dito,1,1215.43,151215.43</t>
  </si>
  <si>
    <t>Dimas Burgos,2024-11-11,63728.26,2496.41,General Paz,Calixta del Lago,Notebook Lenovo,Transferencia,1,1224.64,151224.64</t>
  </si>
  <si>
    <t>Amalia BadÃ­a,2024-12-04,40031.24,9435.3,CÃ³rdoba Centro,Rosa de Bou,Teclado Redragon,CrÃ©dito,1,611.92,150611.92</t>
  </si>
  <si>
    <t>Eloy Diez,2024-08-23,199414.2,27665.91,CÃ³rdoba Centro,Baldomero RamÃ³n,Tablet Samsung,Efectivo,2,3434.97,153434.97</t>
  </si>
  <si>
    <t>Hernando Alemany,2025-01-25,261184.02,961.72,Nueva CÃ³rdoba,LuÃ­s Chaparro Borja,PC Gamer,Efectivo,5,5204.45,155204.45</t>
  </si>
  <si>
    <t>Albina Hidalgo,2025-01-16,219690.48,2777.23,General Paz,Rosa de Bou,Notebook Lenovo,Efectivo,1,4338.27,154338.27</t>
  </si>
  <si>
    <t>Odalis Marco,2024-07-26,336629.25,76674.12,San Vicente,LuÃ­s Chaparro Borja,Auriculares JBL,Efectivo,5,5199.1,155199.1</t>
  </si>
  <si>
    <t>Jonatan Navas,2024-09-13,381348.8,12135.44,Alta CÃ³rdoba,Baldomero RamÃ³n,Memoria RAM Corsair,Efectivo,1,7384.27,157384.27</t>
  </si>
  <si>
    <t>RosalÃ­a AgustÃ­n,2024-09-02,241739.38,46532.49,Alta CÃ³rdoba,PÃ¡nfilo Montenegro Alba,Notebook Lenovo,CrÃ©dito,1,3904.14,153904.14</t>
  </si>
  <si>
    <t>Vanesa Sureda,2025-05-26,37182.48,421.34,General Paz,Edelmiro Valenciano-Ojeda,Memoria RAM Corsair,Transferencia,4,735.22,150735.22</t>
  </si>
  <si>
    <t>Sigfrido Duque,2025-03-18,320712.21,76903.37,General Paz,Edelmiro Valenciano-Ojeda,Placa de Video Nvidia,CrÃ©dito,3,4876.18,154876.18</t>
  </si>
  <si>
    <t>PacÃ­fica Escudero,2025-03-19,366675.17,69998.71,CÃ³rdoba Centro,Nieves del Ortega,Mouse Logitech,CrÃ©dito,2,5933.53,155933.53</t>
  </si>
  <si>
    <t>Dulce Sobrino,2025-01-12,379026.79,6762.4,Villa Allende,Paca Aramburu Luz,Mouse Logitech,Transferencia,1,7445.29,157445.29</t>
  </si>
  <si>
    <t>Aureliano Rueda,2025-01-24,369335.56,19704.59,Alta CÃ³rdoba,Paca Aramburu Luz,Disco SSD Kingston,Transferencia,3,6992.62,156992.62</t>
  </si>
  <si>
    <t>Antonio Arce,2024-12-11,465075.18,20244.45,CÃ³rdoba Centro,PÃ¡nfilo Montenegro Alba,Memoria RAM Corsair,Efectivo,1,8896.61,158896.61</t>
  </si>
  <si>
    <t>AndrÃ©s Felipe Tejedor,2025-06-25,63015.92,7060.68,CÃ³rdoba Centro,Dorita Abad LujÃ¡n,Auriculares JBL,Efectivo,1,1119.1,151119.1</t>
  </si>
  <si>
    <t>Obdulia Jurado,2024-08-12,203528.96,3218.94,Villa Allende,LuÃ­s Chaparro Borja,Mouse Logitech,Transferencia,2,4006.2,154006.2</t>
  </si>
  <si>
    <t>Rodolfo Fuster,2024-09-04,142242.86,9023.3,General Paz,Rosa de Bou,Placa de Video Nvidia,Efectivo,5,2664.39,152664.39</t>
  </si>
  <si>
    <t>Fabiola Vara,2024-10-26,64286.37,1712.2,San Vicente,Edelmiro Valenciano-Ojeda,Auriculares JBL,Transferencia,2,1251.48,151251.48</t>
  </si>
  <si>
    <t>NoemÃ­ CÃ³zar,2025-01-22,189872.59,16974.39,San Vicente,PÃ¡nfilo Montenegro Alba,Disco SSD Kingston,Efectivo,2,3457.96,153457.96</t>
  </si>
  <si>
    <t>Francisco Cal,2025-07-17,315204.21,57819.04,Alta CÃ³rdoba,Paca Aramburu Luz,Placa de Video Nvidia,Transferencia,2,5147.7,155147.7</t>
  </si>
  <si>
    <t>Febe Hidalgo,2025-05-30,432154.85,22241.28,CÃ³rdoba Centro,InÃ©s Campo Pont,Auriculares JBL,Efectivo,3,8198.27,158198.27</t>
  </si>
  <si>
    <t>Cristina Canet,2024-11-16,493815.3,48526.14,General Paz,PÃ¡nfilo Montenegro Alba,Auriculares JBL,Efectivo,3,8905.78,158905.78</t>
  </si>
  <si>
    <t>Delia JuliÃ¡n,2025-06-04,366385.02,32409.81,Villa Allende,Baldomero RamÃ³n,Placa de Video Nvidia,CrÃ©dito,1,6679.5,156679.5</t>
  </si>
  <si>
    <t>Inocencio Luna,2025-01-11,476195.44,50886.15,Villa Allende,Rosa de Bou,PC Gamer,CrÃ©dito,3,8506.19,158506.19</t>
  </si>
  <si>
    <t>RamÃ³n Valle,2025-05-07,284840.39,54800.82,General Paz,InÃ©s Campo Pont,Monitor Samsung,Transferencia,1,4600.79,154600.79</t>
  </si>
  <si>
    <t>VerÃ³nica Uribe,2024-12-13,14884.53,2940.78,General Paz,PÃ¡nfilo Montenegro Alba,Disco SSD Kingston,Transferencia,3,238.88,150238.88</t>
  </si>
  <si>
    <t>Norberto Seco,2024-12-10,379931.24,13581.81,Villa Allende,Rosa de Bou,Teclado Redragon,Efectivo,5,7326.99,157326.99</t>
  </si>
  <si>
    <t>Ãmbar Roman,2025-05-09,416463.26,74968.27,San Vicente,Edelmiro Valenciano-Ojeda,Tablet Samsung,CrÃ©dito,3,6829.9,156829.9</t>
  </si>
  <si>
    <t>WÃ¡lter CabaÃ±as,2024-11-30,318779.2,18395.62,Nueva CÃ³rdoba,Paca Aramburu Luz,Disco SSD Kingston,Efectivo,2,6007.67,156007.67</t>
  </si>
  <si>
    <t>Renato Casas,2024-08-27,60490.53,10916.23,Nueva CÃ³rdoba,Calixta del Lago,Mouse Logitech,Transferencia,1,991.49,150991.49</t>
  </si>
  <si>
    <t>Yago Pintor,2025-06-22,305184.5,2408.27,Villa Allende,LuÃ­s Chaparro Borja,Placa de Video Nvidia,Transferencia,5,6055.52,156055.52</t>
  </si>
  <si>
    <t>Etelvina EscrivÃ¡,2025-06-26,67279.57,7451.91,CÃ³rdoba Centro,Dorita Abad LujÃ¡n,Notebook Lenovo,CrÃ©dito,2,1196.55,151196.55</t>
  </si>
  <si>
    <t>HernÃ¡n Moliner,2025-06-11,271087.39,11747.42,CÃ³rdoba Centro,Baldomero RamÃ³n,Tablet Samsung,Efectivo,1,5186.8,155186.8</t>
  </si>
  <si>
    <t>Ainara Izaguirre,2025-03-01,73957.51,4775.2,General Paz,PÃ¡nfilo Montenegro Alba,Mouse Logitech,Efectivo,4,1383.65,151383.65</t>
  </si>
  <si>
    <t>AbigaÃ­l Pareja,2024-08-24,102065.11,11611.4,San Vicente,Rosa de Bou,Disco SSD Kingston,Transferencia,1,1809.07,151809.07</t>
  </si>
  <si>
    <t>RaÃºl Figuerola,2025-02-28,21213.2,1754.66,San Vicente,Nieves del Ortega,Tablet Samsung,CrÃ©dito,4,389.17,150389.17</t>
  </si>
  <si>
    <t>Martirio Villena,2024-12-24,49526.5,2055.94,Nueva CÃ³rdoba,Nieves del Ortega,Disco SSD Kingston,Efectivo,4,949.41,150949.41</t>
  </si>
  <si>
    <t>Malena Ãguila,2025-06-30,314249.52,10321.31,Villa Allende,Nieves del Ortega,Disco SSD Kingston,CrÃ©dito,3,6078.56,156078.56</t>
  </si>
  <si>
    <t>AdÃ¡n PiÃ±eiro,2025-03-24,216504.59,937.36,Villa Allende,Rosa de Bou,Tablet Samsung,CrÃ©dito,1,4311.34,154311.34</t>
  </si>
  <si>
    <t>Rosalina Tejera,2025-02-19,136008.37,13181.82,Nueva CÃ³rdoba,LuÃ­s Chaparro Borja,Monitor Samsung,CrÃ©dito,3,2456.53,152456.53</t>
  </si>
  <si>
    <t>Rosalva Morera,2024-12-11,176733.45,8470.19,San Vicente,LuÃ­s Chaparro Borja,Tablet Samsung,CrÃ©dito,5,3365.27,153365.27</t>
  </si>
  <si>
    <t>Rufina SaldaÃ±a,2025-02-03,86711.62,16297.11,Alta CÃ³rdoba,PÃ¡nfilo Montenegro Alba,Disco SSD Kingston,CrÃ©dito,3,1408.29,151408.29</t>
  </si>
  <si>
    <t>Pepito Cabanillas,2025-06-18,65974.39,14537.77,San Vicente,Rosa de Bou,Disco SSD Kingston,Efectivo,5,1028.73,151028.73</t>
  </si>
  <si>
    <t>Trini Carpio,2024-10-02,473528.32,47608.0,Alta CÃ³rdoba,Rosa de Bou,Mouse Logitech,CrÃ©dito,5,8518.41,158518.41</t>
  </si>
  <si>
    <t>JosÃ© Arco,2024-12-20,255969.45,50913.13,CÃ³rdoba Centro,Calixta del Lago,Memoria RAM Corsair,Transferencia,3,4101.13,154101.13</t>
  </si>
  <si>
    <t>Crescencia Baena,2024-11-04,219076.25,12518.43,General Paz,LuÃ­s Chaparro Borja,Monitor Samsung,CrÃ©dito,2,4131.16,154131.16</t>
  </si>
  <si>
    <t>CÃ¡ndido Bautista,2024-12-31,305690.66,48853.04,San Vicente,Dorita Abad LujÃ¡n,Tablet Samsung,Efectivo,2,5136.75,155136.75</t>
  </si>
  <si>
    <t>Zoraida AmigÃ³,2024-10-12,378353.48,48493.7,Villa Allende,InÃ©s Campo Pont,Mouse Logitech,Transferencia,5,6597.2,156597.2</t>
  </si>
  <si>
    <t>VerÃ³nica Vazquez,2024-12-24,401645.31,94861.0,Nueva CÃ³rdoba,InÃ©s Campo Pont,Monitor Samsung,Efectivo,5,6135.69,156135.69</t>
  </si>
  <si>
    <t>Sabas GuillÃ©n,2025-05-14,369106.04,89329.44,General Paz,Dorita Abad LujÃ¡n,Disco SSD Kingston,CrÃ©dito,2,5595.53,155595.53</t>
  </si>
  <si>
    <t>Lucio Milla,2024-08-28,125900.13,2572.63,Villa Allende,Rosa de Bou,PC Gamer,Transferencia,3,2466.55,152466.55</t>
  </si>
  <si>
    <t>Maricela Castells,2025-07-02,330798.21,11946.66,Nueva CÃ³rdoba,Baldomero RamÃ³n,Placa de Video Nvidia,Efectivo,5,6377.03,156377.03</t>
  </si>
  <si>
    <t>Juan Luis Figueras,2025-06-19,287832.77,62865.45,Alta CÃ³rdoba,InÃ©s Campo Pont,Disco SSD Kingston,Transferencia,4,4499.35,154499.35</t>
  </si>
  <si>
    <t>Lucio Uribe,2024-08-11,413391.95,95774.92,Alta CÃ³rdoba,Rosa de Bou,Auriculares JBL,Transferencia,2,6352.34,156352.34</t>
  </si>
  <si>
    <t>Rosario Olivera,2025-07-01,265175.63,30030.44,General Paz,Calixta del Lago,Disco SSD Kingston,Efectivo,3,4702.9,154702.9</t>
  </si>
  <si>
    <t>Roque Martinez,2025-05-22,378746.79,78054.51,Alta CÃ³rdoba,LuÃ­s Chaparro Borja,Tablet Samsung,Efectivo,3,6013.85,156013.85</t>
  </si>
  <si>
    <t>Hernando Palau,2025-07-23,279637.97,68347.95,Nueva CÃ³rdoba,Baldomero RamÃ³n,Notebook Lenovo,CrÃ©dito,1,4225.8,154225.8</t>
  </si>
  <si>
    <t>BegoÃ±a Blanco,2024-09-08,117355.1,16300.28,General Paz,Rosa de Bou,Auriculares JBL,CrÃ©dito,1,2021.1,152021.1</t>
  </si>
  <si>
    <t>Eladio Reguera,2025-06-18,381032.02,37470.03,Nueva CÃ³rdoba,Dorita Abad LujÃ¡n,Auriculares JBL,CrÃ©dito,1,6871.24,156871.24</t>
  </si>
  <si>
    <t>Ãšrsula Portillo,2024-11-02,395595.37,57906.92,San Vicente,Dorita Abad LujÃ¡n,Memoria RAM Corsair,Efectivo,1,6753.77,156753.77</t>
  </si>
  <si>
    <t>Elena Hervia,2024-09-19,415117.49,56640.85,CÃ³rdoba Centro,Edelmiro Valenciano-Ojeda,Mouse Logitech,Efectivo,4,7169.53,157169.53</t>
  </si>
  <si>
    <t>PÃ­o Haro,2024-10-11,145389.99,8623.95,General Paz,Dorita Abad LujÃ¡n,Monitor Samsung,CrÃ©dito,4,2735.32,152735.32</t>
  </si>
  <si>
    <t>Borja Aguilera,2025-02-20,201613.86,23932.25,CÃ³rdoba Centro,Rosa de Bou,Mouse Logitech,Transferencia,3,3553.63,153553.63</t>
  </si>
  <si>
    <t>Nicodemo Madrigal,2025-05-14,113446.72,9909.26,Nueva CÃ³rdoba,Nieves del Ortega,Notebook Lenovo,CrÃ©dito,1,2070.75,152070.75</t>
  </si>
  <si>
    <t>Humberto MirÃ³,2024-07-29,393715.84,13184.25,Alta CÃ³rdoba,Rosa de Bou,PC Gamer,Efectivo,2,7610.63,157610.63</t>
  </si>
  <si>
    <t>Angelita Araujo,2024-09-28,415170.25,59471.37,San Vicente,InÃ©s Campo Pont,Memoria RAM Corsair,Efectivo,1,7113.98,157113.98</t>
  </si>
  <si>
    <t>Dafne Requena,2025-07-19,465489.56,98877.42,General Paz,Rosa de Bou,Tablet Samsung,CrÃ©dito,4,7332.24,157332.24</t>
  </si>
  <si>
    <t>Lino Pareja,2024-09-22,82983.77,11152.69,San Vicente,PÃ¡nfilo Montenegro Alba,Placa de Video Nvidia,Efectivo,5,1436.62,151436.62</t>
  </si>
  <si>
    <t>Ovidio CÃ¡ceres,2025-06-13,398428.92,77173.53,Alta CÃ³rdoba,Calixta del Lago,Monitor Samsung,Efectivo,4,6425.11,156425.11</t>
  </si>
  <si>
    <t>Angelita Feijoo,2024-07-29,104159.93,20684.54,San Vicente,Edelmiro Valenciano-Ojeda,Tablet Samsung,Transferencia,4,1669.51,151669.51</t>
  </si>
  <si>
    <t>Pepito Madrigal,2024-12-10,311666.0,5003.52,Alta CÃ³rdoba,InÃ©s Campo Pont,Disco SSD Kingston,Efectivo,5,6133.25,156133.25</t>
  </si>
  <si>
    <t>Susana Esteban,2025-04-06,141755.65,28831.71,Nueva CÃ³rdoba,Calixta del Lago,Teclado Redragon,Efectivo,2,2258.48,152258.48</t>
  </si>
  <si>
    <t>Beatriz Sancho,2024-12-23,332582.42,47895.73,Alta CÃ³rdoba,LuÃ­s Chaparro Borja,Tablet Samsung,Transferencia,3,5693.73,155693.73</t>
  </si>
  <si>
    <t>Ciriaco CuÃ©llar,2025-03-29,90989.39,5529.3,San Vicente,LuÃ­s Chaparro Borja,Auriculares JBL,CrÃ©dito,4,1709.2,151709.2</t>
  </si>
  <si>
    <t>HÃ©ctor CarbÃ³,2024-10-10,330484.58,72872.54,Alta CÃ³rdoba,InÃ©s Campo Pont,Auriculares JBL,Transferencia,2,5152.24,155152.24</t>
  </si>
  <si>
    <t>HernÃ¡n OrdÃ³Ã±ez,2024-10-16,110080.8,26771.51,San Vicente,Paca Aramburu Luz,Tablet Samsung,CrÃ©dito,2,1666.19,151666.19</t>
  </si>
  <si>
    <t>Fausto Serrano,2024-11-01,471331.16,108872.87,Villa Allende,Rosa de Bou,Auriculares JBL,CrÃ©dito,3,7249.17,157249.17</t>
  </si>
  <si>
    <t>Bernardo Ramirez,2024-07-29,447099.81,81394.34,Alta CÃ³rdoba,Edelmiro Valenciano-Ojeda,Teclado Redragon,Transferencia,4,7314.11,157314.11</t>
  </si>
  <si>
    <t>Teodoro LladÃ³,2025-01-07,334617.96,30555.26,General Paz,InÃ©s Campo Pont,Mouse Logitech,Transferencia,3,6081.25,156081.25</t>
  </si>
  <si>
    <t>Alfredo Palacios,2024-07-26,101599.89,11681.8,Villa Allende,Baldomero RamÃ³n,Notebook Lenovo,Efectivo,2,1798.36,151798.36</t>
  </si>
  <si>
    <t>Duilio AntÃ³n,2025-04-15,466813.85,38695.68,Alta CÃ³rdoba,LuÃ­s Chaparro Borja,Tablet Samsung,Efectivo,2,8562.36,158562.36</t>
  </si>
  <si>
    <t>Mateo Matas,2024-11-08,218141.88,32310.48,Nueva CÃ³rdoba,PÃ¡nfilo Montenegro Alba,Tablet Samsung,Transferencia,1,3716.63,153716.63</t>
  </si>
  <si>
    <t>Luisa ManjÃ³n,2024-11-30,172057.75,3172.44,San Vicente,Nieves del Ortega,Tablet Samsung,Transferencia,1,3377.71,153377.71</t>
  </si>
  <si>
    <t>Melisa Blanca,2024-08-04,202649.74,36876.63,Villa Allende,Nieves del Ortega,Memoria RAM Corsair,CrÃ©dito,1,3315.46,153315.46</t>
  </si>
  <si>
    <t>Rosenda Cuervo,2025-07-21,190828.4,36512.37,CÃ³rdoba Centro,Rosa de Bou,Monitor Samsung,Efectivo,3,3086.32,153086.32</t>
  </si>
  <si>
    <t>Pelayo CaparrÃ³s,2025-06-21,370019.12,86069.29,General Paz,Nieves del Ortega,Tablet Samsung,Transferencia,5,5679.0,155679.0</t>
  </si>
  <si>
    <t>Fabricio Tejada,2024-09-18,254795.79,21784.97,San Vicente,Paca Aramburu Luz,Memoria RAM Corsair,CrÃ©dito,3,4660.22,154660.22</t>
  </si>
  <si>
    <t>Diana Lastra,2025-04-12,456083.75,27324.2,General Paz,Baldomero RamÃ³n,Monitor Samsung,CrÃ©dito,1,8575.19,158575.19</t>
  </si>
  <si>
    <t>RocÃ­o GÃ¡rate,2025-07-11,321948.45,13615.18,Villa Allende,Edelmiro Valenciano-Ojeda,PC Gamer,Transferencia,1,6166.67,156166.67</t>
  </si>
  <si>
    <t>PÃ­o Somoza,2025-03-12,351782.1,27911.55,San Vicente,Calixta del Lago,Teclado Redragon,Efectivo,4,6477.41,156477.41</t>
  </si>
  <si>
    <t>Gabriel Rivera,2024-11-14,350692.39,9043.31,Nueva CÃ³rdoba,LuÃ­s Chaparro Borja,Teclado Redragon,Transferencia,4,6832.98,156832.98</t>
  </si>
  <si>
    <t>Bibiana Ruano,2024-11-07,187456.92,41764.92,San Vicente,InÃ©s Campo Pont,Monitor Samsung,Efectivo,3,2913.84,152913.84</t>
  </si>
  <si>
    <t>PÃ­o OrtuÃ±o,2025-07-09,163246.86,20775.95,San Vicente,LuÃ­s Chaparro Borja,Monitor Samsung,CrÃ©dito,4,2849.42,152849.42</t>
  </si>
  <si>
    <t>Tere Mas,2025-05-18,486425.34,86457.62,Alta CÃ³rdoba,Dorita Abad LujÃ¡n,Monitor Samsung,Efectivo,4,7999.35,157999.35</t>
  </si>
  <si>
    <t>MarÃ­a Teresa Sandoval,2024-08-11,132499.22,28969.35,CÃ³rdoba Centro,Calixta del Lago,Disco SSD Kingston,Efectivo,5,2070.6,152070.6</t>
  </si>
  <si>
    <t>Reynaldo Montoya,2025-02-17,211582.41,11613.02,San Vicente,Edelmiro Valenciano-Ojeda,Auriculares JBL,Transferencia,5,3999.39,153999.39</t>
  </si>
  <si>
    <t>Silvio Zabaleta,2025-06-03,225766.25,56170.7,General Paz,Calixta del Lago,Placa de Video Nvidia,CrÃ©dito,5,3391.91,153391.91</t>
  </si>
  <si>
    <t>Lope Galan,2025-03-10,218302.8,39526.79,CÃ³rdoba Centro,Calixta del Lago,Teclado Redragon,Efectivo,3,3575.52,153575.52</t>
  </si>
  <si>
    <t>Jose Antonio Valverde,2025-06-28,476269.21,15707.89,Nueva CÃ³rdoba,Baldomero RamÃ³n,Tablet Samsung,CrÃ©dito,2,9211.23,159211.23</t>
  </si>
  <si>
    <t>Bienvenida Garrido,2024-08-27,216966.96,16758.85,San Vicente,LuÃ­s Chaparro Borja,Teclado Redragon,Transferencia,1,4004.16,154004.16</t>
  </si>
  <si>
    <t>Alex Zapata,2024-11-01,154670.26,22224.91,Nueva CÃ³rdoba,Paca Aramburu Luz,Memoria RAM Corsair,CrÃ©dito,5,2648.91,152648.91</t>
  </si>
  <si>
    <t>Silvio Sans,2024-08-06,460771.36,30601.28,Villa Allende,Dorita Abad LujÃ¡n,Notebook Lenovo,Transferencia,2,8603.4,158603.4</t>
  </si>
  <si>
    <t>Benigna AyllÃ³n,2024-10-14,81992.68,18448.8,General Paz,Paca Aramburu Luz,PC Gamer,Efectivo,2,1270.88,151270.88</t>
  </si>
  <si>
    <t>Arturo NarvÃ¡ez,2024-12-31,251025.59,9984.07,San Vicente,Nieves del Ortega,Mouse Logitech,Transferencia,3,4820.83,154820.83</t>
  </si>
  <si>
    <t>Adriana EscrivÃ¡,2024-09-06,108961.26,25750.62,CÃ³rdoba Centro,Rosa de Bou,Notebook Lenovo,CrÃ©dito,1,1664.21,151664.21</t>
  </si>
  <si>
    <t>Ani Clavero,2025-03-08,139775.14,9926.81,San Vicente,Nieves del Ortega,Disco SSD Kingston,Efectivo,5,2596.97,152596.97</t>
  </si>
  <si>
    <t>Anastasio Izquierdo,2024-10-29,237321.97,24707.14,Alta CÃ³rdoba,Rosa de Bou,Tablet Samsung,CrÃ©dito,5,4252.3,154252.3</t>
  </si>
  <si>
    <t>Malena Aparicio,2025-02-11,451482.08,53574.22,San Vicente,LuÃ­s Chaparro Borja,Auriculares JBL,Efectivo,1,7958.16,157958.16</t>
  </si>
  <si>
    <t>Vito Fabra,2025-05-30,110686.24,19007.11,Villa Allende,Nieves del Ortega,Monitor Samsung,Transferencia,1,1833.58,151833.58</t>
  </si>
  <si>
    <t>Abilio Gaya,2024-10-13,394730.6,42340.12,General Paz,Paca Aramburu Luz,Auriculares JBL,CrÃ©dito,4,7047.81,157047.81</t>
  </si>
  <si>
    <t>Lisandro Polo,2024-11-16,225391.19,48332.52,CÃ³rdoba Centro,Nieves del Ortega,Tablet Samsung,Transferencia,2,3541.17,153541.17</t>
  </si>
  <si>
    <t>Jacobo Albero,2024-12-29,497508.95,5210.33,Alta CÃ³rdoba,LuÃ­s Chaparro Borja,Monitor Samsung,Efectivo,2,9845.97,159845.97</t>
  </si>
  <si>
    <t>Silvia Escalona,2025-04-20,175368.83,17560.04,San Vicente,PÃ¡nfilo Montenegro Alba,Placa de Video Nvidia,Transferencia,3,3156.18,153156.18</t>
  </si>
  <si>
    <t>Araceli DomÃ©nech,2025-06-12,217036.86,30118.14,CÃ³rdoba Centro,PÃ¡nfilo Montenegro Alba,Memoria RAM Corsair,Efectivo,2,3738.37,153738.37</t>
  </si>
  <si>
    <t>Constanza Nieto,2024-12-11,176851.27,15990.84,San Vicente,Calixta del Lago,Memoria RAM Corsair,Efectivo,5,3217.21,153217.21</t>
  </si>
  <si>
    <t>Marita Bayona,2024-09-14,321595.58,15336.14,General Paz,LuÃ­s Chaparro Borja,Auriculares JBL,Efectivo,3,6125.19,156125.19</t>
  </si>
  <si>
    <t>Jordi Alba,2025-07-13,264649.6,59537.52,General Paz,Dorita Abad LujÃ¡n,Mouse Logitech,Efectivo,5,4102.24,154102.24</t>
  </si>
  <si>
    <t>Toni Moraleda,2025-01-29,28291.32,2871.88,General Paz,InÃ©s Campo Pont,Monitor Samsung,Efectivo,2,508.39,150508.39</t>
  </si>
  <si>
    <t>Loreto GalÃ¡n,2025-05-12,389355.87,96107.55,Nueva CÃ³rdoba,LuÃ­s Chaparro Borja,Tablet Samsung,Transferencia,5,5864.97,155864.97</t>
  </si>
  <si>
    <t>Perla Perea,2024-12-25,310293.02,68542.95,Nueva CÃ³rdoba,Edelmiro Valenciano-Ojeda,Disco SSD Kingston,CrÃ©dito,4,4835.0,154835.0</t>
  </si>
  <si>
    <t>Poncio Lerma,2024-10-07,82417.38,13713.62,San Vicente,InÃ©s Campo Pont,Teclado Redragon,Efectivo,1,1374.08,151374.08</t>
  </si>
  <si>
    <t>Imelda Carranza,2025-02-25,296530.22,47787.9,Nueva CÃ³rdoba,Edelmiro Valenciano-Ojeda,Auriculares JBL,Efectivo,5,4974.85,154974.85</t>
  </si>
  <si>
    <t>Carla Albero,2025-05-24,300599.7,29089.54,Alta CÃ³rdoba,Paca Aramburu Luz,Memoria RAM Corsair,Transferencia,3,5430.2,155430.2</t>
  </si>
  <si>
    <t>Magdalena Sastre,2024-11-02,219233.82,20074.49,Alta CÃ³rdoba,Rosa de Bou,PC Gamer,CrÃ©dito,1,3983.19,153983.19</t>
  </si>
  <si>
    <t>Edu FerrÃ¡ndez,2024-09-11,181944.4,18130.51,CÃ³rdoba Centro,Paca Aramburu Luz,Mouse Logitech,Efectivo,1,3276.28,153276.28</t>
  </si>
  <si>
    <t>Francisco Jose Arrieta,2025-06-18,74276.12,18512.66,CÃ³rdoba Centro,Paca Aramburu Luz,Disco SSD Kingston,CrÃ©dito,4,1115.27,151115.27</t>
  </si>
  <si>
    <t>Rufina Ayuso,2025-04-20,140773.12,21269.12,General Paz,Baldomero RamÃ³n,Disco SSD Kingston,CrÃ©dito,4,2390.08,152390.08</t>
  </si>
  <si>
    <t>Raimundo Llobet,2024-11-04,196093.66,8321.7,Alta CÃ³rdoba,Nieves del Ortega,Placa de Video Nvidia,Transferencia,4,3755.44,153755.44</t>
  </si>
  <si>
    <t>Evangelina Guijarro,2025-02-02,74296.64,2177.41,San Vicente,Calixta del Lago,Auriculares JBL,Efectivo,4,1442.38,151442.38</t>
  </si>
  <si>
    <t>Abilio Bermejo,2025-02-17,400631.0,4324.53,Villa Allende,PÃ¡nfilo Montenegro Alba,Disco SSD Kingston,Transferencia,2,7926.13,157926.13</t>
  </si>
  <si>
    <t>Adela Ayala,2025-01-15,243385.28,17997.61,General Paz,LuÃ­s Chaparro Borja,Auriculares JBL,CrÃ©dito,4,4507.75,154507.75</t>
  </si>
  <si>
    <t>Tomasa Pelayo,2024-09-02,284122.79,66070.17,CÃ³rdoba Centro,Baldomero RamÃ³n,Teclado Redragon,Transferencia,5,4361.05,154361.05</t>
  </si>
  <si>
    <t>Juan Bautista Santos,2025-02-07,434838.71,60772.37,Nueva CÃ³rdoba,PÃ¡nfilo Montenegro Alba,PC Gamer,Efectivo,3,7481.33,157481.33</t>
  </si>
  <si>
    <t>Emma MartÃ­,2025-03-21,237807.25,26131.61,Nueva CÃ³rdoba,LuÃ­s Chaparro Borja,Teclado Redragon,Efectivo,2,4233.51,154233.51</t>
  </si>
  <si>
    <t>Fidela MacÃ­as,2025-05-16,275306.84,58380.76,San Vicente,Baldomero RamÃ³n,Auriculares JBL,CrÃ©dito,3,4338.52,154338.52</t>
  </si>
  <si>
    <t>Adela Llorente,2025-03-04,128628.02,7497.69,Villa Allende,Nieves del Ortega,Mouse Logitech,Transferencia,5,2422.61,152422.61</t>
  </si>
  <si>
    <t>Guiomar Nogueira,2025-01-24,268065.33,42860.37,Alta CÃ³rdoba,Nieves del Ortega,Placa de Video Nvidia,CrÃ©dito,1,4504.1,154504.1</t>
  </si>
  <si>
    <t>BartolomÃ© DiÃ©guez,2025-03-31,93908.41,4032.27,CÃ³rdoba Centro,Dorita Abad LujÃ¡n,Disco SSD Kingston,Efectivo,2,1797.52,151797.52</t>
  </si>
  <si>
    <t>Duilio LarraÃ±aga,2024-09-21,429052.52,8702.0,Villa Allende,InÃ©s Campo Pont,Disco SSD Kingston,CrÃ©dito,3,8407.01,158407.01</t>
  </si>
  <si>
    <t>Charo Fortuny,2025-02-28,420250.33,40038.4,San Vicente,InÃ©s Campo Pont,Disco SSD Kingston,Transferencia,4,7604.24,157604.24</t>
  </si>
  <si>
    <t>Olimpia Blazquez,2025-05-15,184411.62,26431.91,General Paz,PÃ¡nfilo Montenegro Alba,Auriculares JBL,Transferencia,1,3159.59,153159.59</t>
  </si>
  <si>
    <t>ElÃ­as BarberÃ¡,2024-12-15,100527.02,12794.7,San Vicente,InÃ©s Campo Pont,Monitor Samsung,Transferencia,4,1754.65,151754.65</t>
  </si>
  <si>
    <t>Ruy BÃ¡rcena,2025-07-07,408614.4,32367.37,Villa Allende,Calixta del Lago,Mouse Logitech,Efectivo,5,7524.94,157524.94</t>
  </si>
  <si>
    <t>Manu Pastor,2025-02-16,110204.52,15332.13,Villa Allende,Dorita Abad LujÃ¡n,Auriculares JBL,CrÃ©dito,5,1897.45,151897.45</t>
  </si>
  <si>
    <t>Gil MuÃ±oz,2025-06-23,38568.21,5832.03,San Vicente,LuÃ­s Chaparro Borja,Auriculares JBL,CrÃ©dito,2,654.72,150654.72</t>
  </si>
  <si>
    <t>Brunilda Sales,2024-09-29,304046.28,4652.1,General Paz,Dorita Abad LujÃ¡n,Monitor Samsung,Efectivo,3,5987.88,155987.88</t>
  </si>
  <si>
    <t>Herberto TomÃ¡s,2024-09-16,122269.12,21937.45,Nueva CÃ³rdoba,InÃ©s Campo Pont,PC Gamer,Transferencia,2,2006.63,152006.63</t>
  </si>
  <si>
    <t>Juan Luis Torrent,2025-03-02,11447.35,366.48,General Paz,Baldomero RamÃ³n,Monitor Samsung,Efectivo,3,221.62,150221.62</t>
  </si>
  <si>
    <t>Plinio Sosa,2024-12-23,481808.32,36656.1,Villa Allende,InÃ©s Campo Pont,Notebook Lenovo,CrÃ©dito,4,8903.04,158903.04</t>
  </si>
  <si>
    <t>Rosendo Delgado,2025-04-22,190497.72,17249.92,Nueva CÃ³rdoba,Paca Aramburu Luz,Disco SSD Kingston,Transferencia,4,3464.96,153464.96</t>
  </si>
  <si>
    <t>Quique Lara,2025-01-17,462393.5,84140.4,General Paz,InÃ©s Campo Pont,Notebook Lenovo,Efectivo,1,7565.06,157565.06</t>
  </si>
  <si>
    <t>Chus Burgos,2024-11-12,22932.96,4936.73,San Vicente,PÃ¡nfilo Montenegro Alba,Disco SSD Kingston,Efectivo,3,359.92,150359.92</t>
  </si>
  <si>
    <t>Rosaura Frutos,2024-10-19,106649.52,2659.82,Nueva CÃ³rdoba,LuÃ­s Chaparro Borja,Notebook Lenovo,Efectivo,3,2079.79,152079.79</t>
  </si>
  <si>
    <t>Esteban ExpÃ³sito,2025-05-09,480963.4,79585.48,Nueva CÃ³rdoba,Dorita Abad LujÃ¡n,Disco SSD Kingston,Transferencia,4,8027.56,158027.56</t>
  </si>
  <si>
    <t>Miriam NÃºÃ±ez,2025-07-19,144037.94,16175.63,CÃ³rdoba Centro,Calixta del Lago,Memoria RAM Corsair,Transferencia,3,2557.25,152557.25</t>
  </si>
  <si>
    <t>Abril MacÃ­as,2024-10-13,242449.06,13632.73,Nueva CÃ³rdoba,Edelmiro Valenciano-Ojeda,Teclado Redragon,CrÃ©dito,2,4576.33,154576.33</t>
  </si>
  <si>
    <t>CristÃ³bal GarcÃ­a,2024-08-02,56913.01,1360.81,Nueva CÃ³rdoba,Calixta del Lago,Teclado Redragon,CrÃ©dito,3,1111.04,151111.04</t>
  </si>
  <si>
    <t>Ovidio Costa,2025-02-09,305860.26,17358.33,Alta CÃ³rdoba,PÃ¡nfilo Montenegro Alba,Tablet Samsung,Transferencia,2,5770.04,155770.04</t>
  </si>
  <si>
    <t>Erasmo Seco,2024-07-30,377753.12,91790.46,Nueva CÃ³rdoba,Baldomero RamÃ³n,Mouse Logitech,Transferencia,5,5719.25,155719.25</t>
  </si>
  <si>
    <t>Encarnita Llopis,2025-04-20,400103.98,45567.12,Nueva CÃ³rdoba,PÃ¡nfilo Montenegro Alba,Placa de Video Nvidia,Efectivo,4,7090.74,157090.74</t>
  </si>
  <si>
    <t>RÃ©gulo Daza,2025-06-25,292756.1,2899.86,San Vicente,InÃ©s Campo Pont,Memoria RAM Corsair,Efectivo,4,5797.12,155797.12</t>
  </si>
  <si>
    <t>SimÃ³n Ibarra,2025-05-05,118318.52,5704.16,San Vicente,Dorita Abad LujÃ¡n,Monitor Samsung,Efectivo,5,2252.29,152252.29</t>
  </si>
  <si>
    <t>Ema PerellÃ³,2025-03-20,384735.26,95425.86,General Paz,Rosa de Bou,PC Gamer,CrÃ©dito,4,5786.19,155786.19</t>
  </si>
  <si>
    <t>Cosme ValcÃ¡rcel,2025-03-20,164713.04,16557.16,Alta CÃ³rdoba,Paca Aramburu Luz,Disco SSD Kingston,Transferencia,1,2963.12,152963.12</t>
  </si>
  <si>
    <t>Geraldo Luna,2024-12-22,368737.08,60389.0,Villa Allende,Dorita Abad LujÃ¡n,Auriculares JBL,Efectivo,5,6166.96,156166.96</t>
  </si>
  <si>
    <t>Cirino Salom,2024-10-18,180927.95,43656.17,Nueva CÃ³rdoba,Rosa de Bou,Notebook Lenovo,Transferencia,1,2745.44,152745.44</t>
  </si>
  <si>
    <t>Nicolasa Anaya,2024-11-12,241339.45,34142.35,Alta CÃ³rdoba,Dorita Abad LujÃ¡n,Auriculares JBL,Efectivo,4,4143.94,154143.94</t>
  </si>
  <si>
    <t>Fernando Segovia,2025-07-04,33352.39,3154.87,San Vicente,Calixta del Lago,PC Gamer,CrÃ©dito,1,603.95,150603.95</t>
  </si>
  <si>
    <t>Piedad Esteban,2025-03-15,180659.56,44574.18,Nueva CÃ³rdoba,PÃ¡nfilo Montenegro Alba,Tablet Samsung,Efectivo,3,2721.71,152721.71</t>
  </si>
  <si>
    <t>Rafa Rey,2024-10-25,324612.77,65702.51,General Paz,Baldomero RamÃ³n,Disco SSD Kingston,Transferencia,5,5178.21,155178.21</t>
  </si>
  <si>
    <t>Ãngeles Neira,2025-05-26,367780.0,40984.71,General Paz,Paca Aramburu Luz,Auriculares JBL,CrÃ©dito,4,6535.91,156535.91</t>
  </si>
  <si>
    <t>Marcos Flor,2024-10-31,423116.03,47231.56,CÃ³rdoba Centro,Baldomero RamÃ³n,Tablet Samsung,CrÃ©dito,1,7517.69,157517.69</t>
  </si>
  <si>
    <t>Amando Montes,2025-05-18,157441.67,4835.96,CÃ³rdoba Centro,Calixta del Lago,PC Gamer,CrÃ©dito,1,3052.11,153052.11</t>
  </si>
  <si>
    <t>Perlita DomÃ©nech,2025-04-18,462898.87,56492.83,General Paz,Calixta del Lago,Tablet Samsung,Efectivo,1,8128.12,158128.12</t>
  </si>
  <si>
    <t>Marta Villaverde,2025-03-30,382408.26,27471.28,Villa Allende,PÃ¡nfilo Montenegro Alba,Teclado Redragon,CrÃ©dito,1,7098.74,157098.74</t>
  </si>
  <si>
    <t>Eugenio MÃ­nguez,2024-12-19,111722.93,6074.57,CÃ³rdoba Centro,Edelmiro Valenciano-Ojeda,Memoria RAM Corsair,CrÃ©dito,4,2112.97,152112.97</t>
  </si>
  <si>
    <t>Rosario Comas,2025-01-25,268939.47,22342.64,Nueva CÃ³rdoba,Paca Aramburu Luz,Memoria RAM Corsair,Efectivo,3,4931.94,154931.94</t>
  </si>
  <si>
    <t>Diana Perera,2024-11-04,324203.77,76864.79,Villa Allende,Dorita Abad LujÃ¡n,Auriculares JBL,Transferencia,5,4946.78,154946.78</t>
  </si>
  <si>
    <t>Gonzalo Milla,2024-12-28,277991.17,37398.39,CÃ³rdoba Centro,Paca Aramburu Luz,Placa de Video Nvidia,Efectivo,3,4811.86,154811.86</t>
  </si>
  <si>
    <t>Domingo LladÃ³,2025-06-01,57821.87,5932.6,Alta CÃ³rdoba,Rosa de Bou,Monitor Samsung,Transferencia,5,1037.79,151037.79</t>
  </si>
  <si>
    <t>Julia Galvez,2024-10-23,370035.16,44994.72,San Vicente,Baldomero RamÃ³n,Placa de Video Nvidia,Transferencia,4,6500.81,156500.81</t>
  </si>
  <si>
    <t>TomÃ¡s Bou,2025-07-23,86558.14,9232.17,Nueva CÃ³rdoba,Calixta del Lago,Teclado Redragon,Transferencia,3,1546.52,151546.52</t>
  </si>
  <si>
    <t>Cruz Guardiola,2025-03-11,495816.12,113167.64,CÃ³rdoba Centro,Calixta del Lago,Monitor Samsung,Transferencia,4,7652.97,157652.97</t>
  </si>
  <si>
    <t>Concha Colom,2025-01-23,136830.27,11296.91,Nueva CÃ³rdoba,Dorita Abad LujÃ¡n,Teclado Redragon,Efectivo,2,2510.67,152510.67</t>
  </si>
  <si>
    <t>Ana SofÃ­a Botella,2025-02-24,258127.88,42302.18,CÃ³rdoba Centro,LuÃ­s Chaparro Borja,Notebook Lenovo,CrÃ©dito,2,4316.51,154316.51</t>
  </si>
  <si>
    <t>Benita Bello,2025-01-22,214165.68,37037.7,Alta CÃ³rdoba,PÃ¡nfilo Montenegro Alba,Monitor Samsung,CrÃ©dito,3,3542.56,153542.56</t>
  </si>
  <si>
    <t>Eulalia MillÃ¡n,2025-07-10,339483.11,19201.82,Villa Allende,Baldomero RamÃ³n,PC Gamer,Efectivo,5,6405.63,156405.63</t>
  </si>
  <si>
    <t>Marcio Carrillo,2025-05-10,481773.13,20029.87,General Paz,Edelmiro Valenciano-Ojeda,Tablet Samsung,CrÃ©dito,2,9234.87,159234.87</t>
  </si>
  <si>
    <t>Armando Canales,2024-08-29,321528.33,73674.13,Villa Allende,Rosa de Bou,Mouse Logitech,Transferencia,5,4957.08,154957.08</t>
  </si>
  <si>
    <t>Ruy Redondo,2024-12-01,155694.76,1719.8,General Paz,Edelmiro Valenciano-Ojeda,PC Gamer,Efectivo,4,3079.5,153079.5</t>
  </si>
  <si>
    <t>Marcia Acero,2025-02-20,107413.45,1438.7,San Vicente,InÃ©s Campo Pont,Memoria RAM Corsair,CrÃ©dito,4,2119.49,152119.49</t>
  </si>
  <si>
    <t>Vito Marquez,2024-08-16,308252.36,55506.17,Nueva CÃ³rdoba,Baldomero RamÃ³n,Mouse Logitech,Efectivo,2,5054.92,155054.92</t>
  </si>
  <si>
    <t>Jesusa AbellÃ¡n,2024-12-18,14772.3,34.75,San Vicente,PÃ¡nfilo Montenegro Alba,Disco SSD Kingston,CrÃ©dito,5,294.75,150294.75</t>
  </si>
  <si>
    <t>Florina GascÃ³n,2024-10-23,106863.63,23459.91,Nueva CÃ³rdoba,Edelmiro Valenciano-Ojeda,Auriculares JBL,Efectivo,2,1668.07,151668.07</t>
  </si>
  <si>
    <t>Edelmira Ferrera,2025-01-20,242177.16,24083.25,Villa Allende,Rosa de Bou,Disco SSD Kingston,CrÃ©dito,4,4361.88,154361.88</t>
  </si>
  <si>
    <t>Clara JordÃ¡,2025-02-18,15005.8,2062.61,Alta CÃ³rdoba,PÃ¡nfilo Montenegro Alba,PC Gamer,Transferencia,2,258.86,150258.86</t>
  </si>
  <si>
    <t>Jose Ignacio Ribes,2025-01-12,165719.66,16641.36,General Paz,LuÃ­s Chaparro Borja,Monitor Samsung,CrÃ©dito,4,2981.57,152981.57</t>
  </si>
  <si>
    <t>Bernardo Blanes,2025-06-07,215155.27,23208.94,Nueva CÃ³rdoba,PÃ¡nfilo Montenegro Alba,Notebook Lenovo,Efectivo,2,3838.93,153838.93</t>
  </si>
  <si>
    <t>Carmina Calvet,2024-08-07,207282.29,49660.22,Alta CÃ³rdoba,InÃ©s Campo Pont,Mouse Logitech,Efectivo,4,3152.44,153152.44</t>
  </si>
  <si>
    <t>Soraya Mir,2024-11-17,385929.0,77783.52,Alta CÃ³rdoba,Dorita Abad LujÃ¡n,Tablet Samsung,CrÃ©dito,4,6162.91,156162.91</t>
  </si>
  <si>
    <t>Paz Nebot,2025-03-27,470594.67,69552.34,Villa Allende,Dorita Abad LujÃ¡n,PC Gamer,CrÃ©dito,3,8020.85,158020.85</t>
  </si>
  <si>
    <t>JeremÃ­as Saavedra,2024-07-26,422524.85,21545.95,Nueva CÃ³rdoba,Rosa de Bou,Auriculares JBL,Efectivo,3,8019.58,158019.58</t>
  </si>
  <si>
    <t>AngÃ©lica Ledesma,2025-04-08,133971.42,26144.32,San Vicente,PÃ¡nfilo Montenegro Alba,Memoria RAM Corsair,Efectivo,4,2156.54,152156.54</t>
  </si>
  <si>
    <t>Domingo Iglesias,2024-09-24,364603.17,29128.21,CÃ³rdoba Centro,Baldomero RamÃ³n,Memoria RAM Corsair,Efectivo,3,6709.5,156709.5</t>
  </si>
  <si>
    <t>Natanael Pereira,2025-05-23,481810.43,37405.43,CÃ³rdoba Centro,PÃ¡nfilo Montenegro Alba,Tablet Samsung,Efectivo,2,8888.1,158888.1</t>
  </si>
  <si>
    <t>Alicia Aroca,2024-09-10,468048.34,34112.71,General Paz,Edelmiro Valenciano-Ojeda,Mouse Logitech,CrÃ©dito,5,8678.71,158678.71</t>
  </si>
  <si>
    <t>Etelvina MarquÃ©s,2025-07-03,258609.87,12473.65,Villa Allende,Baldomero RamÃ³n,Auriculares JBL,Transferencia,3,4922.72,154922.72</t>
  </si>
  <si>
    <t>Felicia Botella,2025-01-13,233994.28,6012.25,San Vicente,InÃ©s Campo Pont,Teclado Redragon,Transferencia,4,4559.64,154559.64</t>
  </si>
  <si>
    <t>Enrique HernÃ¡ndez,2024-09-09,393218.43,84704.5,Nueva CÃ³rdoba,Baldomero RamÃ³n,Tablet Samsung,Efectivo,5,6170.28,156170.28</t>
  </si>
  <si>
    <t>Elena GutiÃ©rrez,2025-02-26,394681.35,36299.68,General Paz,Calixta del Lago,Disco SSD Kingston,Transferencia,4,7167.63,157167.63</t>
  </si>
  <si>
    <t>Alejo Carrasco,2025-07-04,444428.7,59429.4,General Paz,InÃ©s Campo Pont,Teclado Redragon,Transferencia,3,7699.99,157699.99</t>
  </si>
  <si>
    <t>Cristian GarcÃ­a,2024-10-25,330238.41,12034.75,Nueva CÃ³rdoba,Dorita Abad LujÃ¡n,Tablet Samsung,Transferencia,4,6364.07,156364.07</t>
  </si>
  <si>
    <t>Aura Roma,2024-10-08,441584.85,38261.56,General Paz,Nieves del Ortega,Auriculares JBL,Transferencia,3,8066.47,158066.47</t>
  </si>
  <si>
    <t>Ãfrica Fonseca,2024-08-06,68251.8,5673.74,Alta CÃ³rdoba,Edelmiro Valenciano-Ojeda,PC Gamer,Efectivo,1,1251.56,151251.56</t>
  </si>
  <si>
    <t>MarÃ­a Botella,2025-01-17,129588.94,27825.3,CÃ³rdoba Centro,LuÃ­s Chaparro Borja,Monitor Samsung,Efectivo,4,2035.27,152035.27</t>
  </si>
  <si>
    <t>CÃ¡ndida Santana,2024-10-12,16905.6,1024.24,San Vicente,Dorita Abad LujÃ¡n,Auriculares JBL,Transferencia,4,317.63,150317.63</t>
  </si>
  <si>
    <t>Nerea Nicolau,2025-03-27,73862.15,14536.75,Villa Allende,Nieves del Ortega,Tablet Samsung,Efectivo,3,1186.51,151186.51</t>
  </si>
  <si>
    <t>Ignacia Rosell,2025-05-23,119489.62,11839.39,Nueva CÃ³rdoba,Rosa de Bou,Memoria RAM Corsair,Efectivo,5,2153.0,152153.0</t>
  </si>
  <si>
    <t>Patricia Quesada,2025-06-11,369174.85,72890.86,Alta CÃ³rdoba,Paca Aramburu Luz,Disco SSD Kingston,Transferencia,3,5925.68,155925.68</t>
  </si>
  <si>
    <t>Curro RodrÃ­guez,2025-07-07,478655.38,47143.55,CÃ³rdoba Centro,Calixta del Lago,Placa de Video Nvidia,Efectivo,1,8630.24,158630.24</t>
  </si>
  <si>
    <t>Amor Figueroa,2025-04-10,201402.08,45654.23,San Vicente,Rosa de Bou,Auriculares JBL,Efectivo,4,3114.96,153114.96</t>
  </si>
  <si>
    <t>Marciano Laguna,2024-12-19,179258.52,6790.35,General Paz,Baldomero RamÃ³n,Monitor Samsung,Transferencia,4,3449.36,153449.36</t>
  </si>
  <si>
    <t>Prudencia Manzano,2024-10-21,413384.48,12001.65,Nueva CÃ³rdoba,Baldomero RamÃ³n,Disco SSD Kingston,CrÃ©dito,5,8027.66,158027.66</t>
  </si>
  <si>
    <t>Carmela Pou,2024-10-26,396638.7,5534.75,Nueva CÃ³rdoba,Baldomero RamÃ³n,Disco SSD Kingston,Transferencia,4,7822.08,157822.08</t>
  </si>
  <si>
    <t>Jesusa Adadia,2025-01-26,51595.11,6911.73,CÃ³rdoba Centro,InÃ©s Campo Pont,Auriculares JBL,Transferencia,2,893.67,150893.67</t>
  </si>
  <si>
    <t>Flor Vergara,2025-04-01,244505.68,38138.8,Nueva CÃ³rdoba,Nieves del Ortega,PC Gamer,CrÃ©dito,2,4127.34,154127.34</t>
  </si>
  <si>
    <t>RaÃºl Bautista,2024-08-13,80068.65,13719.73,CÃ³rdoba Centro,Nieves del Ortega,Monitor Samsung,Transferencia,1,1326.98,151326.98</t>
  </si>
  <si>
    <t>Mayte Espinosa,2025-06-09,160600.27,2694.72,Alta CÃ³rdoba,Calixta del Lago,Monitor Samsung,CrÃ©dito,1,3158.11,153158.11</t>
  </si>
  <si>
    <t>Alba Guillen,2025-03-05,279995.67,9094.16,Villa Allende,InÃ©s Campo Pont,Memoria RAM Corsair,CrÃ©dito,1,5418.03,155418.03</t>
  </si>
  <si>
    <t>Arsenio Pera,2024-07-28,214900.05,26700.69,Nueva CÃ³rdoba,Baldomero RamÃ³n,Auriculares JBL,CrÃ©dito,2,3763.99,153763.99</t>
  </si>
  <si>
    <t>Marciano Jaume,2024-08-01,58154.71,6193.91,Alta CÃ³rdoba,Nieves del Ortega,Notebook Lenovo,Efectivo,5,1039.22,151039.22</t>
  </si>
  <si>
    <t>Carmelo Torrijos,2024-12-22,457310.48,68604.65,San Vicente,PÃ¡nfilo Montenegro Alba,PC Gamer,Transferencia,5,7774.12,157774.12</t>
  </si>
  <si>
    <t>Sonia Heras,2025-07-13,249304.26,36871.92,Alta CÃ³rdoba,InÃ©s Campo Pont,Tablet Samsung,CrÃ©dito,1,4248.65,154248.65</t>
  </si>
  <si>
    <t>Gustavo Alberola,2025-03-10,199893.03,44390.87,Villa Allende,Edelmiro Valenciano-Ojeda,Memoria RAM Corsair,Efectivo,1,3110.04,153110.04</t>
  </si>
  <si>
    <t>Fanny ArÃ©valo,2025-02-22,345399.43,79270.13,Nueva CÃ³rdoba,Edelmiro Valenciano-Ojeda,Monitor Samsung,CrÃ©dito,2,5322.59,155322.59</t>
  </si>
  <si>
    <t>Ani Abascal,2025-01-22,400743.49,68399.77,Villa Allende,Edelmiro Valenciano-Ojeda,Memoria RAM Corsair,CrÃ©dito,4,6646.87,156646.87</t>
  </si>
  <si>
    <t>Inocencio Querol,2025-06-03,301219.53,20237.5,Alta CÃ³rdoba,Edelmiro Valenciano-Ojeda,Memoria RAM Corsair,Efectivo,3,5619.64,155619.64</t>
  </si>
  <si>
    <t>MarÃ­a Manuela Cuesta,2025-07-06,466237.94,59884.5,San Vicente,Dorita Abad LujÃ¡n,Auriculares JBL,CrÃ©dito,4,8127.07,158127.07</t>
  </si>
  <si>
    <t>Herberto Ripoll,2025-01-11,44978.78,10223.03,General Paz,Nieves del Ortega,Placa de Video Nvidia,Efectivo,4,695.12,150695.12</t>
  </si>
  <si>
    <t>Jose RamÃ³n DÃ­ez,2025-01-26,484569.57,100922.87,Villa Allende,Dorita Abad LujÃ¡n,Notebook Lenovo,Efectivo,4,7672.93,157672.93</t>
  </si>
  <si>
    <t>Amada Moya,2024-10-05,31553.93,1502.97,Nueva CÃ³rdoba,Baldomero RamÃ³n,Auriculares JBL,Transferencia,5,601.02,150601.02</t>
  </si>
  <si>
    <t>AnÃ­bal MarÃ­,2025-04-13,210253.31,51261.02,General Paz,Rosa de Bou,Placa de Video Nvidia,CrÃ©dito,4,3179.85,153179.85</t>
  </si>
  <si>
    <t>Susanita LuÃ­s,2025-04-30,485101.91,59125.79,CÃ³rdoba Centro,Baldomero RamÃ³n,Monitor Samsung,Efectivo,3,8519.52,158519.52</t>
  </si>
  <si>
    <t>Paloma Tejedor,2024-09-16,61399.32,10465.92,Villa Allende,Calixta del Lago,Monitor Samsung,CrÃ©dito,4,1018.67,151018.67</t>
  </si>
  <si>
    <t>Victorino NicolÃ¡s,2025-02-15,111933.3,15885.14,General Paz,Rosa de Bou,PC Gamer,Efectivo,4,1920.96,151920.96</t>
  </si>
  <si>
    <t>Dorita Verdugo,2025-06-23,319473.4,66630.03,CÃ³rdoba Centro,LuÃ­s Chaparro Borja,Placa de Video Nvidia,Efectivo,3,5056.87,155056.87</t>
  </si>
  <si>
    <t>Natalio GÃ¡lvez,2024-10-21,156879.81,23467.25,Villa Allende,Paca Aramburu Luz,Tablet Samsung,Efectivo,1,2668.25,152668.25</t>
  </si>
  <si>
    <t>Delia Uribe,2025-01-20,228277.18,56837.65,CÃ³rdoba Centro,Edelmiro Valenciano-Ojeda,Mouse Logitech,Transferencia,4,3428.79,153428.79</t>
  </si>
  <si>
    <t>MarÃ­a Mesa,2024-12-11,356958.11,5971.65,Alta CÃ³rdoba,Rosa de Bou,PC Gamer,Transferencia,1,7019.73,157019.73</t>
  </si>
  <si>
    <t>Teresita Fuentes,2024-07-30,297853.78,54201.36,Villa Allende,Dorita Abad LujÃ¡n,Monitor Samsung,Efectivo,1,4873.05,154873.05</t>
  </si>
  <si>
    <t>HÃ©ctor Pedrosa,2025-07-15,219642.82,9356.86,CÃ³rdoba Centro,LuÃ­s Chaparro Borja,Memoria RAM Corsair,Efectivo,2,4205.72,154205.72</t>
  </si>
  <si>
    <t>Marciano Noriega,2025-02-12,157474.83,1799.43,General Paz,Nieves del Ortega,Tablet Samsung,CrÃ©dito,1,3113.51,153113.51</t>
  </si>
  <si>
    <t>JosÃ© Antonio Olivera,2025-03-23,211986.5,20558.96,CÃ³rdoba Centro,Dorita Abad LujÃ¡n,Auriculares JBL,CrÃ©dito,4,3828.55,153828.55</t>
  </si>
  <si>
    <t>Mohamed Rojas,2024-10-11,60827.39,11509.54,General Paz,Calixta del Lago,Memoria RAM Corsair,CrÃ©dito,1,986.36,150986.36</t>
  </si>
  <si>
    <t>Paco PiÃ±ol,2025-03-04,331242.5,78337.73,General Paz,Calixta del Lago,Monitor Samsung,Transferencia,3,5058.1,155058.1</t>
  </si>
  <si>
    <t>MatÃ­as Tello,2024-11-28,149379.47,16488.61,San Vicente,PÃ¡nfilo Montenegro Alba,Tablet Samsung,Transferencia,5,2657.82,152657.82</t>
  </si>
  <si>
    <t>Isidora Zorrilla,2025-02-19,33843.65,1023.2,General Paz,Calixta del Lago,Teclado Redragon,CrÃ©dito,3,656.41,150656.41</t>
  </si>
  <si>
    <t>Leopoldo Girona,2024-08-25,470793.12,48719.41,Alta CÃ³rdoba,Nieves del Ortega,Disco SSD Kingston,Efectivo,4,8441.47,158441.47</t>
  </si>
  <si>
    <t>Marina AndrÃ©s,2024-08-21,307613.42,67855.66,General Paz,LuÃ­s Chaparro Borja,Tablet Samsung,Transferencia,1,4795.16,154795.16</t>
  </si>
  <si>
    <t>Piedad Fabregat,2024-12-07,22625.45,1167.67,Villa Allende,Edelmiro Valenciano-Ojeda,Auriculares JBL,Transferencia,3,429.16,150429.16</t>
  </si>
  <si>
    <t>Abril Cuesta,2024-12-26,104776.73,14978.46,San Vicente,Calixta del Lago,Placa de Video Nvidia,CrÃ©dito,1,1795.97,151795.97</t>
  </si>
  <si>
    <t>Reyna Lopez,2025-05-19,291244.15,65201.45,General Paz,Calixta del Lago,Placa de Video Nvidia,Efectivo,4,4520.85,154520.85</t>
  </si>
  <si>
    <t>Leopoldo Barba,2025-02-06,318398.91,36074.62,Nueva CÃ³rdoba,Nieves del Ortega,Disco SSD Kingston,Efectivo,5,5646.49,155646.49</t>
  </si>
  <si>
    <t>Cayetana Alegria,2024-08-28,58420.87,9034.63,San Vicente,Dorita Abad LujÃ¡n,Disco SSD Kingston,CrÃ©dito,2,987.72,150987.72</t>
  </si>
  <si>
    <t>Ruth Mesa,2025-06-18,431585.55,38374.18,Alta CÃ³rdoba,Edelmiro Valenciano-Ojeda,Mouse Logitech,CrÃ©dito,3,7864.23,157864.23</t>
  </si>
  <si>
    <t>Jenny Franch,2024-10-11,74689.9,3233.63,Alta CÃ³rdoba,PÃ¡nfilo Montenegro Alba,Mouse Logitech,Transferencia,3,1429.13,151429.13</t>
  </si>
  <si>
    <t>Ãngrid Urrutia,2025-06-25,335274.86,35423.99,Alta CÃ³rdoba,Edelmiro Valenciano-Ojeda,Notebook Lenovo,CrÃ©dito,5,5997.02,155997.02</t>
  </si>
  <si>
    <t>Encarnita Tirado,2024-11-23,348409.68,50956.31,Nueva CÃ³rdoba,Dorita Abad LujÃ¡n,Tablet Samsung,Efectivo,1,5949.07,155949.07</t>
  </si>
  <si>
    <t>Ligia Pablo,2024-12-13,350409.92,57631.78,CÃ³rdoba Centro,Rosa de Bou,PC Gamer,Efectivo,5,5855.56,155855.56</t>
  </si>
  <si>
    <t>Florina Ibarra,2025-06-17,277744.82,24946.3,General Paz,Nieves del Ortega,Placa de Video Nvidia,Efectivo,3,5055.97,155055.97</t>
  </si>
  <si>
    <t>Jose Francisco Lasa,2025-05-25,99548.96,6537.94,Nueva CÃ³rdoba,Rosa de Bou,Disco SSD Kingston,Efectivo,2,1860.22,151860.22</t>
  </si>
  <si>
    <t>NicolÃ¡s Moliner,2024-10-25,188760.45,18417.04,General Paz,InÃ©s Campo Pont,Auriculares JBL,Efectivo,4,3406.87,153406.87</t>
  </si>
  <si>
    <t>Ofelia Aroca,2025-07-07,212237.55,47551.85,Villa Allende,Paca Aramburu Luz,Teclado Redragon,Transferencia,5,3293.71,153293.71</t>
  </si>
  <si>
    <t>Pepe Fernandez,2024-11-21,311924.57,59567.32,Nueva CÃ³rdoba,Nieves del Ortega,Tablet Samsung,CrÃ©dito,4,5047.15,155047.15</t>
  </si>
  <si>
    <t>Jorge Donoso,2024-11-22,337090.65,8903.48,General Paz,Rosa de Bou,Monitor Samsung,Efectivo,1,6563.74,156563.74</t>
  </si>
  <si>
    <t>Macario Molins,2024-09-12,378645.93,78024.61,CÃ³rdoba Centro,PÃ¡nfilo Montenegro Alba,Auriculares JBL,CrÃ©dito,2,6012.43,156012.43</t>
  </si>
  <si>
    <t>Rita Carro,2025-06-16,91994.17,7737.12,CÃ³rdoba Centro,Nieves del Ortega,Placa de Video Nvidia,Efectivo,1,1685.14,151685.14</t>
  </si>
  <si>
    <t>Maxi Hoz,2024-11-20,469368.43,110800.54,General Paz,Dorita Abad LujÃ¡n,Placa de Video Nvidia,CrÃ©dito,5,7171.36,157171.36</t>
  </si>
  <si>
    <t>Octavio Vega,2025-06-11,440857.75,74972.81,CÃ³rdoba Centro,Edelmiro Valenciano-Ojeda,Monitor Samsung,Efectivo,3,7317.7,157317.7</t>
  </si>
  <si>
    <t>AdoraciÃ³n AlcÃ¡zar,2025-02-26,279889.74,43592.39,CÃ³rdoba Centro,LuÃ­s Chaparro Borja,Teclado Redragon,Transferencia,4,4725.95,154725.95</t>
  </si>
  <si>
    <t>Genoveva Larrea,2024-10-26,204408.53,23331.6,Villa Allende,LuÃ­s Chaparro Borja,Placa de Video Nvidia,Transferencia,4,3621.54,153621.54</t>
  </si>
  <si>
    <t>Samanta Duque,2024-10-23,60372.73,5746.25,General Paz,Baldomero RamÃ³n,Teclado Redragon,Transferencia,1,1092.53,151092.53</t>
  </si>
  <si>
    <t>Mateo Nogueira,2025-04-12,182118.34,11980.57,General Paz,PÃ¡nfilo Montenegro Alba,Notebook Lenovo,Efectivo,1,3402.76,153402.76</t>
  </si>
  <si>
    <t>VÃ­ctor DÃ­ez,2024-12-19,343113.05,1224.84,Nueva CÃ³rdoba,Nieves del Ortega,PC Gamer,Efectivo,1,6837.76,156837.76</t>
  </si>
  <si>
    <t>Anacleto Garay,2024-09-17,153501.83,26527.72,Villa Allende,Edelmiro Valenciano-Ojeda,Memoria RAM Corsair,CrÃ©dito,1,2539.48,152539.48</t>
  </si>
  <si>
    <t>Roberto Alberola,2024-08-21,168992.39,2987.58,Villa Allende,PÃ¡nfilo Montenegro Alba,Auriculares JBL,Transferencia,3,3320.1,153320.1</t>
  </si>
  <si>
    <t>Fernando Valle,2025-02-22,124336.19,7464.74,CÃ³rdoba Centro,Paca Aramburu Luz,Monitor Samsung,CrÃ©dito,4,2337.43,152337.43</t>
  </si>
  <si>
    <t>Bienvenida Alemany,2025-07-13,399795.58,25880.23,General Paz,Edelmiro Valenciano-Ojeda,Auriculares JBL,CrÃ©dito,3,7478.31,157478.31</t>
  </si>
  <si>
    <t>Eleuterio Pinto,2025-05-02,83715.05,12348.83,Alta CÃ³rdoba,InÃ©s Campo Pont,Mouse Logitech,CrÃ©dito,1,1427.32,151427.32</t>
  </si>
  <si>
    <t>Ofelia Bayo,2024-09-18,257454.83,23466.5,CÃ³rdoba Centro,Baldomero RamÃ³n,Notebook Lenovo,Transferencia,5,4679.77,154679.77</t>
  </si>
  <si>
    <t>Azahar Benavides,2025-02-09,67625.7,7746.21,Alta CÃ³rdoba,Rosa de Bou,Tablet Samsung,Efectivo,1,1197.59,151197.59</t>
  </si>
  <si>
    <t>Toni Morcillo,2025-02-25,55945.3,9045.85,Alta CÃ³rdoba,Rosa de Bou,Monitor Samsung,Transferencia,3,937.99,150937.99</t>
  </si>
  <si>
    <t>Leocadio Blanes,2025-04-27,493589.82,46915.69,San Vicente,Nieves del Ortega,Notebook Lenovo,CrÃ©dito,3,8933.48,158933.48</t>
  </si>
  <si>
    <t>Anselmo Bermudez,2025-05-10,172331.1,13202.37,Nueva CÃ³rdoba,Paca Aramburu Luz,Memoria RAM Corsair,Transferencia,5,3182.57,153182.57</t>
  </si>
  <si>
    <t>Amelia Bernad,2025-06-06,179267.1,39493.82,Alta CÃ³rdoba,Dorita Abad LujÃ¡n,Notebook Lenovo,CrÃ©dito,4,2795.47,152795.47</t>
  </si>
  <si>
    <t>Ani Hoz,2025-04-29,267591.39,14218.28,San Vicente,Rosa de Bou,Notebook Lenovo,Efectivo,2,5067.46,155067.46</t>
  </si>
  <si>
    <t>LÃ¡zaro Soria,2024-08-09,384180.3,10293.2,Nueva CÃ³rdoba,Dorita Abad LujÃ¡n,Placa de Video Nvidia,CrÃ©dito,1,7477.74,157477.74</t>
  </si>
  <si>
    <t>Isaac Torrents,2025-05-31,459569.14,41544.7,CÃ³rdoba Centro,Paca Aramburu Luz,Memoria RAM Corsair,CrÃ©dito,2,8360.49,158360.49</t>
  </si>
  <si>
    <t>Alma MacÃ­as,2025-04-04,408691.47,82141.55,General Paz,Nieves del Ortega,Notebook Lenovo,Transferencia,2,6531.0,156531.0</t>
  </si>
  <si>
    <t>Magdalena Cabo,2025-05-11,16935.67,251.25,CÃ³rdoba Centro,Nieves del Ortega,Monitor Samsung,CrÃ©dito,4,333.69,150333.69</t>
  </si>
  <si>
    <t>VerÃ³nica CÃ³zar,2024-10-05,27284.45,273.19,Villa Allende,Rosa de Bou,Auriculares JBL,Transferencia,3,540.23,150540.23</t>
  </si>
  <si>
    <t>Gisela Tomas,2024-12-15,233710.31,6172.9,Alta CÃ³rdoba,InÃ©s Campo Pont,PC Gamer,Transferencia,3,4550.75,154550.75</t>
  </si>
  <si>
    <t>Heriberto Pereira,2024-10-05,380409.99,20638.39,CÃ³rdoba Centro,LuÃ­s Chaparro Borja,Memoria RAM Corsair,CrÃ©dito,3,7195.43,157195.43</t>
  </si>
  <si>
    <t>Donato Gonzalo,2025-02-12,376184.59,37753.87,CÃ³rdoba Centro,InÃ©s Campo Pont,PC Gamer,Transferencia,5,6768.61,156768.61</t>
  </si>
  <si>
    <t>Guiomar MÃºÃ±iz,2025-03-05,70556.04,9949.39,Nueva CÃ³rdoba,InÃ©s Campo Pont,Notebook Lenovo,CrÃ©dito,4,1212.13,151212.13</t>
  </si>
  <si>
    <t>IsaÃ­as Morcillo,2025-02-07,194964.66,9392.33,CÃ³rdoba Centro,Nieves del Ortega,Memoria RAM Corsair,CrÃ©dito,2,3711.45,153711.45</t>
  </si>
  <si>
    <t>Casandra Rocamora,2025-05-29,374891.51,72663.11,General Paz,InÃ©s Campo Pont,Auriculares JBL,Transferencia,5,6044.57,156044.57</t>
  </si>
  <si>
    <t>VisitaciÃ³n Alcaraz,2024-09-15,243919.99,2538.08,San Vicente,Rosa de Bou,PC Gamer,Transferencia,2,4827.64,154827.64</t>
  </si>
  <si>
    <t>Antonia Pintor,2025-06-29,175235.89,21542.52,San Vicente,Rosa de Bou,Teclado Redragon,CrÃ©dito,2,3073.87,153073.87</t>
  </si>
  <si>
    <t>Lucas Campoy,2025-01-09,343857.78,56652.92,Nueva CÃ³rdoba,Rosa de Bou,Tablet Samsung,Efectivo,4,5744.1,155744.1</t>
  </si>
  <si>
    <t>Gilberto Isern,2024-09-17,45767.73,1433.51,CÃ³rdoba Centro,Nieves del Ortega,Memoria RAM Corsair,Transferencia,2,886.68,150886.68</t>
  </si>
  <si>
    <t>Vasco Bas,2025-03-24,102335.43,10857.24,CÃ³rdoba Centro,InÃ©s Campo Pont,Monitor Samsung,CrÃ©dito,3,1829.56,151829.56</t>
  </si>
  <si>
    <t>Tatiana Prieto,2024-09-21,275962.04,41181.36,Nueva CÃ³rdoba,Nieves del Ortega,PC Gamer,CrÃ©dito,4,4695.61,154695.61</t>
  </si>
  <si>
    <t>Celso Vaquero,2025-04-21,200374.71,18174.49,San Vicente,Calixta del Lago,Mouse Logitech,Efectivo,5,3644.0,153644.0</t>
  </si>
  <si>
    <t>Jonatan Espinosa,2025-04-17,121238.67,23814.54,San Vicente,Edelmiro Valenciano-Ojeda,Monitor Samsung,Efectivo,2,1948.48,151948.48</t>
  </si>
  <si>
    <t>Octavia BenÃ­tez,2024-08-21,468333.98,45937.02,Villa Allende,Edelmiro Valenciano-Ojeda,PC Gamer,CrÃ©dito,1,8447.94,158447.94</t>
  </si>
  <si>
    <t>Ligia Carlos,2025-07-20,366385.05,35663.53,General Paz,LuÃ­s Chaparro Borja,Monitor Samsung,CrÃ©dito,2,6614.43,156614.43</t>
  </si>
  <si>
    <t>Rafaela FerrÃ¡ndez,2025-05-21,130678.41,18431.71,General Paz,LuÃ­s Chaparro Borja,Notebook Lenovo,Transferencia,2,2244.93,152244.93</t>
  </si>
  <si>
    <t>Feliciano Gargallo,2024-10-02,60846.12,13624.0,CÃ³rdoba Centro,Paca Aramburu Luz,Mouse Logitech,Efectivo,3,944.44,150944.44</t>
  </si>
  <si>
    <t>Amelia Sales,2025-04-12,444028.71,52610.45,CÃ³rdoba Centro,Paca Aramburu Luz,Memoria RAM Corsair,Transferencia,4,7828.37,157828.37</t>
  </si>
  <si>
    <t>Natanael Alcolea,2025-01-17,407890.72,76555.28,Villa Allende,Rosa de Bou,Teclado Redragon,Transferencia,2,6626.71,156626.71</t>
  </si>
  <si>
    <t>Lilia Vilalta,2024-12-04,356954.5,79626.84,General Paz,Rosa de Bou,Disco SSD Kingston,Transferencia,5,5546.55,155546.55</t>
  </si>
  <si>
    <t>Sara Moya,2025-04-01,339354.21,10718.85,Alta CÃ³rdoba,Calixta del Lago,PC Gamer,Transferencia,4,6572.71,156572.71</t>
  </si>
  <si>
    <t>Pablo Pulido,2025-01-25,496607.02,33724.6,CÃ³rdoba Centro,Edelmiro Valenciano-Ojeda,Notebook Lenovo,Transferencia,1,9257.65,159257.65</t>
  </si>
  <si>
    <t>Serafina Camacho,2024-08-07,497506.85,63980.64,Nueva CÃ³rdoba,Nieves del Ortega,Teclado Redragon,Efectivo,1,8670.52,158670.52</t>
  </si>
  <si>
    <t>Jenaro DÃ­az,2025-03-05,181580.29,37208.6,CÃ³rdoba Centro,Nieves del Ortega,Disco SSD Kingston,Efectivo,4,2887.43,152887.43</t>
  </si>
  <si>
    <t>Renato Macias,2024-09-04,414102.53,53809.73,Alta CÃ³rdoba,Edelmiro Valenciano-Ojeda,Auriculares JBL,CrÃ©dito,1,7205.86,157205.86</t>
  </si>
  <si>
    <t>AdÃ¡n Lamas,2024-09-12,120074.48,12794.58,San Vicente,LuÃ­s Chaparro Borja,Placa de Video Nvidia,CrÃ©dito,4,2145.6,152145.6</t>
  </si>
  <si>
    <t>Isidro PavÃ³n,2025-01-06,47802.19,10641.53,Alta CÃ³rdoba,Calixta del Lago,Tablet Samsung,CrÃ©dito,3,743.21,150743.21</t>
  </si>
  <si>
    <t>Vidal Roig,2025-01-19,309158.89,34102.2,Villa Allende,Baldomero RamÃ³n,Monitor Samsung,Efectivo,3,5501.13,155501.13</t>
  </si>
  <si>
    <t>Feliciano Huerta,2025-02-26,452454.14,47740.81,Nueva CÃ³rdoba,LuÃ­s Chaparro Borja,Monitor Samsung,CrÃ©dito,1,8094.27,158094.27</t>
  </si>
  <si>
    <t>RaÃºl Alonso,2024-09-17,172851.97,19892.94,San Vicente,Nieves del Ortega,Notebook Lenovo,CrÃ©dito,4,3059.18,153059.18</t>
  </si>
  <si>
    <t>Sergio SebastiÃ¡n,2025-05-15,250120.12,10646.48,San Vicente,InÃ©s Campo Pont,Auriculares JBL,Transferencia,1,4789.47,154789.47</t>
  </si>
  <si>
    <t>Herberto Raya,2024-08-30,183365.3,14112.3,General Paz,PÃ¡nfilo Montenegro Alba,Tablet Samsung,Transferencia,5,3385.06,153385.06</t>
  </si>
  <si>
    <t>Carmela Cerezo,2025-03-12,173660.05,40637.5,General Paz,Nieves del Ortega,Auriculares JBL,Transferencia,2,2660.45,152660.45</t>
  </si>
  <si>
    <t>Felicidad Campo,2025-05-14,395559.55,24003.62,General Paz,Rosa de Bou,Teclado Redragon,Efectivo,1,7431.12,157431.12</t>
  </si>
  <si>
    <t>Elba Yuste,2024-11-27,293207.71,54837.78,Alta CÃ³rdoba,Paca Aramburu Luz,Tablet Samsung,Transferencia,3,4767.4,154767.4</t>
  </si>
  <si>
    <t>Feliciana Aller,2025-05-31,16399.12,1854.41,General Paz,InÃ©s Campo Pont,PC Gamer,CrÃ©dito,2,290.89,150290.89</t>
  </si>
  <si>
    <t>Samu Lozano,2025-01-17,13363.42,895.44,General Paz,Paca Aramburu Luz,Placa de Video Nvidia,Transferencia,5,249.36,150249.36</t>
  </si>
  <si>
    <t>Marita Castell,2025-05-11,330342.39,11656.85,Nueva CÃ³rdoba,InÃ©s Campo Pont,Mouse Logitech,Efectivo,4,6373.71,156373.71</t>
  </si>
  <si>
    <t>Fito Vilanova,2025-02-17,452494.08,14637.4,CÃ³rdoba Centro,LuÃ­s Chaparro Borja,Teclado Redragon,Transferencia,4,8757.13,158757.13</t>
  </si>
  <si>
    <t>Ester Campo,2025-04-06,406135.88,92349.9,Alta CÃ³rdoba,Nieves del Ortega,Notebook Lenovo,Transferencia,2,6275.72,156275.72</t>
  </si>
  <si>
    <t>MÃ³nica Ferrero,2024-08-04,251237.52,3246.83,Alta CÃ³rdoba,Edelmiro Valenciano-Ojeda,Auriculares JBL,Efectivo,5,4959.81,154959.81</t>
  </si>
  <si>
    <t>Bernardo Arranz,2024-12-27,401465.34,38981.78,General Paz,Calixta del Lago,Memoria RAM Corsair,Efectivo,3,7249.67,157249.67</t>
  </si>
  <si>
    <t>Manu Barros,2025-04-01,125617.01,13763.52,Alta CÃ³rdoba,InÃ©s Campo Pont,Tablet Samsung,Transferencia,4,2237.07,152237.07</t>
  </si>
  <si>
    <t>Lina AmorÃ³s,2025-01-05,371200.12,63529.2,Alta CÃ³rdoba,Baldomero RamÃ³n,Tablet Samsung,Transferencia,1,6153.42,156153.42</t>
  </si>
  <si>
    <t>Domitila Romeu,2025-06-20,53244.29,4660.2,Nueva CÃ³rdoba,Rosa de Bou,Memoria RAM Corsair,Efectivo,2,971.68,150971.68</t>
  </si>
  <si>
    <t>Rodolfo SantamarÃ­a,2025-05-28,311272.34,20803.17,San Vicente,Calixta del Lago,Notebook Lenovo,Transferencia,1,5809.38,155809.38</t>
  </si>
  <si>
    <t>Macario DueÃ±as,2024-12-09,385663.67,19903.12,San Vicente,Dorita Abad LujÃ¡n,Tablet Samsung,Transferencia,1,7315.21,157315.21</t>
  </si>
  <si>
    <t>Cloe Beltran,2024-10-15,312869.22,73022.67,CÃ³rdoba Centro,Dorita Abad LujÃ¡n,Auriculares JBL,Efectivo,5,4796.93,154796.93</t>
  </si>
  <si>
    <t>Blanca Sarmiento,2025-07-05,276799.89,21616.75,Alta CÃ³rdoba,Edelmiro Valenciano-Ojeda,Tablet Samsung,CrÃ©dito,4,5103.66,155103.66</t>
  </si>
  <si>
    <t>Almudena Sancho,2024-10-18,72658.09,9053.46,Alta CÃ³rdoba,Rosa de Bou,Notebook Lenovo,Transferencia,3,1272.09,151272.09</t>
  </si>
  <si>
    <t>Ãurea Morante,2025-07-16,192250.17,11463.35,Villa Allende,Dorita Abad LujÃ¡n,Disco SSD Kingston,Efectivo,5,3615.74,153615.74</t>
  </si>
  <si>
    <t>Teodoro DomÃ©nech,2025-03-28,220093.32,41131.41,CÃ³rdoba Centro,Nieves del Ortega,Placa de Video Nvidia,Transferencia,3,3579.24,153579.24</t>
  </si>
  <si>
    <t>Adriana Riba,2024-11-15,275349.97,67741.6,General Paz,InÃ©s Campo Pont,Auriculares JBL,Efectivo,3,4152.17,154152.17</t>
  </si>
  <si>
    <t>BÃ¡rbara Iriarte,2025-03-07,163363.42,13132.96,General Paz,LuÃ­s Chaparro Borja,Auriculares JBL,CrÃ©dito,1,3004.61,153004.61</t>
  </si>
  <si>
    <t>Marta BolaÃ±os,2025-02-01,50103.16,2768.84,General Paz,Rosa de Bou,Memoria RAM Corsair,Transferencia,3,946.69,150946.69</t>
  </si>
  <si>
    <t>Celestino Collado,2024-11-07,142414.0,21528.35,Villa Allende,LuÃ­s Chaparro Borja,Tablet Samsung,CrÃ©dito,2,2417.71,152417.71</t>
  </si>
  <si>
    <t>Lourdes CaÃ±as,2024-11-28,477216.22,91023.74,Nueva CÃ³rdoba,Nieves del Ortega,Disco SSD Kingston,CrÃ©dito,1,7723.85,157723.85</t>
  </si>
  <si>
    <t>Rolando Belda,2025-07-09,67182.29,3713.14,Alta CÃ³rdoba,Baldomero RamÃ³n,Notebook Lenovo,CrÃ©dito,5,1269.38,151269.38</t>
  </si>
  <si>
    <t>Manu Rodriguez,2024-10-02,422627.33,9989.13,General Paz,Nieves del Ortega,Teclado Redragon,CrÃ©dito,4,8252.76,158252.76</t>
  </si>
  <si>
    <t>Ãfrica Escamilla,2024-11-21,481979.32,39184.46,Nueva CÃ³rdoba,Calixta del Lago,Tablet Samsung,CrÃ©dito,1,8855.9,158855.9</t>
  </si>
  <si>
    <t>Griselda Domingo,2024-10-09,466603.18,5954.93,Nueva CÃ³rdoba,Calixta del Lago,Disco SSD Kingston,CrÃ©dito,3,9212.97,159212.97</t>
  </si>
  <si>
    <t>DarÃ­o JimÃ©nez,2025-05-23,374687.76,13686.4,General Paz,LuÃ­s Chaparro Borja,Auriculares JBL,CrÃ©dito,1,7220.03,157220.03</t>
  </si>
  <si>
    <t>Rolando Cal,2024-11-19,154267.0,6268.76,Nueva CÃ³rdoba,Calixta del Lago,Memoria RAM Corsair,Efectivo,3,2959.96,152959.96</t>
  </si>
  <si>
    <t>Patricio Alegria,2025-01-10,317532.12,40568.36,General Paz,Edelmiro Valenciano-Ojeda,Monitor Samsung,Transferencia,4,5539.28,155539.28</t>
  </si>
  <si>
    <t>Carlota PiÃ±a,2024-12-14,193708.3,2810.29,General Paz,Calixta del Lago,Memoria RAM Corsair,Transferencia,1,3817.96,153817.96</t>
  </si>
  <si>
    <t>Andrea Mayo,2024-07-26,201896.21,9091.97,Alta CÃ³rdoba,Edelmiro Valenciano-Ojeda,Auriculares JBL,Transferencia,2,3856.08,153856.08</t>
  </si>
  <si>
    <t>Abel Cano,2024-08-12,141601.78,5062.39,Alta CÃ³rdoba,Nieves del Ortega,Memoria RAM Corsair,Efectivo,3,2730.79,152730.79</t>
  </si>
  <si>
    <t>Mar Tomas,2024-12-24,277039.85,14490.48,General Paz,Rosa de Bou,Notebook Lenovo,Transferencia,1,5250.99,155250.99</t>
  </si>
  <si>
    <t>Primitiva Rivas,2024-08-05,196345.42,4193.29,Alta CÃ³rdoba,LuÃ­s Chaparro Borja,Mouse Logitech,Efectivo,5,3843.04,153843.04</t>
  </si>
  <si>
    <t>Primitiva SolÃ©,2025-06-17,408612.22,97198.87,General Paz,InÃ©s Campo Pont,Memoria RAM Corsair,CrÃ©dito,4,6228.27,156228.27</t>
  </si>
  <si>
    <t>Petrona PiÃ±eiro,2025-03-04,369950.0,6717.68,San Vicente,InÃ©s Campo Pont,PC Gamer,Transferencia,5,7264.65,157264.65</t>
  </si>
  <si>
    <t>Belen Marin,2025-07-19,244202.6,35.45,General Paz,Rosa de Bou,Mouse Logitech,Transferencia,2,4883.34,154883.34</t>
  </si>
  <si>
    <t>Goyo Molins,2025-05-20,168374.99,2052.17,Nueva CÃ³rdoba,PÃ¡nfilo Montenegro Alba,PC Gamer,CrÃ©dito,2,3326.46,153326.46</t>
  </si>
  <si>
    <t>Nuria CÃ¡novas,2025-06-01,321445.25,69482.0,Alta CÃ³rdoba,Calixta del Lago,PC Gamer,Efectivo,4,5039.27,155039.27</t>
  </si>
  <si>
    <t>Seve Gracia,2024-11-11,21713.95,3587.25,San Vicente,Nieves del Ortega,Monitor Samsung,Transferencia,4,362.53,150362.53</t>
  </si>
  <si>
    <t>Tatiana ViÃ±as,2025-02-08,354345.97,19426.8,Alta CÃ³rdoba,Edelmiro Valenciano-Ojeda,Teclado Redragon,Transferencia,4,6698.38,156698.38</t>
  </si>
  <si>
    <t>Graciano CÃ©spedes,2024-11-07,299028.54,68004.03,Villa Allende,Baldomero RamÃ³n,Mouse Logitech,CrÃ©dito,5,4620.49,154620.49</t>
  </si>
  <si>
    <t>VÃ­ctor Castrillo,2025-01-01,342366.75,10126.35,Nueva CÃ³rdoba,Paca Aramburu Luz,Teclado Redragon,CrÃ©dito,2,6644.81,156644.81</t>
  </si>
  <si>
    <t>Diego AlcÃ¡zar,2025-04-10,236300.66,52124.49,CÃ³rdoba Centro,Dorita Abad LujÃ¡n,PC Gamer,Transferencia,2,3683.52,153683.52</t>
  </si>
  <si>
    <t>Apolinar PÃ¡ez,2025-05-21,142719.17,15945.83,CÃ³rdoba Centro,InÃ©s Campo Pont,Teclado Redragon,Transferencia,3,2535.47,152535.47</t>
  </si>
  <si>
    <t>Octavia Salinas,2024-08-17,412110.59,12938.33,General Paz,PÃ¡nfilo Montenegro Alba,Monitor Samsung,Transferencia,1,7983.45,157983.45</t>
  </si>
  <si>
    <t>Paulina MacÃ­as,2024-10-21,78819.16,18015.21,General Paz,PÃ¡nfilo Montenegro Alba,Disco SSD Kingston,Efectivo,4,1216.08,151216.08</t>
  </si>
  <si>
    <t>JesÃºs Fiol,2025-05-16,228630.58,28676.19,Alta CÃ³rdoba,PÃ¡nfilo Montenegro Alba,Memoria RAM Corsair,CrÃ©dito,4,3999.09,153999.09</t>
  </si>
  <si>
    <t>Lourdes MÃ­nguez,2024-09-24,317043.73,28545.15,Alta CÃ³rdoba,LuÃ­s Chaparro Borja,Mouse Logitech,Efectivo,5,5769.97,155769.97</t>
  </si>
  <si>
    <t>Vasco Perez,2024-12-31,66401.73,10829.5,General Paz,InÃ©s Campo Pont,Tablet Samsung,Transferencia,4,1111.44,151111.44</t>
  </si>
  <si>
    <t>Marcial Saura,2025-01-27,254978.51,20457.9,Nueva CÃ³rdoba,Edelmiro Valenciano-Ojeda,PC Gamer,CrÃ©dito,4,4690.41,154690.41</t>
  </si>
  <si>
    <t>BernabÃ© Mercader,2024-11-12,343863.19,29592.63,Villa Allende,Edelmiro Valenciano-Ojeda,Notebook Lenovo,Transferencia,4,6285.41,156285.41</t>
  </si>
  <si>
    <t>David Donoso,2025-01-20,213826.79,16169.66,Villa Allende,InÃ©s Campo Pont,Mouse Logitech,Transferencia,3,3953.14,153953.14</t>
  </si>
  <si>
    <t>Eloy Rey,2025-01-01,427007.08,38486.69,General Paz,Paca Aramburu Luz,Mouse Logitech,CrÃ©dito,2,7770.41,157770.41</t>
  </si>
  <si>
    <t>TeÃ³fila Rozas,2024-11-09,479872.56,58650.92,General Paz,Baldomero RamÃ³n,Mouse Logitech,Efectivo,4,8424.43,158424.43</t>
  </si>
  <si>
    <t>Montserrat Jara,2025-05-06,156748.34,13988.15,Nueva CÃ³rdoba,Baldomero RamÃ³n,Mouse Logitech,Efectivo,2,2855.2,152855.2</t>
  </si>
  <si>
    <t>Rodolfo Pedraza,2024-12-27,230288.25,20647.27,CÃ³rdoba Centro,Baldomero RamÃ³n,Auriculares JBL,Transferencia,2,4192.82,154192.82</t>
  </si>
  <si>
    <t>MarÃ­a Del Carmen Cardona,2024-11-05,334787.39,27757.51,Nueva CÃ³rdoba,Rosa de Bou,Mouse Logitech,Efectivo,1,6140.6,156140.6</t>
  </si>
  <si>
    <t>Rolando Arjona,2025-06-19,209055.61,13256.72,Alta CÃ³rdoba,Nieves del Ortega,Placa de Video Nvidia,Efectivo,4,3915.98,153915.98</t>
  </si>
  <si>
    <t>Jordi Ropero,2025-01-04,373641.14,92221.65,General Paz,Calixta del Lago,Notebook Lenovo,Efectivo,2,5628.39,155628.39</t>
  </si>
  <si>
    <t>Inmaculada MÃºÃ±iz,2024-12-15,379297.25,22861.17,General Paz,Dorita Abad LujÃ¡n,Memoria RAM Corsair,Efectivo,2,7128.72,157128.72</t>
  </si>
  <si>
    <t>Brunilda Sancho,2025-04-01,182403.62,3781.28,General Paz,Paca Aramburu Luz,Mouse Logitech,Transferencia,2,3572.45,153572.45</t>
  </si>
  <si>
    <t>Liliana Lluch,2025-03-23,171434.46,847.11,Nueva CÃ³rdoba,InÃ©s Campo Pont,Placa de Video Nvidia,CrÃ©dito,2,3411.75,153411.75</t>
  </si>
  <si>
    <t>Jose Ignacio LujÃ¡n,2024-11-21,58977.04,7101.29,General Paz,Paca Aramburu Luz,Auriculares JBL,Efectivo,5,1037.52,151037.52</t>
  </si>
  <si>
    <t>Esperanza Ruiz,2024-11-30,241388.42,4144.06,Alta CÃ³rdoba,LuÃ­s Chaparro Borja,Placa de Video Nvidia,Efectivo,5,4744.89,154744.89</t>
  </si>
  <si>
    <t>Irma Jara,2024-10-05,418746.18,18326.24,Alta CÃ³rdoba,Dorita Abad LujÃ¡n,Placa de Video Nvidia,Transferencia,2,8008.4,158008.4</t>
  </si>
  <si>
    <t>Almudena Seco,2025-06-15,102268.32,23704.4,Nueva CÃ³rdoba,PÃ¡nfilo Montenegro Alba,Monitor Samsung,CrÃ©dito,3,1571.28,151571.28</t>
  </si>
  <si>
    <t>Griselda Heredia,2025-05-23,102521.23,17850.0,General Paz,Dorita Abad LujÃ¡n,Placa de Video Nvidia,Efectivo,1,1693.42,151693.42</t>
  </si>
  <si>
    <t>Francisco GalÃ¡n,2024-09-01,200214.2,12671.17,CÃ³rdoba Centro,InÃ©s Campo Pont,Teclado Redragon,Efectivo,4,3750.86,153750.86</t>
  </si>
  <si>
    <t>Esperanza Samper,2025-02-03,395214.13,18798.8,CÃ³rdoba Centro,InÃ©s Campo Pont,Memoria RAM Corsair,CrÃ©dito,1,7528.31,157528.31</t>
  </si>
  <si>
    <t>Isabel Tudela,2024-08-09,195716.68,18514.0,CÃ³rdoba Centro,Calixta del Lago,Tablet Samsung,Transferencia,2,3544.05,153544.05</t>
  </si>
  <si>
    <t>Aurelio Ferrera,2025-05-17,38370.14,7701.99,Nueva CÃ³rdoba,Baldomero RamÃ³n,Teclado Redragon,CrÃ©dito,5,613.36,150613.36</t>
  </si>
  <si>
    <t>FÃ©lix Carro,2024-08-02,457535.35,36702.52,General Paz,PÃ¡nfilo Montenegro Alba,Teclado Redragon,Efectivo,2,8416.66,158416.66</t>
  </si>
  <si>
    <t>Rosa Baena,2025-02-24,106543.65,6739.74,Alta CÃ³rdoba,Baldomero RamÃ³n,Notebook Lenovo,CrÃ©dito,5,1996.08,151996.08</t>
  </si>
  <si>
    <t>Godofredo CÃ¡novas,2024-09-25,306289.77,9246.74,Alta CÃ³rdoba,Baldomero RamÃ³n,Disco SSD Kingston,Transferencia,4,5940.86,155940.86</t>
  </si>
  <si>
    <t>Domitila EcheverrÃ­a,2024-09-19,393705.21,10041.52,CÃ³rdoba Centro,PÃ¡nfilo Montenegro Alba,Memoria RAM Corsair,Transferencia,1,7673.27,157673.27</t>
  </si>
  <si>
    <t>Amado Vega,2025-02-06,317058.44,65880.68,San Vicente,PÃ¡nfilo Montenegro Alba,Memoria RAM Corsair,CrÃ©dito,5,5023.56,155023.56</t>
  </si>
  <si>
    <t>Amor Zamora,2025-01-17,275422.94,28632.27,CÃ³rdoba Centro,Calixta del Lago,Tablet Samsung,Efectivo,3,4935.81,154935.81</t>
  </si>
  <si>
    <t>Aristides Ãngel,2024-12-16,493834.36,119849.9,Nueva CÃ³rdoba,Calixta del Lago,Mouse Logitech,Efectivo,3,7479.69,157479.69</t>
  </si>
  <si>
    <t>Pastora Benavente,2025-07-22,329470.79,12109.9,CÃ³rdoba Centro,PÃ¡nfilo Montenegro Alba,Disco SSD Kingston,Transferencia,5,6347.22,156347.22</t>
  </si>
  <si>
    <t>Mariano Zorrilla,2025-03-11,242085.9,30710.84,Nueva CÃ³rdoba,Rosa de Bou,Placa de Video Nvidia,Efectivo,1,4227.5,154227.5</t>
  </si>
  <si>
    <t>Mariano Tello,2024-10-30,50045.61,10188.5,Nueva CÃ³rdoba,Edelmiro Valenciano-Ojeda,PC Gamer,Transferencia,5,797.14,150797.14</t>
  </si>
  <si>
    <t>Jose RamÃ³n EspaÃ±a,2024-07-25,226327.94,53638.3,CÃ³rdoba Centro,Dorita Abad LujÃ¡n,Tablet Samsung,Efectivo,5,3453.79,153453.79</t>
  </si>
  <si>
    <t>Leoncio MascarÃ³,2025-07-20,463319.53,24525.79,Nueva CÃ³rdoba,LuÃ­s Chaparro Borja,Mouse Logitech,Transferencia,1,8775.87,158775.87</t>
  </si>
  <si>
    <t>Conrado Montes,2024-09-03,379984.18,31531.74,Alta CÃ³rdoba,Paca Aramburu Luz,Placa de Video Nvidia,Efectivo,3,6969.05,156969.05</t>
  </si>
  <si>
    <t>Ruperto ElÃ­as,2025-06-15,28933.3,5333.96,Nueva CÃ³rdoba,Rosa de Bou,Placa de Video Nvidia,Efectivo,3,471.99,150471.99</t>
  </si>
  <si>
    <t>ValentÃ­n Sola,2025-03-15,120766.04,15970.33,CÃ³rdoba Centro,Edelmiro Valenciano-Ojeda,Notebook Lenovo,CrÃ©dito,2,2095.91,152095.91</t>
  </si>
  <si>
    <t>NÃ©stor Galvez,2025-03-17,195794.68,15815.59,CÃ³rdoba Centro,Calixta del Lago,Notebook Lenovo,Transferencia,2,3599.58,153599.58</t>
  </si>
  <si>
    <t>SimÃ³n Morales,2025-01-19,288162.75,47171.6,Alta CÃ³rdoba,Dorita Abad LujÃ¡n,PC Gamer,Efectivo,1,4819.82,154819.82</t>
  </si>
  <si>
    <t>Rosa MarÃ­a Estevez,2025-05-09,171873.97,36352.77,Nueva CÃ³rdoba,Dorita Abad LujÃ¡n,Tablet Samsung,Efectivo,5,2710.42,152710.42</t>
  </si>
  <si>
    <t>FÃ©lix Amador,2025-06-27,16573.0,3120.29,Alta CÃ³rdoba,Baldomero RamÃ³n,Monitor Samsung,Efectivo,2,269.05,150269.05</t>
  </si>
  <si>
    <t>Celia Zapata,2025-01-22,121210.1,8015.85,General Paz,LuÃ­s Chaparro Borja,Placa de Video Nvidia,Transferencia,1,2263.89,152263.89</t>
  </si>
  <si>
    <t>Ulises VizcaÃ­no,2025-04-09,277024.33,41507.76,CÃ³rdoba Centro,Calixta del Lago,Disco SSD Kingston,Efectivo,5,4710.33,154710.33</t>
  </si>
  <si>
    <t>Sonia Vara,2025-01-12,269595.89,3533.45,Alta CÃ³rdoba,Edelmiro Valenciano-Ojeda,Auriculares JBL,CrÃ©dito,3,5321.25,155321.25</t>
  </si>
  <si>
    <t>Coral Varela,2025-05-22,18751.45,2111.96,Alta CÃ³rdoba,Dorita Abad LujÃ¡n,Disco SSD Kingston,CrÃ©dito,4,332.79,150332.79</t>
  </si>
  <si>
    <t>TeÃ³fila Segovia,2025-06-07,25239.59,5970.98,San Vicente,Rosa de Bou,Placa de Video Nvidia,Efectivo,3,385.37,150385.37</t>
  </si>
  <si>
    <t>Aurora Tena,2025-01-18,198346.39,1244.0,Nueva CÃ³rdoba,InÃ©s Campo Pont,Mouse Logitech,CrÃ©dito,3,3942.05,153942.05</t>
  </si>
  <si>
    <t>Elisa Nogueira,2024-11-19,261481.66,45459.26,General Paz,Paca Aramburu Luz,Tablet Samsung,CrÃ©dito,1,4320.45,154320.45</t>
  </si>
  <si>
    <t>Guadalupe Cid,2025-03-08,44281.87,4759.47,Alta CÃ³rdoba,Calixta del Lago,Placa de Video Nvidia,Efectivo,4,790.45,150790.45</t>
  </si>
  <si>
    <t>Victor SolÃ­s,2025-06-29,362510.39,32806.37,Nueva CÃ³rdoba,PÃ¡nfilo Montenegro Alba,Notebook Lenovo,Transferencia,4,6594.08,156594.08</t>
  </si>
  <si>
    <t>Joaquina Villena,2025-07-20,57523.18,13127.49,Alta CÃ³rdoba,Edelmiro Valenciano-Ojeda,PC Gamer,Transferencia,4,887.91,150887.91</t>
  </si>
  <si>
    <t>Cloe FalcÃ³n,2025-06-23,55730.12,2334.25,Villa Allende,Rosa de Bou,Mouse Logitech,Transferencia,4,1067.92,151067.92</t>
  </si>
  <si>
    <t>Nilo Mir,2025-03-31,395616.51,92887.36,San Vicente,InÃ©s Campo Pont,Placa de Video Nvidia,CrÃ©dito,5,6054.58,156054.58</t>
  </si>
  <si>
    <t>Paz Botella,2025-05-05,25359.88,358.63,Alta CÃ³rdoba,Nieves del Ortega,Notebook Lenovo,Efectivo,2,500.03,150500.03</t>
  </si>
  <si>
    <t>SimÃ³n Amo,2024-09-02,200474.16,17854.24,General Paz,InÃ©s Campo Pont,Monitor Samsung,Transferencia,2,3652.4,153652.4</t>
  </si>
  <si>
    <t>Miguela RÃ³denas,2025-05-11,54508.2,1435.49,General Paz,Dorita Abad LujÃ¡n,Auriculares JBL,Efectivo,4,1061.45,151061.45</t>
  </si>
  <si>
    <t>Beatriz Gimeno,2025-06-12,26632.08,3676.58,CÃ³rdoba Centro,Paca Aramburu Luz,Teclado Redragon,CrÃ©dito,3,459.11,150459.11</t>
  </si>
  <si>
    <t>Jacinta DÃ­az,2025-02-09,267125.54,7474.74,Alta CÃ³rdoba,InÃ©s Campo Pont,Auriculares JBL,Transferencia,2,5193.02,155193.02</t>
  </si>
  <si>
    <t>Renato Suarez,2024-09-19,285896.03,56671.74,General Paz,Dorita Abad LujÃ¡n,Tablet Samsung,CrÃ©dito,1,4584.49,154584.49</t>
  </si>
  <si>
    <t>Cayetano Colomer,2024-12-17,273207.83,34146.91,CÃ³rdoba Centro,Nieves del Ortega,Monitor Samsung,Efectivo,2,4781.22,154781.22</t>
  </si>
  <si>
    <t>Odalis Arias,2024-10-05,306224.19,33362.92,CÃ³rdoba Centro,PÃ¡nfilo Montenegro Alba,Placa de Video Nvidia,Transferencia,5,5457.23,155457.23</t>
  </si>
  <si>
    <t>Arcelia Trillo,2024-12-28,62110.36,9028.76,Villa Allende,LuÃ­s Chaparro Borja,Teclado Redragon,Efectivo,2,1061.63,151061.63</t>
  </si>
  <si>
    <t>AndrÃ©s Felipe Rivera,2024-11-23,64828.0,7885.31,San Vicente,Nieves del Ortega,Mouse Logitech,Transferencia,2,1138.85,151138.85</t>
  </si>
  <si>
    <t>Augusto Nicolau,2025-01-26,105943.94,22927.35,San Vicente,Baldomero RamÃ³n,Disco SSD Kingston,CrÃ©dito,1,1660.33,151660.33</t>
  </si>
  <si>
    <t>NoÃ© Riera,2025-07-13,140763.99,32602.98,CÃ³rdoba Centro,Edelmiro Valenciano-Ojeda,Mouse Logitech,Efectivo,3,2163.22,152163.22</t>
  </si>
  <si>
    <t>ConcepciÃ³n JÃ¡uregui,2025-07-22,303518.61,62002.05,General Paz,Baldomero RamÃ³n,Tablet Samsung,CrÃ©dito,2,4830.33,154830.33</t>
  </si>
  <si>
    <t>Cosme Gual,2025-01-17,255663.03,48129.84,CÃ³rdoba Centro,Calixta del Lago,Memoria RAM Corsair,CrÃ©dito,1,4150.66,154150.66</t>
  </si>
  <si>
    <t>Galo VallÃ©s,2025-07-09,370638.47,27693.0,Villa Allende,InÃ©s Campo Pont,Notebook Lenovo,CrÃ©dito,5,6858.91,156858.91</t>
  </si>
  <si>
    <t>Reina Cerro,2025-02-21,333457.72,24785.13,Nueva CÃ³rdoba,Dorita Abad LujÃ¡n,Auriculares JBL,Efectivo,2,6173.45,156173.45</t>
  </si>
  <si>
    <t>Rosario Salazar,2025-02-06,66755.23,2730.74,Alta CÃ³rdoba,Paca Aramburu Luz,Tablet Samsung,Efectivo,3,1280.49,151280.49</t>
  </si>
  <si>
    <t>Galo Talavera,2025-04-04,26498.61,2869.07,CÃ³rdoba Centro,Nieves del Ortega,Notebook Lenovo,Efectivo,2,472.59,150472.59</t>
  </si>
  <si>
    <t>Graciano Barbero,2024-12-11,13522.72,2952.72,Villa Allende,LuÃ­s Chaparro Borja,Placa de Video Nvidia,Transferencia,1,211.4,150211.4</t>
  </si>
  <si>
    <t>Haroldo Carreras,2025-01-16,465785.89,47412.79,General Paz,LuÃ­s Chaparro Borja,Monitor Samsung,Transferencia,3,8367.46,158367.46</t>
  </si>
  <si>
    <t>Valentina Cueto,2025-07-08,39157.69,7204.59,General Paz,PÃ¡nfilo Montenegro Alba,Auriculares JBL,CrÃ©dito,1,639.06,150639.06</t>
  </si>
  <si>
    <t>Jose Luis Martinez,2025-06-18,423300.61,61181.37,San Vicente,InÃ©s Campo Pont,Monitor Samsung,Transferencia,5,7242.38,157242.38</t>
  </si>
  <si>
    <t>Javi Oliver,2024-12-19,354384.94,56993.49,San Vicente,Dorita Abad LujÃ¡n,Disco SSD Kingston,Efectivo,2,5947.83,155947.83</t>
  </si>
  <si>
    <t>BenjamÃ­n NoguÃ©s,2024-08-16,141950.99,14312.55,Alta CÃ³rdoba,InÃ©s Campo Pont,Auriculares JBL,Efectivo,1,2552.77,152552.77</t>
  </si>
  <si>
    <t>Judith Marquez,2024-11-25,84449.19,546.72,Nueva CÃ³rdoba,Rosa de Bou,Placa de Video Nvidia,Efectivo,3,1678.05,151678.05</t>
  </si>
  <si>
    <t>Sonia Carmona,2025-04-05,308820.8,74617.15,CÃ³rdoba Centro,Nieves del Ortega,Mouse Logitech,Efectivo,1,4684.07,154684.07</t>
  </si>
  <si>
    <t>Sigfrido Pablo,2025-05-31,188965.54,11701.98,Alta CÃ³rdoba,PÃ¡nfilo Montenegro Alba,Notebook Lenovo,Transferencia,5,3545.27,153545.27</t>
  </si>
  <si>
    <t>BrÃ­gida Espejo,2024-12-29,98630.98,13917.47,General Paz,LuÃ­s Chaparro Borja,PC Gamer,Transferencia,3,1694.27,151694.27</t>
  </si>
  <si>
    <t>Natividad Llorente,2024-11-14,316014.03,76829.33,Villa Allende,Paca Aramburu Luz,Tablet Samsung,Transferencia,3,4783.69,154783.69</t>
  </si>
  <si>
    <t>Hernando Robledo,2025-06-25,78463.77,3782.54,General Paz,Rosa de Bou,Auriculares JBL,CrÃ©dito,5,1493.62,151493.62</t>
  </si>
  <si>
    <t>NÃ©lida Quiroga,2025-07-18,174337.43,14259.21,San Vicente,Paca Aramburu Luz,Placa de Video Nvidia,Efectivo,1,3201.56,153201.56</t>
  </si>
  <si>
    <t>Daniela Cabezas,2025-06-18,286394.02,54488.39,Alta CÃ³rdoba,Dorita Abad LujÃ¡n,Memoria RAM Corsair,Transferencia,1,4638.11,154638.11</t>
  </si>
  <si>
    <t>Benigna Recio,2024-11-29,482645.35,102879.47,Villa Allende,Nieves del Ortega,Tablet Samsung,Efectivo,1,7595.32,157595.32</t>
  </si>
  <si>
    <t>Feliciano Gracia,2024-10-05,115953.33,9229.52,CÃ³rdoba Centro,Dorita Abad LujÃ¡n,Placa de Video Nvidia,Transferencia,5,2134.48,152134.48</t>
  </si>
  <si>
    <t>Cruz Reguera,2024-11-23,41243.71,3964.93,CÃ³rdoba Centro,Rosa de Bou,Placa de Video Nvidia,Transferencia,4,745.58,150745.58</t>
  </si>
  <si>
    <t>Sigfrido Gelabert,2025-02-07,98905.93,3388.17,Villa Allende,LuÃ­s Chaparro Borja,Teclado Redragon,CrÃ©dito,3,1910.36,151910.36</t>
  </si>
  <si>
    <t>Luisa Frutos,2025-02-09,431562.96,74880.2,Villa Allende,Calixta del Lago,Mouse Logitech,Efectivo,2,7133.66,157133.66</t>
  </si>
  <si>
    <t>Delfina Arnau,2025-05-09,54131.92,5124.59,San Vicente,Calixta del Lago,Placa de Video Nvidia,Transferencia,2,980.15,150980.15</t>
  </si>
  <si>
    <t>Victor Manuel Vives,2024-08-17,212852.31,50310.3,Alta CÃ³rdoba,Dorita Abad LujÃ¡n,Placa de Video Nvidia,Transferencia,3,3250.84,153250.84</t>
  </si>
  <si>
    <t>Hernando Fajardo,2024-08-20,39788.87,1098.53,CÃ³rdoba Centro,PÃ¡nfilo Montenegro Alba,Disco SSD Kingston,Efectivo,5,773.81,150773.81</t>
  </si>
  <si>
    <t>Isaac Moll,2025-06-18,406872.53,68137.12,Alta CÃ³rdoba,Nieves del Ortega,Placa de Video Nvidia,Transferencia,3,6774.71,156774.71</t>
  </si>
  <si>
    <t>Casandra Salcedo,2025-01-25,62693.59,11311.1,CÃ³rdoba Centro,Baldomero RamÃ³n,PC Gamer,CrÃ©dito,1,1027.65,151027.65</t>
  </si>
  <si>
    <t>Alfredo Almeida,2024-08-14,86917.19,5817.83,Villa Allende,Paca Aramburu Luz,Tablet Samsung,Transferencia,1,1621.99,151621.99</t>
  </si>
  <si>
    <t>Lucas SÃ¡ez,2025-01-19,65251.92,9628.31,CÃ³rdoba Centro,LuÃ­s Chaparro Borja,Teclado Redragon,Transferencia,3,1112.47,151112.47</t>
  </si>
  <si>
    <t>Marciano JuÃ¡rez,2024-07-27,443735.77,93355.92,CÃ³rdoba Centro,Baldomero RamÃ³n,Memoria RAM Corsair,Efectivo,3,7007.6,157007.6</t>
  </si>
  <si>
    <t>Beatriz Campoy,2024-09-19,366648.63,20238.34,Nueva CÃ³rdoba,Paca Aramburu Luz,Memoria RAM Corsair,CrÃ©dito,2,6928.21,156928.21</t>
  </si>
  <si>
    <t>Rafaela Anglada,2024-09-03,492542.44,102828.07,Alta CÃ³rdoba,Dorita Abad LujÃ¡n,Auriculares JBL,CrÃ©dito,4,7794.29,157794.29</t>
  </si>
  <si>
    <t>Julia Luna,2025-04-05,333354.95,74929.9,CÃ³rdoba Centro,PÃ¡nfilo Montenegro Alba,PC Gamer,Transferencia,3,5168.5,155168.5</t>
  </si>
  <si>
    <t>Isidoro Arrieta,2024-08-20,65432.27,13935.33,Nueva CÃ³rdoba,Rosa de Bou,Monitor Samsung,CrÃ©dito,1,1029.94,151029.94</t>
  </si>
  <si>
    <t>Moreno Castro,2025-02-23,204229.48,22762.06,San Vicente,InÃ©s Campo Pont,Teclado Redragon,Transferencia,3,3629.35,153629.35</t>
  </si>
  <si>
    <t>Alex Herrero,2025-03-23,451982.37,52008.2,Nueva CÃ³rdoba,InÃ©s Campo Pont,Monitor Samsung,CrÃ©dito,4,7999.48,157999.48</t>
  </si>
  <si>
    <t>Diego Gisbert,2024-12-01,262855.64,62872.63,San Vicente,LuÃ­s Chaparro Borja,Monitor Samsung,Efectivo,1,3999.66,153999.66</t>
  </si>
  <si>
    <t>Vito Jover,2025-02-15,109752.43,9379.66,Alta CÃ³rdoba,Calixta del Lago,Mouse Logitech,Transferencia,2,2007.46,152007.46</t>
  </si>
  <si>
    <t>Miguel Ãngel Aroca,2024-07-30,367043.15,82757.68,Alta CÃ³rdoba,Dorita Abad LujÃ¡n,Monitor Samsung,CrÃ©dito,1,5685.71,155685.71</t>
  </si>
  <si>
    <t>Albina Soler,2024-11-25,191782.9,6980.61,Alta CÃ³rdoba,Paca Aramburu Luz,Notebook Lenovo,Transferencia,3,3696.05,153696.05</t>
  </si>
  <si>
    <t>Chus Guitart,2025-02-21,471899.85,22158.53,Alta CÃ³rdoba,LuÃ­s Chaparro Borja,Memoria RAM Corsair,Transferencia,3,8994.83,158994.83</t>
  </si>
  <si>
    <t>Cruz Oller,2025-06-25,478452.51,89312.67,CÃ³rdoba Centro,Rosa de Bou,PC Gamer,CrÃ©dito,1,7782.8,157782.8</t>
  </si>
  <si>
    <t>Nico Torrents,2024-11-05,423460.11,51764.72,Villa Allende,LuÃ­s Chaparro Borja,Monitor Samsung,Efectivo,3,7433.91,157433.91</t>
  </si>
  <si>
    <t>Marcial Plaza,2025-07-01,22364.54,856.1,Villa Allende,Paca Aramburu Luz,Notebook Lenovo,Efectivo,5,430.17,150430.17</t>
  </si>
  <si>
    <t>Jafet GirÃ³n,2024-09-01,52218.35,1919.81,CÃ³rdoba Centro,LuÃ­s Chaparro Borja,Placa de Video Nvidia,Efectivo,4,1005.97,151005.97</t>
  </si>
  <si>
    <t>Jesusa Cid,2025-03-30,262115.29,27636.49,San Vicente,Dorita Abad LujÃ¡n,Memoria RAM Corsair,Transferencia,5,4689.58,154689.58</t>
  </si>
  <si>
    <t>Teresa Bonilla,2025-03-30,413307.6,31446.13,Alta CÃ³rdoba,Paca Aramburu Luz,Tablet Samsung,CrÃ©dito,2,7637.23,157637.23</t>
  </si>
  <si>
    <t>HernÃ¡n Zabaleta,2025-02-11,229825.69,29928.22,Villa Allende,Paca Aramburu Luz,Disco SSD Kingston,Efectivo,3,3997.95,153997.95</t>
  </si>
  <si>
    <t>LucÃ­a Arana,2025-01-28,439705.49,12588.04,Alta CÃ³rdoba,Dorita Abad LujÃ¡n,Memoria RAM Corsair,Transferencia,3,8542.35,158542.35</t>
  </si>
  <si>
    <t>Erasmo Caballero,2025-02-07,414991.55,70949.53,CÃ³rdoba Centro,Nieves del Ortega,Notebook Lenovo,CrÃ©dito,1,6880.84,156880.84</t>
  </si>
  <si>
    <t>Mohamed Jara,2024-12-25,411223.52,63483.75,Nueva CÃ³rdoba,Paca Aramburu Luz,Memoria RAM Corsair,Efectivo,2,6954.8,156954.8</t>
  </si>
  <si>
    <t>Joel Pino,2024-10-15,403306.47,83118.03,Villa Allende,Paca Aramburu Luz,Notebook Lenovo,Efectivo,4,6403.77,156403.77</t>
  </si>
  <si>
    <t>Amador Pintor,2024-08-19,213509.91,16217.5,General Paz,PÃ¡nfilo Montenegro Alba,PC Gamer,Transferencia,2,3945.85,153945.85</t>
  </si>
  <si>
    <t>Serafina Villalobos,2025-04-13,279280.44,56001.59,General Paz,Baldomero RamÃ³n,Disco SSD Kingston,Transferencia,1,4465.58,154465.58</t>
  </si>
  <si>
    <t>Paz Chamorro,2025-06-03,415627.84,49019.32,San Vicente,Edelmiro Valenciano-Ojeda,Auriculares JBL,Efectivo,1,7332.17,157332.17</t>
  </si>
  <si>
    <t>Mireia Almagro,2025-06-28,406246.12,93406.15,Villa Allende,Rosa de Bou,Notebook Lenovo,Efectivo,3,6256.8,156256.8</t>
  </si>
  <si>
    <t>Ruth Domingo,2024-11-29,165635.38,3656.98,San Vicente,Calixta del Lago,Placa de Video Nvidia,CrÃ©dito,2,3239.57,153239.57</t>
  </si>
  <si>
    <t>Cloe MariÃ±o,2025-06-11,20022.45,4911.11,Alta CÃ³rdoba,Paca Aramburu Luz,Teclado Redragon,Efectivo,2,302.23,150302.23</t>
  </si>
  <si>
    <t>Isabel Morillo,2024-12-15,269357.03,50129.05,Villa Allende,PÃ¡nfilo Montenegro Alba,Placa de Video Nvidia,CrÃ©dito,5,4384.56,154384.56</t>
  </si>
  <si>
    <t>Febe Taboada,2024-08-18,389766.23,87655.14,Nueva CÃ³rdoba,Calixta del Lago,Mouse Logitech,Efectivo,5,6042.22,156042.22</t>
  </si>
  <si>
    <t>PÃ¡nfilo AdÃ¡n,2025-06-16,202959.1,4221.27,General Paz,LuÃ­s Chaparro Borja,Monitor Samsung,Transferencia,4,3974.76,153974.76</t>
  </si>
  <si>
    <t>Piedad Ferrera,2024-11-26,152504.85,22913.0,San Vicente,Dorita Abad LujÃ¡n,PC Gamer,CrÃ©dito,5,2591.84,152591.84</t>
  </si>
  <si>
    <t>Hugo Carpio,2024-12-09,261025.7,31551.74,CÃ³rdoba Centro,PÃ¡nfilo Montenegro Alba,Monitor Samsung,Transferencia,1,4589.48,154589.48</t>
  </si>
  <si>
    <t>Abril Amat,2024-09-10,204332.1,20690.55,Alta CÃ³rdoba,Paca Aramburu Luz,Placa de Video Nvidia,CrÃ©dito,1,3672.83,153672.83</t>
  </si>
  <si>
    <t>Salvador Sala,2024-10-23,83966.96,2589.8,Alta CÃ³rdoba,Baldomero RamÃ³n,Tablet Samsung,Efectivo,1,1627.54,151627.54</t>
  </si>
  <si>
    <t>Pepito Barriga,2025-06-06,107160.45,2830.77,General Paz,Baldomero RamÃ³n,PC Gamer,Efectivo,1,2086.59,152086.59</t>
  </si>
  <si>
    <t>MarÃ­a Ãngeles Ferreras,2024-12-07,217332.55,6675.8,San Vicente,InÃ©s Campo Pont,Mouse Logitech,CrÃ©dito,1,4213.14,154213.14</t>
  </si>
  <si>
    <t>Azahar Barrera,2024-08-27,279786.2,63571.27,General Paz,Dorita Abad LujÃ¡n,Memoria RAM Corsair,Efectivo,3,4324.3,154324.3</t>
  </si>
  <si>
    <t>Encarnacion Gual,2025-05-29,150588.82,19664.0,General Paz,LuÃ­s Chaparro Borja,Notebook Lenovo,CrÃ©dito,2,2618.5,152618.5</t>
  </si>
  <si>
    <t>PurificaciÃ³n GarcÃ©s,2024-09-21,373925.05,11516.55,CÃ³rdoba Centro,Dorita Abad LujÃ¡n,Disco SSD Kingston,Efectivo,1,7248.17,157248.17</t>
  </si>
  <si>
    <t>Albino Viana,2025-06-30,329239.89,5794.85,San Vicente,InÃ©s Campo Pont,Auriculares JBL,CrÃ©dito,2,6468.9,156468.9</t>
  </si>
  <si>
    <t>Reina GarzÃ³n,2025-01-15,141112.79,25386.49,Nueva CÃ³rdoba,InÃ©s Campo Pont,Auriculares JBL,Efectivo,2,2314.53,152314.53</t>
  </si>
  <si>
    <t>Pancho Alcalde,2025-06-21,430649.08,65598.22,General Paz,Baldomero RamÃ³n,Placa de Video Nvidia,Transferencia,1,7301.02,157301.02</t>
  </si>
  <si>
    <t>Candelario TerrÃ³n,2025-04-12,316834.28,12195.03,Villa Allende,LuÃ­s Chaparro Borja,Memoria RAM Corsair,Efectivo,5,6092.78,156092.78</t>
  </si>
  <si>
    <t>Roxana Infante,2025-05-29,326655.25,26237.43,Alta CÃ³rdoba,Baldomero RamÃ³n,Monitor Samsung,CrÃ©dito,4,6008.36,156008.36</t>
  </si>
  <si>
    <t>Jose RamÃ³n Prat,2025-03-25,431352.51,49563.17,Villa Allende,LuÃ­s Chaparro Borja,Disco SSD Kingston,Transferencia,2,7635.79,157635.79</t>
  </si>
  <si>
    <t>NoemÃ­ EspaÃ±ol,2025-01-21,219970.52,49789.36,San Vicente,PÃ¡nfilo Montenegro Alba,Tablet Samsung,Efectivo,2,3403.62,153403.62</t>
  </si>
  <si>
    <t>ElÃ­as Mayoral,2025-07-09,172447.52,13521.69,General Paz,Dorita Abad LujÃ¡n,Teclado Redragon,Efectivo,3,3178.52,153178.52</t>
  </si>
  <si>
    <t>Remedios Alvarez,2025-01-14,110344.01,19903.27,Alta CÃ³rdoba,Edelmiro Valenciano-Ojeda,Memoria RAM Corsair,CrÃ©dito,3,1808.81,151808.81</t>
  </si>
  <si>
    <t>Lucas Fernandez,2025-02-08,201356.64,16070.4,Villa Allende,Baldomero RamÃ³n,PC Gamer,Efectivo,3,3705.72,153705.72</t>
  </si>
  <si>
    <t>Lope Calzada,2024-09-19,67353.55,1068.0,Nueva CÃ³rdoba,Calixta del Lago,Auriculares JBL,Efectivo,4,1325.71,151325.71</t>
  </si>
  <si>
    <t>Leandro Iglesias,2025-03-28,431401.4,91901.67,CÃ³rdoba Centro,Dorita Abad LujÃ¡n,Teclado Redragon,Efectivo,1,6789.99,156789.99</t>
  </si>
  <si>
    <t>Eliana Figuerola,2025-02-12,56828.31,3888.88,Nueva CÃ³rdoba,Calixta del Lago,Monitor Samsung,CrÃ©dito,3,1058.79,151058.79</t>
  </si>
  <si>
    <t>Soraya Mora,2025-04-14,242542.72,42788.41,Nueva CÃ³rdoba,Edelmiro Valenciano-Ojeda,Placa de Video Nvidia,CrÃ©dito,1,3995.09,153995.09</t>
  </si>
  <si>
    <t>Ernesto LarraÃ±aga,2025-01-18,224757.36,51908.15,Nueva CÃ³rdoba,LuÃ­s Chaparro Borja,Tablet Samsung,Transferencia,3,3456.98,153456.98</t>
  </si>
  <si>
    <t>Iris Villar,2025-07-16,410047.45,41167.44,Villa Allende,Nieves del Ortega,Teclado Redragon,CrÃ©dito,1,7377.6,157377.6</t>
  </si>
  <si>
    <t>Lorenzo Marquez,2024-12-04,443557.36,5541.4,Villa Allende,PÃ¡nfilo Montenegro Alba,Disco SSD Kingston,Transferencia,4,8760.32,158760.32</t>
  </si>
  <si>
    <t>Maximino Palacios,2025-01-06,195207.88,29975.07,Villa Allende,Dorita Abad LujÃ¡n,Disco SSD Kingston,Transferencia,3,3304.66,153304.66</t>
  </si>
  <si>
    <t>Rafael DÃ­ez,2025-06-14,15114.4,1019.36,CÃ³rdoba Centro,Dorita Abad LujÃ¡n,Notebook Lenovo,CrÃ©dito,5,281.9,150281.9</t>
  </si>
  <si>
    <t>Armida Criado,2024-08-30,494105.81,113054.6,General Paz,InÃ©s Campo Pont,Auriculares JBL,CrÃ©dito,1,7621.02,157621.02</t>
  </si>
  <si>
    <t>Ricarda Pedraza,2025-07-08,428988.03,66834.86,Villa Allende,PÃ¡nfilo Montenegro Alba,Mouse Logitech,Efectivo,1,7243.06,157243.06</t>
  </si>
  <si>
    <t>Guiomar Pou,2024-10-25,81150.2,5449.2,Villa Allende,PÃ¡nfilo Montenegro Alba,PC Gamer,Transferencia,3,1514.02,151514.02</t>
  </si>
  <si>
    <t>Porfirio Sancho,2025-06-20,474476.37,36386.2,Alta CÃ³rdoba,InÃ©s Campo Pont,Tablet Samsung,CrÃ©dito,2,8761.8,158761.8</t>
  </si>
  <si>
    <t>Aureliano Pardo,2025-03-05,34670.96,7610.1,General Paz,Dorita Abad LujÃ¡n,Memoria RAM Corsair,CrÃ©dito,4,541.22,150541.22</t>
  </si>
  <si>
    <t>Lupita Murcia,2025-01-28,286633.09,11645.34,Nueva CÃ³rdoba,Nieves del Ortega,Placa de Video Nvidia,CrÃ©dito,2,5499.76,155499.76</t>
  </si>
  <si>
    <t>Aurelio PeÃ±a,2025-07-02,211335.09,34313.38,San Vicente,Paca Aramburu Luz,Tablet Samsung,CrÃ©dito,5,3540.43,153540.43</t>
  </si>
  <si>
    <t>Liliana Guardiola,2025-06-18,131413.36,7171.16,Nueva CÃ³rdoba,LuÃ­s Chaparro Borja,Mouse Logitech,Transferencia,2,2484.84,152484.84</t>
  </si>
  <si>
    <t>Candela Carrera,2024-07-24,202932.4,43644.39,CÃ³rdoba Centro,Paca Aramburu Luz,Mouse Logitech,Efectivo,5,3185.76,153185.76</t>
  </si>
  <si>
    <t>Domingo Melero,2025-04-03,334801.84,52436.16,Alta CÃ³rdoba,Dorita Abad LujÃ¡n,Mouse Logitech,CrÃ©dito,5,5647.31,155647.31</t>
  </si>
  <si>
    <t>Segismundo Mendoza,2024-11-13,435500.68,1331.57,Nueva CÃ³rdoba,Edelmiro Valenciano-Ojeda,Teclado Redragon,Efectivo,5,8683.38,158683.38</t>
  </si>
  <si>
    <t>Cliente</t>
  </si>
  <si>
    <t>Precio</t>
  </si>
  <si>
    <t>Descuento</t>
  </si>
  <si>
    <t>Sucursal</t>
  </si>
  <si>
    <t>Vendedor</t>
  </si>
  <si>
    <t>Producto</t>
  </si>
  <si>
    <t>MetodoPago</t>
  </si>
  <si>
    <t>Cantidad</t>
  </si>
  <si>
    <t>Comision</t>
  </si>
  <si>
    <t>Sueldo</t>
  </si>
  <si>
    <t>Calixto Valderrama</t>
  </si>
  <si>
    <t>General Paz</t>
  </si>
  <si>
    <t>Rosa de Bou</t>
  </si>
  <si>
    <t>Mouse Logitech</t>
  </si>
  <si>
    <t>Transferencia</t>
  </si>
  <si>
    <t>Edelmiro Valenciano-Ojeda</t>
  </si>
  <si>
    <t>Placa de Video Nvidia</t>
  </si>
  <si>
    <t>San Vicente</t>
  </si>
  <si>
    <t>Calixta del Lago</t>
  </si>
  <si>
    <t>Rosalina Gallardo</t>
  </si>
  <si>
    <t>Villa Allende</t>
  </si>
  <si>
    <t>Nieves del Ortega</t>
  </si>
  <si>
    <t>Tablet Samsung</t>
  </si>
  <si>
    <t>Ovidio Valenzuela</t>
  </si>
  <si>
    <t>Notebook Lenovo</t>
  </si>
  <si>
    <t>Jose Luis Sierra</t>
  </si>
  <si>
    <t>Memoria RAM Corsair</t>
  </si>
  <si>
    <t>Tere Villegas</t>
  </si>
  <si>
    <t>Alejandra Villa</t>
  </si>
  <si>
    <t>Loida Priego</t>
  </si>
  <si>
    <t>Felisa Pellicer</t>
  </si>
  <si>
    <t>Monitor Samsung</t>
  </si>
  <si>
    <t>Josefa Reyes</t>
  </si>
  <si>
    <t>Disco SSD Kingston</t>
  </si>
  <si>
    <t>Reinaldo Camps</t>
  </si>
  <si>
    <t>PC Gamer</t>
  </si>
  <si>
    <t>Flora Toledo</t>
  </si>
  <si>
    <t>Efectivo</t>
  </si>
  <si>
    <t>Consuelo Seco</t>
  </si>
  <si>
    <t>Teclado Redragon</t>
  </si>
  <si>
    <t>Lope Luque</t>
  </si>
  <si>
    <t>Diego Soriano</t>
  </si>
  <si>
    <t>Paca Aramburu Luz</t>
  </si>
  <si>
    <t>Fidela Asenjo</t>
  </si>
  <si>
    <t>Auriculares JBL</t>
  </si>
  <si>
    <t>Trinidad Neira</t>
  </si>
  <si>
    <t>Luz Mora</t>
  </si>
  <si>
    <t>Humberto Quintana</t>
  </si>
  <si>
    <t>Santos Pinedo</t>
  </si>
  <si>
    <t>Ruben Acevedo</t>
  </si>
  <si>
    <t>Baudelio Ricart</t>
  </si>
  <si>
    <t>Ximena Prats</t>
  </si>
  <si>
    <t>Vanesa Zorrilla</t>
  </si>
  <si>
    <t>Inmaculada Gaya</t>
  </si>
  <si>
    <t>Brunilda Cuevas</t>
  </si>
  <si>
    <t>Adolfo Carrasco</t>
  </si>
  <si>
    <t>Julieta Serra</t>
  </si>
  <si>
    <t>Vera Dominguez</t>
  </si>
  <si>
    <t>Eutropio Codina</t>
  </si>
  <si>
    <t>Dimas Gimenez</t>
  </si>
  <si>
    <t>Jenaro Flores</t>
  </si>
  <si>
    <t>Cesar Jara</t>
  </si>
  <si>
    <t>Alex Campillo</t>
  </si>
  <si>
    <t>Heraclio Carrillo</t>
  </si>
  <si>
    <t>Tamara Torre</t>
  </si>
  <si>
    <t>Mamen Barrios</t>
  </si>
  <si>
    <t>Zaira Casas</t>
  </si>
  <si>
    <t>Chuy Amo</t>
  </si>
  <si>
    <t>Asdrubal Busquets</t>
  </si>
  <si>
    <t>Maribel Murillo</t>
  </si>
  <si>
    <t>Horacio Villena</t>
  </si>
  <si>
    <t>Jaime Pombo</t>
  </si>
  <si>
    <t>Febe Pineda</t>
  </si>
  <si>
    <t>Cristina Porta</t>
  </si>
  <si>
    <t>Cecilio Flor</t>
  </si>
  <si>
    <t>Chucho Castell</t>
  </si>
  <si>
    <t>Eulalia Ribes</t>
  </si>
  <si>
    <t>Poncio Chaves</t>
  </si>
  <si>
    <t>Onofre Sanjuan</t>
  </si>
  <si>
    <t>Georgina Espinosa</t>
  </si>
  <si>
    <t>Obdulia Salcedo</t>
  </si>
  <si>
    <t>Charo Baeza</t>
  </si>
  <si>
    <t>Catalina Vara</t>
  </si>
  <si>
    <t>Santiago Santamaria</t>
  </si>
  <si>
    <t>Esperanza Acero</t>
  </si>
  <si>
    <t>Eliana Trillo</t>
  </si>
  <si>
    <t>Montserrat Torrent</t>
  </si>
  <si>
    <t>Victor Lago</t>
  </si>
  <si>
    <t>Carla Zamorano</t>
  </si>
  <si>
    <t>Vidal Sevillano</t>
  </si>
  <si>
    <t>Federico Hernando</t>
  </si>
  <si>
    <t>Belen Losada</t>
  </si>
  <si>
    <t>Lorenza Agullo</t>
  </si>
  <si>
    <t>Calista Chaves</t>
  </si>
  <si>
    <t>Samuel Bernal</t>
  </si>
  <si>
    <t>Santiago Pastor</t>
  </si>
  <si>
    <t>Juliana Rodriguez</t>
  </si>
  <si>
    <t>Santiago Acosta</t>
  </si>
  <si>
    <t>Jimena Ruano</t>
  </si>
  <si>
    <t>Jordi Trujillo</t>
  </si>
  <si>
    <t>Cloe Arce</t>
  </si>
  <si>
    <t>Nieves Benito</t>
  </si>
  <si>
    <t>Gisela Amores</t>
  </si>
  <si>
    <t>Antonio Mesa</t>
  </si>
  <si>
    <t>Ruth Galindo</t>
  </si>
  <si>
    <t>Amalia Herranz</t>
  </si>
  <si>
    <t>Leonel Valderrama</t>
  </si>
  <si>
    <t>Urbano Ortega</t>
  </si>
  <si>
    <t>Irene Jerez</t>
  </si>
  <si>
    <t>Baldomero Otero</t>
  </si>
  <si>
    <t>Adolfo Roman</t>
  </si>
  <si>
    <t>Ambrosio Castrillo</t>
  </si>
  <si>
    <t>Abraham Llanos</t>
  </si>
  <si>
    <t>Rosaura Tomas</t>
  </si>
  <si>
    <t>Marina Gimenez</t>
  </si>
  <si>
    <t>Abril Lobato</t>
  </si>
  <si>
    <t>Chelo Ferrero</t>
  </si>
  <si>
    <t>Adelaida Prieto</t>
  </si>
  <si>
    <t>Ignacia Sabater</t>
  </si>
  <si>
    <t>Rebeca Calvet</t>
  </si>
  <si>
    <t>Mamen Manrique</t>
  </si>
  <si>
    <t>Loreto Becerra</t>
  </si>
  <si>
    <t>Amancio Nogueira</t>
  </si>
  <si>
    <t>Nando Mateo</t>
  </si>
  <si>
    <t>Nico Campo</t>
  </si>
  <si>
    <t>Melania Torrens</t>
  </si>
  <si>
    <t>Rosario Alfonso</t>
  </si>
  <si>
    <t>Aura Armengol</t>
  </si>
  <si>
    <t>Juana Salazar</t>
  </si>
  <si>
    <t>Apolinar Andres</t>
  </si>
  <si>
    <t>Graciano Roldan</t>
  </si>
  <si>
    <t>Valerio Requena</t>
  </si>
  <si>
    <t>Rafaela Amores</t>
  </si>
  <si>
    <t>Jordi Alberdi</t>
  </si>
  <si>
    <t>Charo Puerta</t>
  </si>
  <si>
    <t>Gilberto Collado</t>
  </si>
  <si>
    <t>Ester Pino</t>
  </si>
  <si>
    <t>Cayetana Madrid</t>
  </si>
  <si>
    <t>Rufina Ortiz</t>
  </si>
  <si>
    <t>Albert Pujol</t>
  </si>
  <si>
    <t>Jacinta Villar</t>
  </si>
  <si>
    <t>Rosa Aguirre</t>
  </si>
  <si>
    <t>Tatiana Valls</t>
  </si>
  <si>
    <t>Mario Chico</t>
  </si>
  <si>
    <t>Maricela Macias</t>
  </si>
  <si>
    <t>Pelayo Cervera</t>
  </si>
  <si>
    <t>Quirino Uribe</t>
  </si>
  <si>
    <t>Pascual Madrigal</t>
  </si>
  <si>
    <t>Ariadna Campo</t>
  </si>
  <si>
    <t>Nidia Monreal</t>
  </si>
  <si>
    <t>Juanita Barrio</t>
  </si>
  <si>
    <t>Ignacio Carrasco</t>
  </si>
  <si>
    <t>Haroldo Oliva</t>
  </si>
  <si>
    <t>Adalberto Canet</t>
  </si>
  <si>
    <t>Sandra Bustamante</t>
  </si>
  <si>
    <t>Clara Solera</t>
  </si>
  <si>
    <t>Vilma Contreras</t>
  </si>
  <si>
    <t>Cosme Porcel</t>
  </si>
  <si>
    <t>Arcelia Figueroa</t>
  </si>
  <si>
    <t>Fabiola Artigas</t>
  </si>
  <si>
    <t>Danilo Guardia</t>
  </si>
  <si>
    <t>Vera Medina</t>
  </si>
  <si>
    <t>Vidal Bas</t>
  </si>
  <si>
    <t>Adalberto Pintor</t>
  </si>
  <si>
    <t>Regina Jover</t>
  </si>
  <si>
    <t>Luciana Lasa</t>
  </si>
  <si>
    <t>Pepito Pascual</t>
  </si>
  <si>
    <t>Tania Gomila</t>
  </si>
  <si>
    <t>Valentina Pi</t>
  </si>
  <si>
    <t>Felix Ramos</t>
  </si>
  <si>
    <t>Dan Castellanos</t>
  </si>
  <si>
    <t>Petrona Izquierdo</t>
  </si>
  <si>
    <t>Cristian Roca</t>
  </si>
  <si>
    <t>Bernarda Heras</t>
  </si>
  <si>
    <t>Narcisa Villena</t>
  </si>
  <si>
    <t>Saturnina Ballester</t>
  </si>
  <si>
    <t>Teresa Peinado</t>
  </si>
  <si>
    <t>Jordi Iborra</t>
  </si>
  <si>
    <t>Atilio Valenciano</t>
  </si>
  <si>
    <t>Florentino Robledo</t>
  </si>
  <si>
    <t>Juan Bautista Pedrero</t>
  </si>
  <si>
    <t>Violeta Carvajal</t>
  </si>
  <si>
    <t>Rico Collado</t>
  </si>
  <si>
    <t>Modesto Feijoo</t>
  </si>
  <si>
    <t>Abilio Piquer</t>
  </si>
  <si>
    <t>Bibiana Comas</t>
  </si>
  <si>
    <t>Casemiro Sastre</t>
  </si>
  <si>
    <t>Rafael Redondo</t>
  </si>
  <si>
    <t>Inmaculada Peralta</t>
  </si>
  <si>
    <t>Jenny Llorens</t>
  </si>
  <si>
    <t>Bernardo Domingo</t>
  </si>
  <si>
    <t>Moreno Anaya</t>
  </si>
  <si>
    <t>Georgina Jurado</t>
  </si>
  <si>
    <t>Che Calleja</t>
  </si>
  <si>
    <t>Eladio Bernat</t>
  </si>
  <si>
    <t>Amancio Trillo</t>
  </si>
  <si>
    <t>Silvestre Ribes</t>
  </si>
  <si>
    <t>Mario Baeza</t>
  </si>
  <si>
    <t>Remedios Rosado</t>
  </si>
  <si>
    <t>Ceferino Merino</t>
  </si>
  <si>
    <t>Azahar Casares</t>
  </si>
  <si>
    <t>Mohamed Gallo</t>
  </si>
  <si>
    <t>Claudia Reyes</t>
  </si>
  <si>
    <t>Felisa Colomer</t>
  </si>
  <si>
    <t>Heriberto Amo</t>
  </si>
  <si>
    <t>Anacleto Fiol</t>
  </si>
  <si>
    <t>Olimpia Gracia</t>
  </si>
  <si>
    <t>Rafaela Villa</t>
  </si>
  <si>
    <t>Ulises Gisbert</t>
  </si>
  <si>
    <t>Tiburcio Mayo</t>
  </si>
  <si>
    <t>Beatriz Baena</t>
  </si>
  <si>
    <t>Mercedes Galiano</t>
  </si>
  <si>
    <t>Yaiza Molins</t>
  </si>
  <si>
    <t>Adelardo Molina</t>
  </si>
  <si>
    <t>Godofredo Moya</t>
  </si>
  <si>
    <t>Elodia Espinosa</t>
  </si>
  <si>
    <t>Carmelo Sevilla</t>
  </si>
  <si>
    <t>Agustina Gracia</t>
  </si>
  <si>
    <t>Amancio Pozuelo</t>
  </si>
  <si>
    <t>Sosimo Ropero</t>
  </si>
  <si>
    <t>Tito Batlle</t>
  </si>
  <si>
    <t>Wilfredo Lloret</t>
  </si>
  <si>
    <t>Eli Palomo</t>
  </si>
  <si>
    <t>Gonzalo Mesa</t>
  </si>
  <si>
    <t>Angelita Borrell</t>
  </si>
  <si>
    <t>Felisa Ochoa</t>
  </si>
  <si>
    <t>Samuel Cornejo</t>
  </si>
  <si>
    <t>Loreto Gomis</t>
  </si>
  <si>
    <t>Blanca Jover</t>
  </si>
  <si>
    <t>Atilio Barbero</t>
  </si>
  <si>
    <t>Eliseo Plana</t>
  </si>
  <si>
    <t>Regina Fuster</t>
  </si>
  <si>
    <t>Luis Miguel Guerra</t>
  </si>
  <si>
    <t>Marcial Quintanilla</t>
  </si>
  <si>
    <t>Delfina Chamorro</t>
  </si>
  <si>
    <t>Antonio Pujadas</t>
  </si>
  <si>
    <t>Carlos Gallart</t>
  </si>
  <si>
    <t>Norberto Barrios</t>
  </si>
  <si>
    <t>Apolinar Castellanos</t>
  </si>
  <si>
    <t>Elisa Gomis</t>
  </si>
  <si>
    <t>Donato Llopis</t>
  </si>
  <si>
    <t>Benita Salas</t>
  </si>
  <si>
    <t>Elpidio Oliva</t>
  </si>
  <si>
    <t>Eutropio Castrillo</t>
  </si>
  <si>
    <t>Cruz Varela</t>
  </si>
  <si>
    <t>Cristian Palau</t>
  </si>
  <si>
    <t>Segismundo Benito</t>
  </si>
  <si>
    <t>Horacio Verdejo</t>
  </si>
  <si>
    <t>Carlos Carretero</t>
  </si>
  <si>
    <t>Herberto Novoa</t>
  </si>
  <si>
    <t>Angelita Gras</t>
  </si>
  <si>
    <t>Seve Barco</t>
  </si>
  <si>
    <t>Merche Anguita</t>
  </si>
  <si>
    <t>Adolfo Quevedo</t>
  </si>
  <si>
    <t>Ciriaco Campos</t>
  </si>
  <si>
    <t>Natanael Baeza</t>
  </si>
  <si>
    <t>Lidia Bernat</t>
  </si>
  <si>
    <t>Vilma Orozco</t>
  </si>
  <si>
    <t>Bruno Parra</t>
  </si>
  <si>
    <t>Loreto Miguel</t>
  </si>
  <si>
    <t>Ruperto Nevado</t>
  </si>
  <si>
    <t>Balduino Laguna</t>
  </si>
  <si>
    <t>Dani Viana</t>
  </si>
  <si>
    <t>Camilo Pozuelo</t>
  </si>
  <si>
    <t>Enrique Cortina</t>
  </si>
  <si>
    <t>Ruy Olivera</t>
  </si>
  <si>
    <t>Dionisia Pizarro</t>
  </si>
  <si>
    <t>Malena Villalonga</t>
  </si>
  <si>
    <t>Ale Silva</t>
  </si>
  <si>
    <t>Rosalinda Giner</t>
  </si>
  <si>
    <t>Pastora Morera</t>
  </si>
  <si>
    <t>Teodoro Vidal</t>
  </si>
  <si>
    <t>Vilma Castillo</t>
  </si>
  <si>
    <t>Pastor Ochoa</t>
  </si>
  <si>
    <t>Arturo Jaume</t>
  </si>
  <si>
    <t>Gracia Sevillano</t>
  </si>
  <si>
    <t>Ruperta Ledesma</t>
  </si>
  <si>
    <t>Patricia Mariscal</t>
  </si>
  <si>
    <t>Octavio Osorio</t>
  </si>
  <si>
    <t>Edgardo Lamas</t>
  </si>
  <si>
    <t>Evita Tapia</t>
  </si>
  <si>
    <t>Emilio Batlle</t>
  </si>
  <si>
    <t>Tecla Palomino</t>
  </si>
  <si>
    <t>Vanesa Bayo</t>
  </si>
  <si>
    <t>Berto Gomila</t>
  </si>
  <si>
    <t>Matilde Galvez</t>
  </si>
  <si>
    <t>Eladio Valencia</t>
  </si>
  <si>
    <t>Juanito Sanchez</t>
  </si>
  <si>
    <t>Segismundo Recio</t>
  </si>
  <si>
    <t>Amaya Duque</t>
  </si>
  <si>
    <t>Juan Pablo Lerma</t>
  </si>
  <si>
    <t>Marisela Gordillo</t>
  </si>
  <si>
    <t>Bernardo Escamilla</t>
  </si>
  <si>
    <t>Jose Luis Carretero</t>
  </si>
  <si>
    <t>Nazaret Morales</t>
  </si>
  <si>
    <t>Pepito Iglesia</t>
  </si>
  <si>
    <t>Emma Segovia</t>
  </si>
  <si>
    <t>Florinda Vall</t>
  </si>
  <si>
    <t>Elvira Nebot</t>
  </si>
  <si>
    <t>Rosa Peinado</t>
  </si>
  <si>
    <t>Mario Anguita</t>
  </si>
  <si>
    <t>Macario Arana</t>
  </si>
  <si>
    <t>Paca Moliner</t>
  </si>
  <si>
    <t>Dalila Campoy</t>
  </si>
  <si>
    <t>Susana Quintero</t>
  </si>
  <si>
    <t>Glauco Botella</t>
  </si>
  <si>
    <t>Albano Solana</t>
  </si>
  <si>
    <t>Carlito Goicoechea</t>
  </si>
  <si>
    <t>Loreto Izquierdo</t>
  </si>
  <si>
    <t>Alba Guitart</t>
  </si>
  <si>
    <t>Ignacia Rebollo</t>
  </si>
  <si>
    <t>Dimas Hoz</t>
  </si>
  <si>
    <t>Emiliano Chaparro</t>
  </si>
  <si>
    <t>Delfina Ariza</t>
  </si>
  <si>
    <t>Armando Alberola</t>
  </si>
  <si>
    <t>Teo Pedrosa</t>
  </si>
  <si>
    <t>Gervasio Palacios</t>
  </si>
  <si>
    <t>Telmo Colomer</t>
  </si>
  <si>
    <t>Samuel Plana</t>
  </si>
  <si>
    <t>Sebastian Gonzalez</t>
  </si>
  <si>
    <t>Ariadna Somoza</t>
  </si>
  <si>
    <t>Isabel Noguera</t>
  </si>
  <si>
    <t>Dulce Aliaga</t>
  </si>
  <si>
    <t>Hector Casares</t>
  </si>
  <si>
    <t>Florentino Vicente</t>
  </si>
  <si>
    <t>Sara Gargallo</t>
  </si>
  <si>
    <t>Hilario Tena</t>
  </si>
  <si>
    <t>Mar Girona</t>
  </si>
  <si>
    <t>Flavia Garmendia</t>
  </si>
  <si>
    <t>Vasco Fortuny</t>
  </si>
  <si>
    <t>Macaria Rey</t>
  </si>
  <si>
    <t>Lope Folch</t>
  </si>
  <si>
    <t>Joan Reyes</t>
  </si>
  <si>
    <t>Corona Merino</t>
  </si>
  <si>
    <t>Gabino Pellicer</t>
  </si>
  <si>
    <t>Calista Clavero</t>
  </si>
  <si>
    <t>Guadalupe Escamilla</t>
  </si>
  <si>
    <t>Nadia Sabater</t>
  </si>
  <si>
    <t>Lino Cortes</t>
  </si>
  <si>
    <t>Rodolfo Gras</t>
  </si>
  <si>
    <t>Kike Castell</t>
  </si>
  <si>
    <t>Eva Correa</t>
  </si>
  <si>
    <t>Leocadia Perera</t>
  </si>
  <si>
    <t>Loreto Duque</t>
  </si>
  <si>
    <t>Priscila Gallart</t>
  </si>
  <si>
    <t>Renata Valbuena</t>
  </si>
  <si>
    <t>Olegario Arco</t>
  </si>
  <si>
    <t>Alba Campo</t>
  </si>
  <si>
    <t>Ceferino Cortes</t>
  </si>
  <si>
    <t>Nilda Cases</t>
  </si>
  <si>
    <t>Mercedes Moles</t>
  </si>
  <si>
    <t>Pelayo Carbajo</t>
  </si>
  <si>
    <t>Rogelio Ramos</t>
  </si>
  <si>
    <t>Trini Bernat</t>
  </si>
  <si>
    <t>Luisina Oliveras</t>
  </si>
  <si>
    <t>Anselma Viana</t>
  </si>
  <si>
    <t>Margarita Gilabert</t>
  </si>
  <si>
    <t>Iker Agudo</t>
  </si>
  <si>
    <t>Emilio Cortina</t>
  </si>
  <si>
    <t>Calista Alvarado</t>
  </si>
  <si>
    <t>Evelia Mancebo</t>
  </si>
  <si>
    <t>Almudena Muro</t>
  </si>
  <si>
    <t>Filomena Vilaplana</t>
  </si>
  <si>
    <t>Tomasa Morante</t>
  </si>
  <si>
    <t>Nazario Mateos</t>
  </si>
  <si>
    <t>Marisa Poza</t>
  </si>
  <si>
    <t>Alejo Gallo</t>
  </si>
  <si>
    <t>Alcides Morata</t>
  </si>
  <si>
    <t>Federico Hoyos</t>
  </si>
  <si>
    <t>Leire Miguel</t>
  </si>
  <si>
    <t>Raquel Quintero</t>
  </si>
  <si>
    <t>Martina Pozuelo</t>
  </si>
  <si>
    <t>Feliciano Mayoral</t>
  </si>
  <si>
    <t>Claudia Perales</t>
  </si>
  <si>
    <t>Emperatriz Castro</t>
  </si>
  <si>
    <t>Carmelo Pablo</t>
  </si>
  <si>
    <t>Santos Feliu</t>
  </si>
  <si>
    <t>Ofelia Lerma</t>
  </si>
  <si>
    <t>Graciela Baena</t>
  </si>
  <si>
    <t>Gustavo Diez</t>
  </si>
  <si>
    <t>Juan Antonio Bru</t>
  </si>
  <si>
    <t>Narcisa Marco</t>
  </si>
  <si>
    <t>Valerio Leiva</t>
  </si>
  <si>
    <t>Felipe Rey</t>
  </si>
  <si>
    <t>Hugo Reyes</t>
  </si>
  <si>
    <t>Eric Roma</t>
  </si>
  <si>
    <t>Mar Riera</t>
  </si>
  <si>
    <t>Ruy Adadia</t>
  </si>
  <si>
    <t>Loreto Romeu</t>
  </si>
  <si>
    <t>Borja Solsona</t>
  </si>
  <si>
    <t>Narcisa Tapia</t>
  </si>
  <si>
    <t>Edu Andres</t>
  </si>
  <si>
    <t>Estrella Molina</t>
  </si>
  <si>
    <t>Lupe Carnero</t>
  </si>
  <si>
    <t>Lucila Izquierdo</t>
  </si>
  <si>
    <t>Jose Miguel Molins</t>
  </si>
  <si>
    <t>Sara Andreu</t>
  </si>
  <si>
    <t>Socorro Benitez</t>
  </si>
  <si>
    <t>Fernanda Aznar</t>
  </si>
  <si>
    <t>Estrella Sabater</t>
  </si>
  <si>
    <t>Emilio Rebollo</t>
  </si>
  <si>
    <t>Cipriano Anaya</t>
  </si>
  <si>
    <t>Sabas Collado</t>
  </si>
  <si>
    <t>Amado Bilbao</t>
  </si>
  <si>
    <t>Elena Aguirre</t>
  </si>
  <si>
    <t>Roberto Rosales</t>
  </si>
  <si>
    <t>Aroa Cueto</t>
  </si>
  <si>
    <t>Angelita Palomares</t>
  </si>
  <si>
    <t>Celia Goicoechea</t>
  </si>
  <si>
    <t>Alonso Esparza</t>
  </si>
  <si>
    <t>Juan Carlos Velasco</t>
  </si>
  <si>
    <t>Eloy Lobo</t>
  </si>
  <si>
    <t>Concha Sabater</t>
  </si>
  <si>
    <t>Bernardo Ros</t>
  </si>
  <si>
    <t>Inmaculada Mur</t>
  </si>
  <si>
    <t>Goyo Bueno</t>
  </si>
  <si>
    <t>Ceferino Manzano</t>
  </si>
  <si>
    <t>Nilda Ruano</t>
  </si>
  <si>
    <t>Coral Lozano</t>
  </si>
  <si>
    <t>Fortunata Canales</t>
  </si>
  <si>
    <t>Bernarda Lerma</t>
  </si>
  <si>
    <t>Quique Herrera</t>
  </si>
  <si>
    <t>Feliciana Sevillano</t>
  </si>
  <si>
    <t>Isa Lozano</t>
  </si>
  <si>
    <t>Brunilda Llano</t>
  </si>
  <si>
    <t>Patricia Pedro</t>
  </si>
  <si>
    <t>Hortensia Alfaro</t>
  </si>
  <si>
    <t>Zaira Zabaleta</t>
  </si>
  <si>
    <t>Abel Ojeda</t>
  </si>
  <si>
    <t>Odalis Morera</t>
  </si>
  <si>
    <t>Jovita Benito</t>
  </si>
  <si>
    <t>Alex Campos</t>
  </si>
  <si>
    <t>Malena Tormo</t>
  </si>
  <si>
    <t>Nicolasa Aguilera</t>
  </si>
  <si>
    <t>David Aliaga</t>
  </si>
  <si>
    <t>Gabriel Urrutia</t>
  </si>
  <si>
    <t>Tania Ruano</t>
  </si>
  <si>
    <t>Joaquina Alvarado</t>
  </si>
  <si>
    <t>Hernando Aparicio</t>
  </si>
  <si>
    <t>Celia Zamorano</t>
  </si>
  <si>
    <t>Sergio Arcos</t>
  </si>
  <si>
    <t>Valero Clemente</t>
  </si>
  <si>
    <t>Irene Barrera</t>
  </si>
  <si>
    <t>Luisina Clemente</t>
  </si>
  <si>
    <t>Edgardo Rovira</t>
  </si>
  <si>
    <t>Modesta Mir</t>
  </si>
  <si>
    <t>Cesar Arnau</t>
  </si>
  <si>
    <t>Jose Manuel Lillo</t>
  </si>
  <si>
    <t>Dimas Costa</t>
  </si>
  <si>
    <t>Flor Briones</t>
  </si>
  <si>
    <t>Dan Pineda</t>
  </si>
  <si>
    <t>Eladio Chamorro</t>
  </si>
  <si>
    <t>Aitor Villanueva</t>
  </si>
  <si>
    <t>Eusebio Valenciano</t>
  </si>
  <si>
    <t>Pilar Araujo</t>
  </si>
  <si>
    <t>Xavier Pi</t>
  </si>
  <si>
    <t>Severino Figueras</t>
  </si>
  <si>
    <t>Fulgencio Egea</t>
  </si>
  <si>
    <t>Rufina Porras</t>
  </si>
  <si>
    <t>Emiliana Sainz</t>
  </si>
  <si>
    <t>Albino Alfaro</t>
  </si>
  <si>
    <t>Leonardo Gimenez</t>
  </si>
  <si>
    <t>Olegario Pera</t>
  </si>
  <si>
    <t>Brunilda Cadenas</t>
  </si>
  <si>
    <t>Gervasio Canales</t>
  </si>
  <si>
    <t>Marita Bosch</t>
  </si>
  <si>
    <t>Carmelita Guardia</t>
  </si>
  <si>
    <t>Cruz Conde</t>
  </si>
  <si>
    <t>Anastasio Bernal</t>
  </si>
  <si>
    <t>Palmira Tejedor</t>
  </si>
  <si>
    <t>Borja Cervera</t>
  </si>
  <si>
    <t>Hermenegildo Galvez</t>
  </si>
  <si>
    <t>Emilia Aroca</t>
  </si>
  <si>
    <t>Curro Campillo</t>
  </si>
  <si>
    <t>Antonio Palomo</t>
  </si>
  <si>
    <t>Juan Carlos Guerra</t>
  </si>
  <si>
    <t>Merche Alba</t>
  </si>
  <si>
    <t>Beatriz Peralta</t>
  </si>
  <si>
    <t>Pepe Sanabria</t>
  </si>
  <si>
    <t>Marcela Mora</t>
  </si>
  <si>
    <t>Blas Amaya</t>
  </si>
  <si>
    <t>Gilberto Rios</t>
  </si>
  <si>
    <t>Evaristo Bravo</t>
  </si>
  <si>
    <t>Jorge Pol</t>
  </si>
  <si>
    <t>Tere Alba</t>
  </si>
  <si>
    <t>Macaria Hierro</t>
  </si>
  <si>
    <t>Saturnino Company</t>
  </si>
  <si>
    <t>Osvaldo Berrocal</t>
  </si>
  <si>
    <t>Oriana Ramis</t>
  </si>
  <si>
    <t>Susana Ropero</t>
  </si>
  <si>
    <t>Marina Izquierdo</t>
  </si>
  <si>
    <t>Encarnita Ojeda</t>
  </si>
  <si>
    <t>Paz Palacios</t>
  </si>
  <si>
    <t>Eugenia Puig</t>
  </si>
  <si>
    <t>Mariano Moles</t>
  </si>
  <si>
    <t>Fabricio Priego</t>
  </si>
  <si>
    <t>Juan Carlos Puerta</t>
  </si>
  <si>
    <t>Trinidad Torrecilla</t>
  </si>
  <si>
    <t>Magdalena Sanjuan</t>
  </si>
  <si>
    <t>Serafina Valle</t>
  </si>
  <si>
    <t>Cristian Mas</t>
  </si>
  <si>
    <t>Angelino Andreu</t>
  </si>
  <si>
    <t>Lilia Polo</t>
  </si>
  <si>
    <t>Iris Manzanares</t>
  </si>
  <si>
    <t>Mireia Baena</t>
  </si>
  <si>
    <t>Isidoro Almansa</t>
  </si>
  <si>
    <t>Eutropio Jurado</t>
  </si>
  <si>
    <t>Jordana Mateo</t>
  </si>
  <si>
    <t>Narciso Briones</t>
  </si>
  <si>
    <t>Elodia Ugarte</t>
  </si>
  <si>
    <t>Rodolfo Bastida</t>
  </si>
  <si>
    <t>Dolores Querol</t>
  </si>
  <si>
    <t>Concha Marin</t>
  </si>
  <si>
    <t>Amaya Criado</t>
  </si>
  <si>
    <t>Jaime Pons</t>
  </si>
  <si>
    <t>Carolina Acedo</t>
  </si>
  <si>
    <t>Ema Moreno</t>
  </si>
  <si>
    <t>Alfredo Pomares</t>
  </si>
  <si>
    <t>Azahar Arjona</t>
  </si>
  <si>
    <t>Virgilio Solano</t>
  </si>
  <si>
    <t>Blanca Ayala</t>
  </si>
  <si>
    <t>Lourdes Sala</t>
  </si>
  <si>
    <t>Pelayo Cerro</t>
  </si>
  <si>
    <t>Piedad Gallo</t>
  </si>
  <si>
    <t>Gil Sola</t>
  </si>
  <si>
    <t>Roberto Pombo</t>
  </si>
  <si>
    <t>Rico Belda</t>
  </si>
  <si>
    <t>Valentina Pascual</t>
  </si>
  <si>
    <t>Teodosio Cifuentes</t>
  </si>
  <si>
    <t>Pascual Salcedo</t>
  </si>
  <si>
    <t>Miriam Menendez</t>
  </si>
  <si>
    <t>Marta Izaguirre</t>
  </si>
  <si>
    <t>Saturnino Mateo</t>
  </si>
  <si>
    <t>Victoria Checa</t>
  </si>
  <si>
    <t>Eugenio Pinto</t>
  </si>
  <si>
    <t>Dalila Hidalgo</t>
  </si>
  <si>
    <t>Borja Serna</t>
  </si>
  <si>
    <t>Martirio Pelayo</t>
  </si>
  <si>
    <t>Sara Mayoral</t>
  </si>
  <si>
    <t>Chema Arco</t>
  </si>
  <si>
    <t>Nicolasa Ruano</t>
  </si>
  <si>
    <t>Ariel Lillo</t>
  </si>
  <si>
    <t>Marcial Heredia</t>
  </si>
  <si>
    <t>Alicia Cadenas</t>
  </si>
  <si>
    <t>Olalla Figuerola</t>
  </si>
  <si>
    <t>Marcelino Sanabria</t>
  </si>
  <si>
    <t>Febe Lasa</t>
  </si>
  <si>
    <t>Feliciano Nieto</t>
  </si>
  <si>
    <t>Patricio Alcolea</t>
  </si>
  <si>
    <t>Rogelio Fortuny</t>
  </si>
  <si>
    <t>Alonso Moreno</t>
  </si>
  <si>
    <t>Silvia Rodrigo</t>
  </si>
  <si>
    <t>Amparo Zurita</t>
  </si>
  <si>
    <t>Ainara Peralta</t>
  </si>
  <si>
    <t>Constanza Santana</t>
  </si>
  <si>
    <t>Amanda Raya</t>
  </si>
  <si>
    <t>Feliciana Guzman</t>
  </si>
  <si>
    <t>Dimas Miguel</t>
  </si>
  <si>
    <t>Dionisio Tapia</t>
  </si>
  <si>
    <t>Roberto Villalonga</t>
  </si>
  <si>
    <t>Evita Vilar</t>
  </si>
  <si>
    <t>Nazaret Martinez</t>
  </si>
  <si>
    <t>Paulino Cepeda</t>
  </si>
  <si>
    <t>Dominga Flor</t>
  </si>
  <si>
    <t>Pedro Vives</t>
  </si>
  <si>
    <t>Soledad Pla</t>
  </si>
  <si>
    <t>Estela Canet</t>
  </si>
  <si>
    <t>Francisco Jose Alonso</t>
  </si>
  <si>
    <t>Crescencia Rivero</t>
  </si>
  <si>
    <t>Teresita Yuste</t>
  </si>
  <si>
    <t>Candelas Riquelme</t>
  </si>
  <si>
    <t>Jaime Camino</t>
  </si>
  <si>
    <t>Florentino Lara</t>
  </si>
  <si>
    <t>Patricio Tello</t>
  </si>
  <si>
    <t>Custodia Perales</t>
  </si>
  <si>
    <t>Quirino Vargas</t>
  </si>
  <si>
    <t>Samanta Roman</t>
  </si>
  <si>
    <t>Ruth Berrocal</t>
  </si>
  <si>
    <t>Melisa Galan</t>
  </si>
  <si>
    <t>Dulce Perera</t>
  </si>
  <si>
    <t>Guillermo Borrego</t>
  </si>
  <si>
    <t>Victoriano Pinto</t>
  </si>
  <si>
    <t>Alba Rojas</t>
  </si>
  <si>
    <t>Melisa Arellano</t>
  </si>
  <si>
    <t>Cecilio Casal</t>
  </si>
  <si>
    <t>Eli Camps</t>
  </si>
  <si>
    <t>Octavio Pla</t>
  </si>
  <si>
    <t>Dorotea Gargallo</t>
  </si>
  <si>
    <t>Flavio Arribas</t>
  </si>
  <si>
    <t>Anselma Canales</t>
  </si>
  <si>
    <t>Luciano Figuerola</t>
  </si>
  <si>
    <t>Javiera Acosta</t>
  </si>
  <si>
    <t>Gabriela Murillo</t>
  </si>
  <si>
    <t>Alejandro Merino</t>
  </si>
  <si>
    <t>Selena Ledesma</t>
  </si>
  <si>
    <t>Cayetana Pineda</t>
  </si>
  <si>
    <t>Ricarda Tenorio</t>
  </si>
  <si>
    <t>Jordana Aramburu</t>
  </si>
  <si>
    <t>Almudena Uribe</t>
  </si>
  <si>
    <t>Ulises Torres</t>
  </si>
  <si>
    <t>Rico Soriano</t>
  </si>
  <si>
    <t>Araceli Jaume</t>
  </si>
  <si>
    <t>Luna Montes</t>
  </si>
  <si>
    <t>Desiderio Quintanilla</t>
  </si>
  <si>
    <t>Carmina Mate</t>
  </si>
  <si>
    <t>Cecilia Almagro</t>
  </si>
  <si>
    <t>Gisela Araujo</t>
  </si>
  <si>
    <t>Elvira Quiroga</t>
  </si>
  <si>
    <t>Isaac Mosquera</t>
  </si>
  <si>
    <t>Nico Bayo</t>
  </si>
  <si>
    <t>Amaya Mesa</t>
  </si>
  <si>
    <t>Gabino Nebot</t>
  </si>
  <si>
    <t>Raquel Castells</t>
  </si>
  <si>
    <t>Cesar Sabater</t>
  </si>
  <si>
    <t>Dionisio Nieto</t>
  </si>
  <si>
    <t>David Cisneros</t>
  </si>
  <si>
    <t>Balduino Coca</t>
  </si>
  <si>
    <t>Clemente Ramis</t>
  </si>
  <si>
    <t>Loida Ibarra</t>
  </si>
  <si>
    <t>Sabina Solano</t>
  </si>
  <si>
    <t>Flavia Donaire</t>
  </si>
  <si>
    <t>Pancho Zurita</t>
  </si>
  <si>
    <t>Montserrat Trujillo</t>
  </si>
  <si>
    <t>Lupita Sanabria</t>
  </si>
  <si>
    <t>Modesta Manso</t>
  </si>
  <si>
    <t>Sonia Mayo</t>
  </si>
  <si>
    <t>Amancio Canet</t>
  </si>
  <si>
    <t>Felicia Casas</t>
  </si>
  <si>
    <t>Abilio Serrano</t>
  </si>
  <si>
    <t>Lilia Sotelo</t>
  </si>
  <si>
    <t>Jose Miguel Blanes</t>
  </si>
  <si>
    <t>Juan Manuel Landa</t>
  </si>
  <si>
    <t>Rafaela Cepeda</t>
  </si>
  <si>
    <t>Dimas Burgos</t>
  </si>
  <si>
    <t>Eloy Diez</t>
  </si>
  <si>
    <t>Hernando Alemany</t>
  </si>
  <si>
    <t>Albina Hidalgo</t>
  </si>
  <si>
    <t>Odalis Marco</t>
  </si>
  <si>
    <t>Jonatan Navas</t>
  </si>
  <si>
    <t>Vanesa Sureda</t>
  </si>
  <si>
    <t>Sigfrido Duque</t>
  </si>
  <si>
    <t>Dulce Sobrino</t>
  </si>
  <si>
    <t>Aureliano Rueda</t>
  </si>
  <si>
    <t>Antonio Arce</t>
  </si>
  <si>
    <t>Obdulia Jurado</t>
  </si>
  <si>
    <t>Rodolfo Fuster</t>
  </si>
  <si>
    <t>Fabiola Vara</t>
  </si>
  <si>
    <t>Francisco Cal</t>
  </si>
  <si>
    <t>Febe Hidalgo</t>
  </si>
  <si>
    <t>Cristina Canet</t>
  </si>
  <si>
    <t>Inocencio Luna</t>
  </si>
  <si>
    <t>Norberto Seco</t>
  </si>
  <si>
    <t>Renato Casas</t>
  </si>
  <si>
    <t>Yago Pintor</t>
  </si>
  <si>
    <t>Ainara Izaguirre</t>
  </si>
  <si>
    <t>Martirio Villena</t>
  </si>
  <si>
    <t>Rosalina Tejera</t>
  </si>
  <si>
    <t>Rosalva Morera</t>
  </si>
  <si>
    <t>Pepito Cabanillas</t>
  </si>
  <si>
    <t>Trini Carpio</t>
  </si>
  <si>
    <t>Crescencia Baena</t>
  </si>
  <si>
    <t>Lucio Milla</t>
  </si>
  <si>
    <t>Maricela Castells</t>
  </si>
  <si>
    <t>Juan Luis Figueras</t>
  </si>
  <si>
    <t>Lucio Uribe</t>
  </si>
  <si>
    <t>Rosario Olivera</t>
  </si>
  <si>
    <t>Roque Martinez</t>
  </si>
  <si>
    <t>Hernando Palau</t>
  </si>
  <si>
    <t>Eladio Reguera</t>
  </si>
  <si>
    <t>Elena Hervia</t>
  </si>
  <si>
    <t>Borja Aguilera</t>
  </si>
  <si>
    <t>Nicodemo Madrigal</t>
  </si>
  <si>
    <t>Angelita Araujo</t>
  </si>
  <si>
    <t>Dafne Requena</t>
  </si>
  <si>
    <t>Lino Pareja</t>
  </si>
  <si>
    <t>Angelita Feijoo</t>
  </si>
  <si>
    <t>Pepito Madrigal</t>
  </si>
  <si>
    <t>Susana Esteban</t>
  </si>
  <si>
    <t>Beatriz Sancho</t>
  </si>
  <si>
    <t>Fausto Serrano</t>
  </si>
  <si>
    <t>Bernardo Ramirez</t>
  </si>
  <si>
    <t>Alfredo Palacios</t>
  </si>
  <si>
    <t>Mateo Matas</t>
  </si>
  <si>
    <t>Melisa Blanca</t>
  </si>
  <si>
    <t>Rosenda Cuervo</t>
  </si>
  <si>
    <t>Fabricio Tejada</t>
  </si>
  <si>
    <t>Diana Lastra</t>
  </si>
  <si>
    <t>Gabriel Rivera</t>
  </si>
  <si>
    <t>Bibiana Ruano</t>
  </si>
  <si>
    <t>Tere Mas</t>
  </si>
  <si>
    <t>Reynaldo Montoya</t>
  </si>
  <si>
    <t>Silvio Zabaleta</t>
  </si>
  <si>
    <t>Lope Galan</t>
  </si>
  <si>
    <t>Jose Antonio Valverde</t>
  </si>
  <si>
    <t>Bienvenida Garrido</t>
  </si>
  <si>
    <t>Alex Zapata</t>
  </si>
  <si>
    <t>Silvio Sans</t>
  </si>
  <si>
    <t>Ani Clavero</t>
  </si>
  <si>
    <t>Anastasio Izquierdo</t>
  </si>
  <si>
    <t>Malena Aparicio</t>
  </si>
  <si>
    <t>Vito Fabra</t>
  </si>
  <si>
    <t>Abilio Gaya</t>
  </si>
  <si>
    <t>Lisandro Polo</t>
  </si>
  <si>
    <t>Jacobo Albero</t>
  </si>
  <si>
    <t>Silvia Escalona</t>
  </si>
  <si>
    <t>Constanza Nieto</t>
  </si>
  <si>
    <t>Marita Bayona</t>
  </si>
  <si>
    <t>Jordi Alba</t>
  </si>
  <si>
    <t>Toni Moraleda</t>
  </si>
  <si>
    <t>Perla Perea</t>
  </si>
  <si>
    <t>Poncio Lerma</t>
  </si>
  <si>
    <t>Imelda Carranza</t>
  </si>
  <si>
    <t>Carla Albero</t>
  </si>
  <si>
    <t>Magdalena Sastre</t>
  </si>
  <si>
    <t>Francisco Jose Arrieta</t>
  </si>
  <si>
    <t>Rufina Ayuso</t>
  </si>
  <si>
    <t>Raimundo Llobet</t>
  </si>
  <si>
    <t>Evangelina Guijarro</t>
  </si>
  <si>
    <t>Abilio Bermejo</t>
  </si>
  <si>
    <t>Adela Ayala</t>
  </si>
  <si>
    <t>Tomasa Pelayo</t>
  </si>
  <si>
    <t>Juan Bautista Santos</t>
  </si>
  <si>
    <t>Adela Llorente</t>
  </si>
  <si>
    <t>Guiomar Nogueira</t>
  </si>
  <si>
    <t>Charo Fortuny</t>
  </si>
  <si>
    <t>Olimpia Blazquez</t>
  </si>
  <si>
    <t>Manu Pastor</t>
  </si>
  <si>
    <t>Brunilda Sales</t>
  </si>
  <si>
    <t>Juan Luis Torrent</t>
  </si>
  <si>
    <t>Plinio Sosa</t>
  </si>
  <si>
    <t>Rosendo Delgado</t>
  </si>
  <si>
    <t>Quique Lara</t>
  </si>
  <si>
    <t>Chus Burgos</t>
  </si>
  <si>
    <t>Rosaura Frutos</t>
  </si>
  <si>
    <t>Ovidio Costa</t>
  </si>
  <si>
    <t>Erasmo Seco</t>
  </si>
  <si>
    <t>Encarnita Llopis</t>
  </si>
  <si>
    <t>Geraldo Luna</t>
  </si>
  <si>
    <t>Cirino Salom</t>
  </si>
  <si>
    <t>Nicolasa Anaya</t>
  </si>
  <si>
    <t>Fernando Segovia</t>
  </si>
  <si>
    <t>Piedad Esteban</t>
  </si>
  <si>
    <t>Rafa Rey</t>
  </si>
  <si>
    <t>Marcos Flor</t>
  </si>
  <si>
    <t>Amando Montes</t>
  </si>
  <si>
    <t>Marta Villaverde</t>
  </si>
  <si>
    <t>Rosario Comas</t>
  </si>
  <si>
    <t>Diana Perera</t>
  </si>
  <si>
    <t>Gonzalo Milla</t>
  </si>
  <si>
    <t>Julia Galvez</t>
  </si>
  <si>
    <t>Cruz Guardiola</t>
  </si>
  <si>
    <t>Concha Colom</t>
  </si>
  <si>
    <t>Benita Bello</t>
  </si>
  <si>
    <t>Marcio Carrillo</t>
  </si>
  <si>
    <t>Armando Canales</t>
  </si>
  <si>
    <t>Ruy Redondo</t>
  </si>
  <si>
    <t>Marcia Acero</t>
  </si>
  <si>
    <t>Vito Marquez</t>
  </si>
  <si>
    <t>Edelmira Ferrera</t>
  </si>
  <si>
    <t>Jose Ignacio Ribes</t>
  </si>
  <si>
    <t>Bernardo Blanes</t>
  </si>
  <si>
    <t>Carmina Calvet</t>
  </si>
  <si>
    <t>Soraya Mir</t>
  </si>
  <si>
    <t>Paz Nebot</t>
  </si>
  <si>
    <t>Domingo Iglesias</t>
  </si>
  <si>
    <t>Natanael Pereira</t>
  </si>
  <si>
    <t>Alicia Aroca</t>
  </si>
  <si>
    <t>Felicia Botella</t>
  </si>
  <si>
    <t>Alejo Carrasco</t>
  </si>
  <si>
    <t>Aura Roma</t>
  </si>
  <si>
    <t>Nerea Nicolau</t>
  </si>
  <si>
    <t>Ignacia Rosell</t>
  </si>
  <si>
    <t>Patricia Quesada</t>
  </si>
  <si>
    <t>Amor Figueroa</t>
  </si>
  <si>
    <t>Marciano Laguna</t>
  </si>
  <si>
    <t>Prudencia Manzano</t>
  </si>
  <si>
    <t>Carmela Pou</t>
  </si>
  <si>
    <t>Jesusa Adadia</t>
  </si>
  <si>
    <t>Flor Vergara</t>
  </si>
  <si>
    <t>Mayte Espinosa</t>
  </si>
  <si>
    <t>Alba Guillen</t>
  </si>
  <si>
    <t>Arsenio Pera</t>
  </si>
  <si>
    <t>Marciano Jaume</t>
  </si>
  <si>
    <t>Carmelo Torrijos</t>
  </si>
  <si>
    <t>Sonia Heras</t>
  </si>
  <si>
    <t>Gustavo Alberola</t>
  </si>
  <si>
    <t>Ani Abascal</t>
  </si>
  <si>
    <t>Inocencio Querol</t>
  </si>
  <si>
    <t>Herberto Ripoll</t>
  </si>
  <si>
    <t>Amada Moya</t>
  </si>
  <si>
    <t>Paloma Tejedor</t>
  </si>
  <si>
    <t>Dorita Verdugo</t>
  </si>
  <si>
    <t>Delia Uribe</t>
  </si>
  <si>
    <t>Teresita Fuentes</t>
  </si>
  <si>
    <t>Marciano Noriega</t>
  </si>
  <si>
    <t>Mohamed Rojas</t>
  </si>
  <si>
    <t>Isidora Zorrilla</t>
  </si>
  <si>
    <t>Leopoldo Girona</t>
  </si>
  <si>
    <t>Piedad Fabregat</t>
  </si>
  <si>
    <t>Abril Cuesta</t>
  </si>
  <si>
    <t>Reyna Lopez</t>
  </si>
  <si>
    <t>Leopoldo Barba</t>
  </si>
  <si>
    <t>Cayetana Alegria</t>
  </si>
  <si>
    <t>Ruth Mesa</t>
  </si>
  <si>
    <t>Jenny Franch</t>
  </si>
  <si>
    <t>Encarnita Tirado</t>
  </si>
  <si>
    <t>Ligia Pablo</t>
  </si>
  <si>
    <t>Florina Ibarra</t>
  </si>
  <si>
    <t>Jose Francisco Lasa</t>
  </si>
  <si>
    <t>Ofelia Aroca</t>
  </si>
  <si>
    <t>Pepe Fernandez</t>
  </si>
  <si>
    <t>Jorge Donoso</t>
  </si>
  <si>
    <t>Macario Molins</t>
  </si>
  <si>
    <t>Rita Carro</t>
  </si>
  <si>
    <t>Maxi Hoz</t>
  </si>
  <si>
    <t>Octavio Vega</t>
  </si>
  <si>
    <t>Genoveva Larrea</t>
  </si>
  <si>
    <t>Samanta Duque</t>
  </si>
  <si>
    <t>Mateo Nogueira</t>
  </si>
  <si>
    <t>Anacleto Garay</t>
  </si>
  <si>
    <t>Roberto Alberola</t>
  </si>
  <si>
    <t>Fernando Valle</t>
  </si>
  <si>
    <t>Bienvenida Alemany</t>
  </si>
  <si>
    <t>Eleuterio Pinto</t>
  </si>
  <si>
    <t>Ofelia Bayo</t>
  </si>
  <si>
    <t>Azahar Benavides</t>
  </si>
  <si>
    <t>Toni Morcillo</t>
  </si>
  <si>
    <t>Leocadio Blanes</t>
  </si>
  <si>
    <t>Anselmo Bermudez</t>
  </si>
  <si>
    <t>Amelia Bernad</t>
  </si>
  <si>
    <t>Ani Hoz</t>
  </si>
  <si>
    <t>Isaac Torrents</t>
  </si>
  <si>
    <t>Magdalena Cabo</t>
  </si>
  <si>
    <t>Gisela Tomas</t>
  </si>
  <si>
    <t>Heriberto Pereira</t>
  </si>
  <si>
    <t>Donato Gonzalo</t>
  </si>
  <si>
    <t>Casandra Rocamora</t>
  </si>
  <si>
    <t>Antonia Pintor</t>
  </si>
  <si>
    <t>Lucas Campoy</t>
  </si>
  <si>
    <t>Gilberto Isern</t>
  </si>
  <si>
    <t>Vasco Bas</t>
  </si>
  <si>
    <t>Tatiana Prieto</t>
  </si>
  <si>
    <t>Celso Vaquero</t>
  </si>
  <si>
    <t>Jonatan Espinosa</t>
  </si>
  <si>
    <t>Ligia Carlos</t>
  </si>
  <si>
    <t>Feliciano Gargallo</t>
  </si>
  <si>
    <t>Amelia Sales</t>
  </si>
  <si>
    <t>Natanael Alcolea</t>
  </si>
  <si>
    <t>Lilia Vilalta</t>
  </si>
  <si>
    <t>Sara Moya</t>
  </si>
  <si>
    <t>Pablo Pulido</t>
  </si>
  <si>
    <t>Serafina Camacho</t>
  </si>
  <si>
    <t>Renato Macias</t>
  </si>
  <si>
    <t>Vidal Roig</t>
  </si>
  <si>
    <t>Feliciano Huerta</t>
  </si>
  <si>
    <t>Herberto Raya</t>
  </si>
  <si>
    <t>Carmela Cerezo</t>
  </si>
  <si>
    <t>Felicidad Campo</t>
  </si>
  <si>
    <t>Elba Yuste</t>
  </si>
  <si>
    <t>Feliciana Aller</t>
  </si>
  <si>
    <t>Samu Lozano</t>
  </si>
  <si>
    <t>Marita Castell</t>
  </si>
  <si>
    <t>Fito Vilanova</t>
  </si>
  <si>
    <t>Ester Campo</t>
  </si>
  <si>
    <t>Bernardo Arranz</t>
  </si>
  <si>
    <t>Manu Barros</t>
  </si>
  <si>
    <t>Domitila Romeu</t>
  </si>
  <si>
    <t>Cloe Beltran</t>
  </si>
  <si>
    <t>Blanca Sarmiento</t>
  </si>
  <si>
    <t>Almudena Sancho</t>
  </si>
  <si>
    <t>Adriana Riba</t>
  </si>
  <si>
    <t>Celestino Collado</t>
  </si>
  <si>
    <t>Rolando Belda</t>
  </si>
  <si>
    <t>Manu Rodriguez</t>
  </si>
  <si>
    <t>Griselda Domingo</t>
  </si>
  <si>
    <t>Rolando Cal</t>
  </si>
  <si>
    <t>Patricio Alegria</t>
  </si>
  <si>
    <t>Andrea Mayo</t>
  </si>
  <si>
    <t>Abel Cano</t>
  </si>
  <si>
    <t>Mar Tomas</t>
  </si>
  <si>
    <t>Primitiva Rivas</t>
  </si>
  <si>
    <t>Belen Marin</t>
  </si>
  <si>
    <t>Goyo Molins</t>
  </si>
  <si>
    <t>Seve Gracia</t>
  </si>
  <si>
    <t>Octavia Salinas</t>
  </si>
  <si>
    <t>Vasco Perez</t>
  </si>
  <si>
    <t>Marcial Saura</t>
  </si>
  <si>
    <t>David Donoso</t>
  </si>
  <si>
    <t>Eloy Rey</t>
  </si>
  <si>
    <t>Montserrat Jara</t>
  </si>
  <si>
    <t>Rodolfo Pedraza</t>
  </si>
  <si>
    <t>Rolando Arjona</t>
  </si>
  <si>
    <t>Jordi Ropero</t>
  </si>
  <si>
    <t>Brunilda Sancho</t>
  </si>
  <si>
    <t>Liliana Lluch</t>
  </si>
  <si>
    <t>Esperanza Ruiz</t>
  </si>
  <si>
    <t>Irma Jara</t>
  </si>
  <si>
    <t>Almudena Seco</t>
  </si>
  <si>
    <t>Griselda Heredia</t>
  </si>
  <si>
    <t>Esperanza Samper</t>
  </si>
  <si>
    <t>Isabel Tudela</t>
  </si>
  <si>
    <t>Aurelio Ferrera</t>
  </si>
  <si>
    <t>Rosa Baena</t>
  </si>
  <si>
    <t>Amado Vega</t>
  </si>
  <si>
    <t>Amor Zamora</t>
  </si>
  <si>
    <t>Pastora Benavente</t>
  </si>
  <si>
    <t>Mariano Zorrilla</t>
  </si>
  <si>
    <t>Mariano Tello</t>
  </si>
  <si>
    <t>Conrado Montes</t>
  </si>
  <si>
    <t>Celia Zapata</t>
  </si>
  <si>
    <t>Sonia Vara</t>
  </si>
  <si>
    <t>Coral Varela</t>
  </si>
  <si>
    <t>Aurora Tena</t>
  </si>
  <si>
    <t>Elisa Nogueira</t>
  </si>
  <si>
    <t>Guadalupe Cid</t>
  </si>
  <si>
    <t>Joaquina Villena</t>
  </si>
  <si>
    <t>Nilo Mir</t>
  </si>
  <si>
    <t>Paz Botella</t>
  </si>
  <si>
    <t>Beatriz Gimeno</t>
  </si>
  <si>
    <t>Renato Suarez</t>
  </si>
  <si>
    <t>Cayetano Colomer</t>
  </si>
  <si>
    <t>Odalis Arias</t>
  </si>
  <si>
    <t>Arcelia Trillo</t>
  </si>
  <si>
    <t>Augusto Nicolau</t>
  </si>
  <si>
    <t>Cosme Gual</t>
  </si>
  <si>
    <t>Reina Cerro</t>
  </si>
  <si>
    <t>Rosario Salazar</t>
  </si>
  <si>
    <t>Galo Talavera</t>
  </si>
  <si>
    <t>Graciano Barbero</t>
  </si>
  <si>
    <t>Haroldo Carreras</t>
  </si>
  <si>
    <t>Valentina Cueto</t>
  </si>
  <si>
    <t>Jose Luis Martinez</t>
  </si>
  <si>
    <t>Javi Oliver</t>
  </si>
  <si>
    <t>Judith Marquez</t>
  </si>
  <si>
    <t>Sonia Carmona</t>
  </si>
  <si>
    <t>Sigfrido Pablo</t>
  </si>
  <si>
    <t>Natividad Llorente</t>
  </si>
  <si>
    <t>Hernando Robledo</t>
  </si>
  <si>
    <t>Daniela Cabezas</t>
  </si>
  <si>
    <t>Benigna Recio</t>
  </si>
  <si>
    <t>Feliciano Gracia</t>
  </si>
  <si>
    <t>Cruz Reguera</t>
  </si>
  <si>
    <t>Sigfrido Gelabert</t>
  </si>
  <si>
    <t>Luisa Frutos</t>
  </si>
  <si>
    <t>Delfina Arnau</t>
  </si>
  <si>
    <t>Victor Manuel Vives</t>
  </si>
  <si>
    <t>Hernando Fajardo</t>
  </si>
  <si>
    <t>Isaac Moll</t>
  </si>
  <si>
    <t>Casandra Salcedo</t>
  </si>
  <si>
    <t>Alfredo Almeida</t>
  </si>
  <si>
    <t>Beatriz Campoy</t>
  </si>
  <si>
    <t>Rafaela Anglada</t>
  </si>
  <si>
    <t>Julia Luna</t>
  </si>
  <si>
    <t>Isidoro Arrieta</t>
  </si>
  <si>
    <t>Moreno Castro</t>
  </si>
  <si>
    <t>Alex Herrero</t>
  </si>
  <si>
    <t>Diego Gisbert</t>
  </si>
  <si>
    <t>Vito Jover</t>
  </si>
  <si>
    <t>Albina Soler</t>
  </si>
  <si>
    <t>Chus Guitart</t>
  </si>
  <si>
    <t>Cruz Oller</t>
  </si>
  <si>
    <t>Nico Torrents</t>
  </si>
  <si>
    <t>Marcial Plaza</t>
  </si>
  <si>
    <t>Jesusa Cid</t>
  </si>
  <si>
    <t>Teresa Bonilla</t>
  </si>
  <si>
    <t>Erasmo Caballero</t>
  </si>
  <si>
    <t>Mohamed Jara</t>
  </si>
  <si>
    <t>Joel Pino</t>
  </si>
  <si>
    <t>Amador Pintor</t>
  </si>
  <si>
    <t>Serafina Villalobos</t>
  </si>
  <si>
    <t>Paz Chamorro</t>
  </si>
  <si>
    <t>Mireia Almagro</t>
  </si>
  <si>
    <t>Ruth Domingo</t>
  </si>
  <si>
    <t>Isabel Morillo</t>
  </si>
  <si>
    <t>Febe Taboada</t>
  </si>
  <si>
    <t>Piedad Ferrera</t>
  </si>
  <si>
    <t>Hugo Carpio</t>
  </si>
  <si>
    <t>Abril Amat</t>
  </si>
  <si>
    <t>Salvador Sala</t>
  </si>
  <si>
    <t>Pepito Barriga</t>
  </si>
  <si>
    <t>Azahar Barrera</t>
  </si>
  <si>
    <t>Encarnacion Gual</t>
  </si>
  <si>
    <t>Albino Viana</t>
  </si>
  <si>
    <t>Pancho Alcalde</t>
  </si>
  <si>
    <t>Roxana Infante</t>
  </si>
  <si>
    <t>Remedios Alvarez</t>
  </si>
  <si>
    <t>Lucas Fernandez</t>
  </si>
  <si>
    <t>Lope Calzada</t>
  </si>
  <si>
    <t>Leandro Iglesias</t>
  </si>
  <si>
    <t>Eliana Figuerola</t>
  </si>
  <si>
    <t>Soraya Mora</t>
  </si>
  <si>
    <t>Iris Villar</t>
  </si>
  <si>
    <t>Lorenzo Marquez</t>
  </si>
  <si>
    <t>Maximino Palacios</t>
  </si>
  <si>
    <t>Armida Criado</t>
  </si>
  <si>
    <t>Ricarda Pedraza</t>
  </si>
  <si>
    <t>Guiomar Pou</t>
  </si>
  <si>
    <t>Porfirio Sancho</t>
  </si>
  <si>
    <t>Aureliano Pardo</t>
  </si>
  <si>
    <t>Lupita Murcia</t>
  </si>
  <si>
    <t>Liliana Guardiola</t>
  </si>
  <si>
    <t>Candela Carrera</t>
  </si>
  <si>
    <t>Jordán Arnaiz</t>
  </si>
  <si>
    <t>Crédito</t>
  </si>
  <si>
    <t>Clotilde Baños</t>
  </si>
  <si>
    <t>Goyo Estévez</t>
  </si>
  <si>
    <t>Córdoba Centro</t>
  </si>
  <si>
    <t>Pánfilo Montenegro Alba</t>
  </si>
  <si>
    <t>Alta Córdoba</t>
  </si>
  <si>
    <t>Dorita Abad Luján</t>
  </si>
  <si>
    <t>Nueva Córdoba</t>
  </si>
  <si>
    <t>Luís Chaparro Borja</t>
  </si>
  <si>
    <t>Álvaro Vallés</t>
  </si>
  <si>
    <t>Néstor Galindo</t>
  </si>
  <si>
    <t>Inés Campo Pont</t>
  </si>
  <si>
    <t>Cebrián Cornejo</t>
  </si>
  <si>
    <t>Caridad Ariño</t>
  </si>
  <si>
    <t>Haydée Sanmiguel</t>
  </si>
  <si>
    <t>Baldomero Ramón</t>
  </si>
  <si>
    <t>Teófilo Somoza</t>
  </si>
  <si>
    <t>Belén Cabanillas</t>
  </si>
  <si>
    <t>Georgina Farré</t>
  </si>
  <si>
    <t>Hilario González</t>
  </si>
  <si>
    <t>Ángela Asensio</t>
  </si>
  <si>
    <t>Elena Julián</t>
  </si>
  <si>
    <t>Jacinta Nuñez</t>
  </si>
  <si>
    <t>Noemí Paniagua</t>
  </si>
  <si>
    <t>Gabriel Valdés</t>
  </si>
  <si>
    <t>Inmaculada Diéguez</t>
  </si>
  <si>
    <t>José Ángel Plana</t>
  </si>
  <si>
    <t>Obdulia Peñas</t>
  </si>
  <si>
    <t>Fabián Niño</t>
  </si>
  <si>
    <t>Angélica Coronado</t>
  </si>
  <si>
    <t>Haydée Barroso</t>
  </si>
  <si>
    <t>Carlos Estévez</t>
  </si>
  <si>
    <t>Belen Millán</t>
  </si>
  <si>
    <t>Basilio Luís</t>
  </si>
  <si>
    <t>Domitila Múñiz</t>
  </si>
  <si>
    <t>Nacio Calderón</t>
  </si>
  <si>
    <t>Ámbar Albero</t>
  </si>
  <si>
    <t>Alberto Cañas</t>
  </si>
  <si>
    <t>Dorotea Piña</t>
  </si>
  <si>
    <t>José Trillo</t>
  </si>
  <si>
    <t>María Luisa Yáñez</t>
  </si>
  <si>
    <t>Jose Antonio Enríquez</t>
  </si>
  <si>
    <t>Noé Plana</t>
  </si>
  <si>
    <t>Fátima Amador</t>
  </si>
  <si>
    <t>Cornelio Antúnez</t>
  </si>
  <si>
    <t>Ricarda Bayón</t>
  </si>
  <si>
    <t>Dani Río</t>
  </si>
  <si>
    <t>Rubén Macías</t>
  </si>
  <si>
    <t>Noé Andres</t>
  </si>
  <si>
    <t>Micaela Viñas</t>
  </si>
  <si>
    <t>María Cristina Daza</t>
  </si>
  <si>
    <t>Maribel Peñalver</t>
  </si>
  <si>
    <t>Hipólito Bas</t>
  </si>
  <si>
    <t>Roldán Robledo</t>
  </si>
  <si>
    <t>Isabel Roldán</t>
  </si>
  <si>
    <t>Fidela Girón</t>
  </si>
  <si>
    <t>Trinidad Ayllón</t>
  </si>
  <si>
    <t>José Amaya</t>
  </si>
  <si>
    <t>Purificación Arribas</t>
  </si>
  <si>
    <t>Julio Valcárcel</t>
  </si>
  <si>
    <t>Pacífica Borrego</t>
  </si>
  <si>
    <t>Silvio Mascaró</t>
  </si>
  <si>
    <t>Víctor Chamorro</t>
  </si>
  <si>
    <t>Francisca Narváez</t>
  </si>
  <si>
    <t>Áurea Quirós</t>
  </si>
  <si>
    <t>Chuy Carrión</t>
  </si>
  <si>
    <t>Hermenegildo Viñas</t>
  </si>
  <si>
    <t>Morena Simó</t>
  </si>
  <si>
    <t>Ximena Ariño</t>
  </si>
  <si>
    <t>Beatriz Expósito</t>
  </si>
  <si>
    <t>Adán Nogueira</t>
  </si>
  <si>
    <t>Gaspar Giménez</t>
  </si>
  <si>
    <t>Eva María Gálvez</t>
  </si>
  <si>
    <t>Ricardo Tomé</t>
  </si>
  <si>
    <t>Oriana Barragán</t>
  </si>
  <si>
    <t>José María Saavedra</t>
  </si>
  <si>
    <t>Salvador Verdú</t>
  </si>
  <si>
    <t>Rocío Méndez</t>
  </si>
  <si>
    <t>Javi Dávila</t>
  </si>
  <si>
    <t>Amílcar Prada</t>
  </si>
  <si>
    <t>Raúl Gargallo</t>
  </si>
  <si>
    <t>Mariano Español</t>
  </si>
  <si>
    <t>Fabián Iglesias</t>
  </si>
  <si>
    <t>Nazaret Abellán</t>
  </si>
  <si>
    <t>Juan Francisco Mínguez</t>
  </si>
  <si>
    <t>Camila Sebastián</t>
  </si>
  <si>
    <t>Delfina Saldaña</t>
  </si>
  <si>
    <t>Lino Marí</t>
  </si>
  <si>
    <t>Mónica Arjona</t>
  </si>
  <si>
    <t>Concepción Pelayo</t>
  </si>
  <si>
    <t>Abigaíl Zabaleta</t>
  </si>
  <si>
    <t>Delfina Giménez</t>
  </si>
  <si>
    <t>Vasco Rosselló</t>
  </si>
  <si>
    <t>Jordán Catalá</t>
  </si>
  <si>
    <t>Iván Canales</t>
  </si>
  <si>
    <t>Cintia Montalbán</t>
  </si>
  <si>
    <t>Pánfilo Pareja</t>
  </si>
  <si>
    <t>Bernardino Cortés</t>
  </si>
  <si>
    <t>Xavier Galván</t>
  </si>
  <si>
    <t>Macaria Menéndez</t>
  </si>
  <si>
    <t>Onofre Cabañas</t>
  </si>
  <si>
    <t>Sarita Pallarès</t>
  </si>
  <si>
    <t>Jordán Montes</t>
  </si>
  <si>
    <t>Olga Ortuño</t>
  </si>
  <si>
    <t>María Montes</t>
  </si>
  <si>
    <t>Aureliano Alemán</t>
  </si>
  <si>
    <t>Luís Roig</t>
  </si>
  <si>
    <t>Adrián Molina</t>
  </si>
  <si>
    <t>Jesusa Terrón</t>
  </si>
  <si>
    <t>Pía Solsona</t>
  </si>
  <si>
    <t>Toño Moles</t>
  </si>
  <si>
    <t>Juan Méndez</t>
  </si>
  <si>
    <t>René Ribas</t>
  </si>
  <si>
    <t>Cintia Baró</t>
  </si>
  <si>
    <t>Nieves Díaz</t>
  </si>
  <si>
    <t>Ángel Dueñas</t>
  </si>
  <si>
    <t>Gastón Vaquero</t>
  </si>
  <si>
    <t>Toni Mariño</t>
  </si>
  <si>
    <t>Juan Manuel Bárcena</t>
  </si>
  <si>
    <t>Gabriel Cuéllar</t>
  </si>
  <si>
    <t>Octavio Enríquez</t>
  </si>
  <si>
    <t>Marcia Córdoba</t>
  </si>
  <si>
    <t>Macario Nogués</t>
  </si>
  <si>
    <t>Abigaíl Cerdán</t>
  </si>
  <si>
    <t>Aránzazu Acevedo</t>
  </si>
  <si>
    <t>Sigfrido Dueñas</t>
  </si>
  <si>
    <t>Íngrid Marti</t>
  </si>
  <si>
    <t>Luisina Peláez</t>
  </si>
  <si>
    <t>Anastasio Antúnez</t>
  </si>
  <si>
    <t>Patricia Martí</t>
  </si>
  <si>
    <t>Sebastián Ballester</t>
  </si>
  <si>
    <t>Lorenzo Echeverría</t>
  </si>
  <si>
    <t>Jeremías Beltran</t>
  </si>
  <si>
    <t>Verónica Colomer</t>
  </si>
  <si>
    <t>Óscar Céspedes</t>
  </si>
  <si>
    <t>Pacífica Ropero</t>
  </si>
  <si>
    <t>Xiomara Doménech</t>
  </si>
  <si>
    <t>Nicolasa Buendía</t>
  </si>
  <si>
    <t>Pánfilo Atienza</t>
  </si>
  <si>
    <t>Germán Salcedo</t>
  </si>
  <si>
    <t>Brígida Roca</t>
  </si>
  <si>
    <t>Sebastián Palau</t>
  </si>
  <si>
    <t>León Sala</t>
  </si>
  <si>
    <t>Édgar Jimenez</t>
  </si>
  <si>
    <t>José Manuel Valencia</t>
  </si>
  <si>
    <t>Moisés Vilaplana</t>
  </si>
  <si>
    <t>José Hervás</t>
  </si>
  <si>
    <t>Renata Guzmán</t>
  </si>
  <si>
    <t>Germán Quintana</t>
  </si>
  <si>
    <t>Wálter Roldan</t>
  </si>
  <si>
    <t>Nazaret Pérez</t>
  </si>
  <si>
    <t>Pío Pastor</t>
  </si>
  <si>
    <t>Renato Sánchez</t>
  </si>
  <si>
    <t>Simón Palau</t>
  </si>
  <si>
    <t>Liliana Bertrán</t>
  </si>
  <si>
    <t>Moisés Peñalver</t>
  </si>
  <si>
    <t>Fernanda Ríos</t>
  </si>
  <si>
    <t>Félix Diaz</t>
  </si>
  <si>
    <t>Amelia Bartolomé</t>
  </si>
  <si>
    <t>Reyna Millán</t>
  </si>
  <si>
    <t>Máximo Escalona</t>
  </si>
  <si>
    <t>Cristian Miró</t>
  </si>
  <si>
    <t>José María Camps</t>
  </si>
  <si>
    <t>María Belén Baquero</t>
  </si>
  <si>
    <t>Aurelio Cabañas</t>
  </si>
  <si>
    <t>Odalis Valentín</t>
  </si>
  <si>
    <t>Loida Barragán</t>
  </si>
  <si>
    <t>Xiomara Solé</t>
  </si>
  <si>
    <t>Claudio Caparrós</t>
  </si>
  <si>
    <t>Vinicio Sebastián</t>
  </si>
  <si>
    <t>Pepita Uría</t>
  </si>
  <si>
    <t>Iván Rosselló</t>
  </si>
  <si>
    <t>Eva María Torre</t>
  </si>
  <si>
    <t>Brígida Oliva</t>
  </si>
  <si>
    <t>Damián Pedrero</t>
  </si>
  <si>
    <t>Lázaro Peinado</t>
  </si>
  <si>
    <t>Prudencia Llabrés</t>
  </si>
  <si>
    <t>Germán Iborra</t>
  </si>
  <si>
    <t>Amado Antúnez</t>
  </si>
  <si>
    <t>Vilma Sáez</t>
  </si>
  <si>
    <t>Paloma Escrivá</t>
  </si>
  <si>
    <t>Dani Peñas</t>
  </si>
  <si>
    <t>Virgilio Márquez</t>
  </si>
  <si>
    <t>Áurea Vaquero</t>
  </si>
  <si>
    <t>Félix Pera</t>
  </si>
  <si>
    <t>Tere Álvarez</t>
  </si>
  <si>
    <t>Toño Narváez</t>
  </si>
  <si>
    <t>Cristóbal Santamaria</t>
  </si>
  <si>
    <t>Nereida Amigó</t>
  </si>
  <si>
    <t>María Ángeles Conesa</t>
  </si>
  <si>
    <t>Sebastián Tomas</t>
  </si>
  <si>
    <t>Espiridión Bonet</t>
  </si>
  <si>
    <t>Felicidad Carbó</t>
  </si>
  <si>
    <t>Cándido Corbacho</t>
  </si>
  <si>
    <t>Ascensión Alemán</t>
  </si>
  <si>
    <t>Demetrio Cabañas</t>
  </si>
  <si>
    <t>Prudencio Expósito</t>
  </si>
  <si>
    <t>Maricela Suárez</t>
  </si>
  <si>
    <t>Gastón Noriega</t>
  </si>
  <si>
    <t>Noemí Sotelo</t>
  </si>
  <si>
    <t>Samu Giménez</t>
  </si>
  <si>
    <t>Santos Álamo</t>
  </si>
  <si>
    <t>Rubén Armengol</t>
  </si>
  <si>
    <t>María Ángeles Santiago</t>
  </si>
  <si>
    <t>Edelmira Gascón</t>
  </si>
  <si>
    <t>Jenaro Benítez</t>
  </si>
  <si>
    <t>Toño Borrás</t>
  </si>
  <si>
    <t>Félix Alarcón</t>
  </si>
  <si>
    <t>Concha Farré</t>
  </si>
  <si>
    <t>Leire Aragonés</t>
  </si>
  <si>
    <t>Bernabé Gómez</t>
  </si>
  <si>
    <t>Rocío Calleja</t>
  </si>
  <si>
    <t>Pacífica Pintor</t>
  </si>
  <si>
    <t>María Belén Gómez</t>
  </si>
  <si>
    <t>Casandra Calderón</t>
  </si>
  <si>
    <t>María Trillo</t>
  </si>
  <si>
    <t>Valentín Río</t>
  </si>
  <si>
    <t>Rodolfo Báez</t>
  </si>
  <si>
    <t>Primitivo Ferrán</t>
  </si>
  <si>
    <t>Reina Suárez</t>
  </si>
  <si>
    <t>Che Carreño</t>
  </si>
  <si>
    <t>Julián Almansa</t>
  </si>
  <si>
    <t>Pánfilo Peiró</t>
  </si>
  <si>
    <t>Noelia Téllez</t>
  </si>
  <si>
    <t>Julio Cárdenas</t>
  </si>
  <si>
    <t>Plácido Arévalo</t>
  </si>
  <si>
    <t>Anastasio Pallarès</t>
  </si>
  <si>
    <t>Mónica Landa</t>
  </si>
  <si>
    <t>Jacobo Gómez</t>
  </si>
  <si>
    <t>José Antonio Mayo</t>
  </si>
  <si>
    <t>Gaspar Echeverría</t>
  </si>
  <si>
    <t>Nadia Fernández</t>
  </si>
  <si>
    <t>Ruy Fernández</t>
  </si>
  <si>
    <t>Moisés Torre</t>
  </si>
  <si>
    <t>Bárbara Múñiz</t>
  </si>
  <si>
    <t>Tiburcio Lladó</t>
  </si>
  <si>
    <t>Dani Beltrán</t>
  </si>
  <si>
    <t>Olga Aguiló</t>
  </si>
  <si>
    <t>Alonso Cabañas</t>
  </si>
  <si>
    <t>Clímaco Mateu</t>
  </si>
  <si>
    <t>Sofía Cobo</t>
  </si>
  <si>
    <t>Cayetano Valcárcel</t>
  </si>
  <si>
    <t>Carmela Vélez</t>
  </si>
  <si>
    <t>Leandro Barceló</t>
  </si>
  <si>
    <t>Adelardo Miró</t>
  </si>
  <si>
    <t>María Belén Jimenez</t>
  </si>
  <si>
    <t>Edelmira Baños</t>
  </si>
  <si>
    <t>Gerónimo Anaya</t>
  </si>
  <si>
    <t>Isaías Sales</t>
  </si>
  <si>
    <t>Isaías Adán</t>
  </si>
  <si>
    <t>Eusebia Echevarría</t>
  </si>
  <si>
    <t>Chus Acuña</t>
  </si>
  <si>
    <t>José Luis Bas</t>
  </si>
  <si>
    <t>María José Guzmán</t>
  </si>
  <si>
    <t>Eustaquio Mendizábal</t>
  </si>
  <si>
    <t>Yago Viña</t>
  </si>
  <si>
    <t>Verónica Anaya</t>
  </si>
  <si>
    <t>Eleuterio Cerdán</t>
  </si>
  <si>
    <t>Eugenio Miró</t>
  </si>
  <si>
    <t>Pío Amaya</t>
  </si>
  <si>
    <t>Máxima Granados</t>
  </si>
  <si>
    <t>José Mari Cueto</t>
  </si>
  <si>
    <t>Mar Hernández</t>
  </si>
  <si>
    <t>Yésica Blasco</t>
  </si>
  <si>
    <t>José Ordóñez</t>
  </si>
  <si>
    <t>Severino Beltrán</t>
  </si>
  <si>
    <t>Dimas Dávila</t>
  </si>
  <si>
    <t>Luciana Quirós</t>
  </si>
  <si>
    <t>María Teresa Benet</t>
  </si>
  <si>
    <t>Aarón Calvo</t>
  </si>
  <si>
    <t>Abel Hervás</t>
  </si>
  <si>
    <t>Ceferino Castejón</t>
  </si>
  <si>
    <t>Juan José Montesinos</t>
  </si>
  <si>
    <t>Azahara Saldaña</t>
  </si>
  <si>
    <t>Nilo Martínez</t>
  </si>
  <si>
    <t>Gerónimo Balaguer</t>
  </si>
  <si>
    <t>Angelita Tomé</t>
  </si>
  <si>
    <t>Inés Briones</t>
  </si>
  <si>
    <t>Emiliano Blázquez</t>
  </si>
  <si>
    <t>María Luisa Alcaraz</t>
  </si>
  <si>
    <t>Santos Vizcaíno</t>
  </si>
  <si>
    <t>Óscar Anguita</t>
  </si>
  <si>
    <t>Herminio Alemán</t>
  </si>
  <si>
    <t>Constanza Iñiguez</t>
  </si>
  <si>
    <t>Bautista Sanmartín</t>
  </si>
  <si>
    <t>Néstor Águila</t>
  </si>
  <si>
    <t>Cristóbal Cañizares</t>
  </si>
  <si>
    <t>Mariano Carrión</t>
  </si>
  <si>
    <t>Maxi Catalán</t>
  </si>
  <si>
    <t>René Novoa</t>
  </si>
  <si>
    <t>Susana Sáez</t>
  </si>
  <si>
    <t>Luis Ángel Benavent</t>
  </si>
  <si>
    <t>Raúl Zurita</t>
  </si>
  <si>
    <t>María Fernanda Tomé</t>
  </si>
  <si>
    <t>Máximo Hidalgo</t>
  </si>
  <si>
    <t>Celso Viña</t>
  </si>
  <si>
    <t>Patricia Gárate</t>
  </si>
  <si>
    <t>Adrián Piña</t>
  </si>
  <si>
    <t>Josué Diego</t>
  </si>
  <si>
    <t>Begoña Cabeza</t>
  </si>
  <si>
    <t>Guiomar Peiró</t>
  </si>
  <si>
    <t>Abril Cañizares</t>
  </si>
  <si>
    <t>Martín Galván</t>
  </si>
  <si>
    <t>Imelda Elías</t>
  </si>
  <si>
    <t>Azucena Cuéllar</t>
  </si>
  <si>
    <t>Ámbar Sanz</t>
  </si>
  <si>
    <t>Ángela Barón</t>
  </si>
  <si>
    <t>Haroldo Castañeda</t>
  </si>
  <si>
    <t>Ágata Calzada</t>
  </si>
  <si>
    <t>Aitana Baró</t>
  </si>
  <si>
    <t>Angélica Carrasco</t>
  </si>
  <si>
    <t>Teresa Frías</t>
  </si>
  <si>
    <t>Eva María Leon</t>
  </si>
  <si>
    <t>Inés Sastre</t>
  </si>
  <si>
    <t>María Dolores Juliá</t>
  </si>
  <si>
    <t>José Antonio Olivares</t>
  </si>
  <si>
    <t>María Puga</t>
  </si>
  <si>
    <t>José Mari Noguera</t>
  </si>
  <si>
    <t>Fidel Sánchez</t>
  </si>
  <si>
    <t>Anunciación Gallardo</t>
  </si>
  <si>
    <t>Venceslás Carrera</t>
  </si>
  <si>
    <t>Iván Alonso</t>
  </si>
  <si>
    <t>Noé Font</t>
  </si>
  <si>
    <t>Godofredo Bertrán</t>
  </si>
  <si>
    <t>Lucio Ferrándiz</t>
  </si>
  <si>
    <t>Lázaro Fortuny</t>
  </si>
  <si>
    <t>María Luisa Gelabert</t>
  </si>
  <si>
    <t>Raúl Solera</t>
  </si>
  <si>
    <t>Angelita Múñiz</t>
  </si>
  <si>
    <t>Ángela Samper</t>
  </si>
  <si>
    <t>Pelayo Pagès</t>
  </si>
  <si>
    <t>Melania Dueñas</t>
  </si>
  <si>
    <t>Jose Ramón Agustí</t>
  </si>
  <si>
    <t>Severo Ariño</t>
  </si>
  <si>
    <t>Rubén Abad</t>
  </si>
  <si>
    <t>Ramón Acero</t>
  </si>
  <si>
    <t>Bárbara Ferrera</t>
  </si>
  <si>
    <t>María José Azcona</t>
  </si>
  <si>
    <t>Amaro Simó</t>
  </si>
  <si>
    <t>Joel Barceló</t>
  </si>
  <si>
    <t>Luciana Alemán</t>
  </si>
  <si>
    <t>Alma Rosselló</t>
  </si>
  <si>
    <t>Tiburcio Girón</t>
  </si>
  <si>
    <t>Claudia Montalbán</t>
  </si>
  <si>
    <t>Gerardo Mendizábal</t>
  </si>
  <si>
    <t>José Ángel Cánovas</t>
  </si>
  <si>
    <t>Teófilo Mateu</t>
  </si>
  <si>
    <t>Ligia Sáez</t>
  </si>
  <si>
    <t>María José Céspedes</t>
  </si>
  <si>
    <t>Amalia Badía</t>
  </si>
  <si>
    <t>Rosalía Agustín</t>
  </si>
  <si>
    <t>Pacífica Escudero</t>
  </si>
  <si>
    <t>Andrés Felipe Tejedor</t>
  </si>
  <si>
    <t>Noemí Cózar</t>
  </si>
  <si>
    <t>Delia Julián</t>
  </si>
  <si>
    <t>Ramón Valle</t>
  </si>
  <si>
    <t>Verónica Uribe</t>
  </si>
  <si>
    <t>Ámbar Roman</t>
  </si>
  <si>
    <t>Wálter Cabañas</t>
  </si>
  <si>
    <t>Etelvina Escrivá</t>
  </si>
  <si>
    <t>Hernán Moliner</t>
  </si>
  <si>
    <t>Abigaíl Pareja</t>
  </si>
  <si>
    <t>Raúl Figuerola</t>
  </si>
  <si>
    <t>Malena Águila</t>
  </si>
  <si>
    <t>Adán Piñeiro</t>
  </si>
  <si>
    <t>Rufina Saldaña</t>
  </si>
  <si>
    <t>José Arco</t>
  </si>
  <si>
    <t>Cándido Bautista</t>
  </si>
  <si>
    <t>Zoraida Amigó</t>
  </si>
  <si>
    <t>Verónica Vazquez</t>
  </si>
  <si>
    <t>Sabas Guillén</t>
  </si>
  <si>
    <t>Begoña Blanco</t>
  </si>
  <si>
    <t>Úrsula Portillo</t>
  </si>
  <si>
    <t>Pío Haro</t>
  </si>
  <si>
    <t>Humberto Miró</t>
  </si>
  <si>
    <t>Ovidio Cáceres</t>
  </si>
  <si>
    <t>Ciriaco Cuéllar</t>
  </si>
  <si>
    <t>Héctor Carbó</t>
  </si>
  <si>
    <t>Hernán Ordóñez</t>
  </si>
  <si>
    <t>Teodoro Lladó</t>
  </si>
  <si>
    <t>Duilio Antón</t>
  </si>
  <si>
    <t>Luisa Manjón</t>
  </si>
  <si>
    <t>Pelayo Caparrós</t>
  </si>
  <si>
    <t>Rocío Gárate</t>
  </si>
  <si>
    <t>Pío Somoza</t>
  </si>
  <si>
    <t>Pío Ortuño</t>
  </si>
  <si>
    <t>María Teresa Sandoval</t>
  </si>
  <si>
    <t>Benigna Ayllón</t>
  </si>
  <si>
    <t>Arturo Narváez</t>
  </si>
  <si>
    <t>Adriana Escrivá</t>
  </si>
  <si>
    <t>Araceli Doménech</t>
  </si>
  <si>
    <t>Loreto Galán</t>
  </si>
  <si>
    <t>Edu Ferrández</t>
  </si>
  <si>
    <t>Emma Martí</t>
  </si>
  <si>
    <t>Fidela Macías</t>
  </si>
  <si>
    <t>Bartolomé Diéguez</t>
  </si>
  <si>
    <t>Duilio Larrañaga</t>
  </si>
  <si>
    <t>Elías Barberá</t>
  </si>
  <si>
    <t>Ruy Bárcena</t>
  </si>
  <si>
    <t>Gil Muñoz</t>
  </si>
  <si>
    <t>Herberto Tomás</t>
  </si>
  <si>
    <t>Esteban Expósito</t>
  </si>
  <si>
    <t>Miriam Núñez</t>
  </si>
  <si>
    <t>Abril Macías</t>
  </si>
  <si>
    <t>Cristóbal García</t>
  </si>
  <si>
    <t>Régulo Daza</t>
  </si>
  <si>
    <t>Simón Ibarra</t>
  </si>
  <si>
    <t>Ema Perelló</t>
  </si>
  <si>
    <t>Cosme Valcárcel</t>
  </si>
  <si>
    <t>Ángeles Neira</t>
  </si>
  <si>
    <t>Perlita Doménech</t>
  </si>
  <si>
    <t>Eugenio Mínguez</t>
  </si>
  <si>
    <t>Domingo Lladó</t>
  </si>
  <si>
    <t>Tomás Bou</t>
  </si>
  <si>
    <t>Ana Sofía Botella</t>
  </si>
  <si>
    <t>Eulalia Millán</t>
  </si>
  <si>
    <t>Jesusa Abellán</t>
  </si>
  <si>
    <t>Florina Gascón</t>
  </si>
  <si>
    <t>Clara Jordá</t>
  </si>
  <si>
    <t>Jeremías Saavedra</t>
  </si>
  <si>
    <t>Angélica Ledesma</t>
  </si>
  <si>
    <t>Etelvina Marqués</t>
  </si>
  <si>
    <t>Enrique Hernández</t>
  </si>
  <si>
    <t>Elena Gutiérrez</t>
  </si>
  <si>
    <t>Cristian García</t>
  </si>
  <si>
    <t>África Fonseca</t>
  </si>
  <si>
    <t>María Botella</t>
  </si>
  <si>
    <t>Cándida Santana</t>
  </si>
  <si>
    <t>Curro Rodríguez</t>
  </si>
  <si>
    <t>Raúl Bautista</t>
  </si>
  <si>
    <t>Fanny Arévalo</t>
  </si>
  <si>
    <t>María Manuela Cuesta</t>
  </si>
  <si>
    <t>Jose Ramón Díez</t>
  </si>
  <si>
    <t>Aníbal Marí</t>
  </si>
  <si>
    <t>Susanita Luís</t>
  </si>
  <si>
    <t>Victorino Nicolás</t>
  </si>
  <si>
    <t>Natalio Gálvez</t>
  </si>
  <si>
    <t>María Mesa</t>
  </si>
  <si>
    <t>Héctor Pedrosa</t>
  </si>
  <si>
    <t>José Antonio Olivera</t>
  </si>
  <si>
    <t>Paco Piñol</t>
  </si>
  <si>
    <t>Matías Tello</t>
  </si>
  <si>
    <t>Marina Andrés</t>
  </si>
  <si>
    <t>Íngrid Urrutia</t>
  </si>
  <si>
    <t>Nicolás Moliner</t>
  </si>
  <si>
    <t>Adoración Alcázar</t>
  </si>
  <si>
    <t>Víctor Díez</t>
  </si>
  <si>
    <t>Lázaro Soria</t>
  </si>
  <si>
    <t>Alma Macías</t>
  </si>
  <si>
    <t>Verónica Cózar</t>
  </si>
  <si>
    <t>Guiomar Múñiz</t>
  </si>
  <si>
    <t>Isaías Morcillo</t>
  </si>
  <si>
    <t>Visitación Alcaraz</t>
  </si>
  <si>
    <t>Octavia Benítez</t>
  </si>
  <si>
    <t>Rafaela Ferrández</t>
  </si>
  <si>
    <t>Jenaro Díaz</t>
  </si>
  <si>
    <t>Adán Lamas</t>
  </si>
  <si>
    <t>Isidro Pavón</t>
  </si>
  <si>
    <t>Raúl Alonso</t>
  </si>
  <si>
    <t>Sergio Sebastián</t>
  </si>
  <si>
    <t>Mónica Ferrero</t>
  </si>
  <si>
    <t>Lina Amorós</t>
  </si>
  <si>
    <t>Rodolfo Santamaría</t>
  </si>
  <si>
    <t>Macario Dueñas</t>
  </si>
  <si>
    <t>Áurea Morante</t>
  </si>
  <si>
    <t>Teodoro Doménech</t>
  </si>
  <si>
    <t>Bárbara Iriarte</t>
  </si>
  <si>
    <t>Marta Bolaños</t>
  </si>
  <si>
    <t>Lourdes Cañas</t>
  </si>
  <si>
    <t>África Escamilla</t>
  </si>
  <si>
    <t>Darío Jiménez</t>
  </si>
  <si>
    <t>Carlota Piña</t>
  </si>
  <si>
    <t>Primitiva Solé</t>
  </si>
  <si>
    <t>Petrona Piñeiro</t>
  </si>
  <si>
    <t>Nuria Cánovas</t>
  </si>
  <si>
    <t>Tatiana Viñas</t>
  </si>
  <si>
    <t>Graciano Céspedes</t>
  </si>
  <si>
    <t>Víctor Castrillo</t>
  </si>
  <si>
    <t>Diego Alcázar</t>
  </si>
  <si>
    <t>Apolinar Páez</t>
  </si>
  <si>
    <t>Paulina Macías</t>
  </si>
  <si>
    <t>Jesús Fiol</t>
  </si>
  <si>
    <t>Lourdes Mínguez</t>
  </si>
  <si>
    <t>Bernabé Mercader</t>
  </si>
  <si>
    <t>Teófila Rozas</t>
  </si>
  <si>
    <t>María Del Carmen Cardona</t>
  </si>
  <si>
    <t>Inmaculada Múñiz</t>
  </si>
  <si>
    <t>Jose Ignacio Luján</t>
  </si>
  <si>
    <t>Francisco Galán</t>
  </si>
  <si>
    <t>Félix Carro</t>
  </si>
  <si>
    <t>Godofredo Cánovas</t>
  </si>
  <si>
    <t>Domitila Echeverría</t>
  </si>
  <si>
    <t>Aristides Ángel</t>
  </si>
  <si>
    <t>Jose Ramón España</t>
  </si>
  <si>
    <t>Leoncio Mascaró</t>
  </si>
  <si>
    <t>Ruperto Elías</t>
  </si>
  <si>
    <t>Valentín Sola</t>
  </si>
  <si>
    <t>Néstor Galvez</t>
  </si>
  <si>
    <t>Simón Morales</t>
  </si>
  <si>
    <t>Rosa María Estevez</t>
  </si>
  <si>
    <t>Félix Amador</t>
  </si>
  <si>
    <t>Ulises Vizcaíno</t>
  </si>
  <si>
    <t>Teófila Segovia</t>
  </si>
  <si>
    <t>Victor Solís</t>
  </si>
  <si>
    <t>Cloe Falcón</t>
  </si>
  <si>
    <t>Simón Amo</t>
  </si>
  <si>
    <t>Miguela Ródenas</t>
  </si>
  <si>
    <t>Jacinta Díaz</t>
  </si>
  <si>
    <t>Andrés Felipe Rivera</t>
  </si>
  <si>
    <t>Noé Riera</t>
  </si>
  <si>
    <t>Concepción Jáuregui</t>
  </si>
  <si>
    <t>Galo Vallés</t>
  </si>
  <si>
    <t>Benjamín Nogués</t>
  </si>
  <si>
    <t>Brígida Espejo</t>
  </si>
  <si>
    <t>Nélida Quiroga</t>
  </si>
  <si>
    <t>Lucas Sáez</t>
  </si>
  <si>
    <t>Marciano Juárez</t>
  </si>
  <si>
    <t>Miguel Ángel Aroca</t>
  </si>
  <si>
    <t>Jafet Girón</t>
  </si>
  <si>
    <t>Hernán Zabaleta</t>
  </si>
  <si>
    <t>Lucía Arana</t>
  </si>
  <si>
    <t>Cloe Mariño</t>
  </si>
  <si>
    <t>Pánfilo Adán</t>
  </si>
  <si>
    <t>María Ángeles Ferreras</t>
  </si>
  <si>
    <t>Purificación Garcés</t>
  </si>
  <si>
    <t>Reina Garzón</t>
  </si>
  <si>
    <t>Candelario Terrón</t>
  </si>
  <si>
    <t>Jose Ramón Prat</t>
  </si>
  <si>
    <t>Noemí Español</t>
  </si>
  <si>
    <t>Elías Mayoral</t>
  </si>
  <si>
    <t>Ernesto Larrañaga</t>
  </si>
  <si>
    <t>Rafael Díez</t>
  </si>
  <si>
    <t>Aurelio Peña</t>
  </si>
  <si>
    <t>DATOS DE VENTAS (PERIODO 2024-2025)</t>
  </si>
  <si>
    <t>Fecha</t>
  </si>
  <si>
    <t>¿Cual fue el producto mas vendido en el periodo 2024-2025?</t>
  </si>
  <si>
    <t>¿Cual fue el total de ventas en efectivo de la sucursal de carlos paz en el periodo 2024-2025?</t>
  </si>
  <si>
    <t>¿Quién tiene el salario mas alto entre los vendedores?</t>
  </si>
  <si>
    <t>¿Cuál es la comision mas alta de la sucursal en San Vicente?</t>
  </si>
  <si>
    <t>¿Cual sucursal tuvo menos ventas en el periodo 2024-2025?</t>
  </si>
  <si>
    <t>¿Cual fue el cliente que mas compro en cantidad en el periodo 2024-2025?</t>
  </si>
  <si>
    <t>¿Cual fue el producto menos vendido en el periodo 2024-2025?</t>
  </si>
  <si>
    <t>¿Cual es el promedio de ventas en transferencia de la sucursal de Villa Allende?</t>
  </si>
  <si>
    <t>Presentacion</t>
  </si>
  <si>
    <t>Actualmente me encuentro estudiando la carrera de Analisis de Datos con CoderHouse, tambien laburo en el rubro del comercio, especificamente en el area de tecnologia</t>
  </si>
  <si>
    <t>Llevo tres años trabajando en el rubro del comercio y en el area de tecnologia donde he pasado por varios puestos de laburo (vendedor, control de stock, manejo de redes y  encargado de una sucursal, mi puesto actual)</t>
  </si>
  <si>
    <t>Hola! Mi nombre es Keysser Marrero, Soy de Venezuela, Estado Guarico, me mude a Argentina en el 2022, desde entonces siempre estoy buscando oportunidades para crecer!</t>
  </si>
  <si>
    <t>Mis espectativas son poder implementar el uso de datos en mi empresa y seguir mejorando a nivel profesional, luego eventualmente poder usarlo para mis proyectos personales</t>
  </si>
  <si>
    <t>Acerca del dataset elegido</t>
  </si>
  <si>
    <t>Hojas del archivo</t>
  </si>
  <si>
    <t>Readme</t>
  </si>
  <si>
    <t>Cuenta con la informacion del proyecto en general (fuente de los datos y que tipo de datos use) y una breve intruduccion de mi persona</t>
  </si>
  <si>
    <t>Archivo en crudo</t>
  </si>
  <si>
    <t>Es el set de datos original sin ningun cambio y descargado en .CSV</t>
  </si>
  <si>
    <t>Dataset de ventas</t>
  </si>
  <si>
    <t>Es la version final de la tabla, despues de haber realizado todos los cambios necesarios (filtracion y organización de datos, convertida en tabla dinamica, validacion y legible)</t>
  </si>
  <si>
    <t>¿Cuántos vendedores tiene la empresa?</t>
  </si>
  <si>
    <t>¿Cuántas sucursales tiene la empresa en el pais?</t>
  </si>
  <si>
    <t>Cantidad de vendedores</t>
  </si>
  <si>
    <t>Cantidad de sucursales</t>
  </si>
  <si>
    <t>Etiquetas de fila</t>
  </si>
  <si>
    <t>Total general</t>
  </si>
  <si>
    <t>(Todas)</t>
  </si>
  <si>
    <t>Etiquetas de columna</t>
  </si>
  <si>
    <t>Suma de Cantidad</t>
  </si>
  <si>
    <t>¿Cuál fue la sucursal con mayor ventas?</t>
  </si>
  <si>
    <t>¿Cuál fue el vendedor con la comision mas alta?</t>
  </si>
  <si>
    <t>Suma de Precio</t>
  </si>
  <si>
    <t>Años (Fecha)</t>
  </si>
  <si>
    <t>Meses (Fecha)</t>
  </si>
  <si>
    <t>Trimestres (Fecha)</t>
  </si>
  <si>
    <t>Dashboard</t>
  </si>
  <si>
    <t>Contiene informacion esencial acerca de la empresa "X" a la que nos hemos dedicado hacer el analisis, dentro encontraras datos como su portafolio de ventas, cartera de clientes, datos acerca de sus mejores vendedores y cual de sus sucursales es la mas activa en ventas</t>
  </si>
  <si>
    <t>Hoja Auxiliar</t>
  </si>
  <si>
    <t>Contiene formulas o tablas dinamicas usadas para preparar el dashboard interactivo</t>
  </si>
  <si>
    <t>Preguntas y respuestas</t>
  </si>
  <si>
    <r>
      <t>El dataset elegido parte de los datos de la empresa donde laburo y le adicione muchos datos que me hacian falta para que me fuera util a la hora de poder hacer el proyecto; asi que lo catalogaremos como empresa "X"; este dataset cuenta con las siguientes columnas:</t>
    </r>
    <r>
      <rPr>
        <b/>
        <sz val="11"/>
        <color theme="1"/>
        <rFont val="Calibri"/>
        <family val="2"/>
        <scheme val="minor"/>
      </rPr>
      <t xml:space="preserve"> Cliente, Producto, Cantidad, Precio, Metodo de pago, Descuento, Fecha, vendedor, Sucursal, Comision, Sueldo</t>
    </r>
    <r>
      <rPr>
        <sz val="11"/>
        <color theme="1"/>
        <rFont val="Calibri"/>
        <family val="2"/>
        <scheme val="minor"/>
      </rPr>
      <t>.</t>
    </r>
  </si>
  <si>
    <t>Se realizaron distintas preguntas para conocer mejor la empresa, y poder tomar decisiones importantes como el si es necesario cambiar algun vendedor de bajo rendimiento o ver el rendimiento en general de cada una de sus sucursales, todas sus respuestas estan con funciones de busqueda, funciones anidadas y del tipo "conjunto"</t>
  </si>
  <si>
    <t>Agradecimientos y cierre</t>
  </si>
  <si>
    <t>Antes que nada agradecido con el profesor Juan Pablo Accinelli por toda la paciencia para enseñarnos a usar excel desde cero y que ahora ya podamos usarlo a full tanto como para terminar haciendo dahsboard interactivos, usar formulas complejas y graficos, cosas que en un inicio parecian imposibles o increiblemente dificiles, pues el hizo todo mas facil de lo que parecia. Muy feliz de haber aprendido excel y poder entregar mi trabajo al 100%</t>
  </si>
  <si>
    <t>¿Cuál fue el total de ventas en credito de la sucursal de San Vicente ?</t>
  </si>
  <si>
    <t>¿Cuál es la cantidad promedio de prroductos vendidos en sucursal de Nueva Córdoba?</t>
  </si>
  <si>
    <t>¿Cuál fue el vendedor con menor cantidad de ventas en todas nuestras sucursales?</t>
  </si>
  <si>
    <t>¿Cuál es la comision mas baja en sucursal de Córdoba Centro?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</si>
</sst>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\ 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42" applyNumberFormat="1" applyFon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4" fontId="13" fillId="33" borderId="10" xfId="0" applyNumberFormat="1" applyFont="1" applyFill="1" applyBorder="1" applyAlignment="1">
      <alignment horizontal="center" vertical="center"/>
    </xf>
    <xf numFmtId="14" fontId="0" fillId="34" borderId="10" xfId="0" applyNumberFormat="1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3" fillId="33" borderId="10" xfId="0" applyFont="1" applyFill="1" applyBorder="1" applyAlignment="1">
      <alignment horizontal="left" vertical="center"/>
    </xf>
    <xf numFmtId="0" fontId="0" fillId="34" borderId="10" xfId="0" applyFill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164" fontId="13" fillId="33" borderId="10" xfId="0" applyNumberFormat="1" applyFont="1" applyFill="1" applyBorder="1" applyAlignment="1">
      <alignment horizontal="center" vertical="center"/>
    </xf>
    <xf numFmtId="164" fontId="0" fillId="34" borderId="10" xfId="0" applyNumberFormat="1" applyFill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13" fillId="33" borderId="10" xfId="42" applyNumberFormat="1" applyFont="1" applyFill="1" applyBorder="1" applyAlignment="1">
      <alignment horizontal="center" vertical="center"/>
    </xf>
    <xf numFmtId="164" fontId="0" fillId="34" borderId="10" xfId="42" applyNumberFormat="1" applyFont="1" applyFill="1" applyBorder="1" applyAlignment="1">
      <alignment horizontal="center" vertical="center"/>
    </xf>
    <xf numFmtId="164" fontId="0" fillId="0" borderId="10" xfId="42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3" fontId="0" fillId="0" borderId="0" xfId="0" applyNumberFormat="1" applyAlignment="1">
      <alignment horizontal="left"/>
    </xf>
    <xf numFmtId="0" fontId="0" fillId="0" borderId="27" xfId="0" applyBorder="1"/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20" fillId="42" borderId="21" xfId="0" applyFont="1" applyFill="1" applyBorder="1" applyAlignment="1">
      <alignment horizontal="center" vertical="center"/>
    </xf>
    <xf numFmtId="0" fontId="20" fillId="42" borderId="22" xfId="0" applyFont="1" applyFill="1" applyBorder="1" applyAlignment="1">
      <alignment horizontal="center" vertical="center"/>
    </xf>
    <xf numFmtId="0" fontId="20" fillId="42" borderId="23" xfId="0" applyFont="1" applyFill="1" applyBorder="1" applyAlignment="1">
      <alignment horizontal="center" vertical="center"/>
    </xf>
    <xf numFmtId="0" fontId="20" fillId="42" borderId="24" xfId="0" applyFont="1" applyFill="1" applyBorder="1" applyAlignment="1">
      <alignment horizontal="center" vertical="center"/>
    </xf>
    <xf numFmtId="0" fontId="20" fillId="42" borderId="25" xfId="0" applyFont="1" applyFill="1" applyBorder="1" applyAlignment="1">
      <alignment horizontal="center" vertical="center"/>
    </xf>
    <xf numFmtId="0" fontId="20" fillId="42" borderId="26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2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21" fillId="37" borderId="0" xfId="0" applyFont="1" applyFill="1" applyAlignment="1">
      <alignment horizontal="center" vertical="center"/>
    </xf>
    <xf numFmtId="0" fontId="0" fillId="38" borderId="14" xfId="0" applyFill="1" applyBorder="1" applyAlignment="1">
      <alignment horizontal="center" vertical="center" wrapText="1"/>
    </xf>
    <xf numFmtId="0" fontId="19" fillId="37" borderId="15" xfId="0" applyFont="1" applyFill="1" applyBorder="1" applyAlignment="1">
      <alignment horizontal="center" vertical="center"/>
    </xf>
    <xf numFmtId="0" fontId="19" fillId="37" borderId="16" xfId="0" applyFont="1" applyFill="1" applyBorder="1" applyAlignment="1">
      <alignment horizontal="center" vertical="center"/>
    </xf>
    <xf numFmtId="0" fontId="19" fillId="37" borderId="17" xfId="0" applyFont="1" applyFill="1" applyBorder="1" applyAlignment="1">
      <alignment horizontal="center" vertical="center"/>
    </xf>
    <xf numFmtId="0" fontId="19" fillId="37" borderId="18" xfId="0" applyFont="1" applyFill="1" applyBorder="1" applyAlignment="1">
      <alignment horizontal="center" vertical="center"/>
    </xf>
    <xf numFmtId="0" fontId="19" fillId="37" borderId="19" xfId="0" applyFont="1" applyFill="1" applyBorder="1" applyAlignment="1">
      <alignment horizontal="center" vertical="center"/>
    </xf>
    <xf numFmtId="0" fontId="19" fillId="37" borderId="20" xfId="0" applyFont="1" applyFill="1" applyBorder="1" applyAlignment="1">
      <alignment horizontal="center" vertical="center"/>
    </xf>
    <xf numFmtId="0" fontId="20" fillId="39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2" fillId="35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wrapText="1"/>
    </xf>
    <xf numFmtId="0" fontId="20" fillId="37" borderId="14" xfId="0" applyFont="1" applyFill="1" applyBorder="1" applyAlignment="1">
      <alignment horizontal="center" vertical="center" wrapText="1"/>
    </xf>
    <xf numFmtId="0" fontId="20" fillId="40" borderId="21" xfId="0" applyFont="1" applyFill="1" applyBorder="1" applyAlignment="1">
      <alignment horizontal="center" vertical="center"/>
    </xf>
    <xf numFmtId="0" fontId="20" fillId="40" borderId="22" xfId="0" applyFont="1" applyFill="1" applyBorder="1" applyAlignment="1">
      <alignment horizontal="center" vertical="center"/>
    </xf>
    <xf numFmtId="0" fontId="20" fillId="40" borderId="23" xfId="0" applyFont="1" applyFill="1" applyBorder="1" applyAlignment="1">
      <alignment horizontal="center" vertical="center"/>
    </xf>
    <xf numFmtId="0" fontId="20" fillId="40" borderId="24" xfId="0" applyFont="1" applyFill="1" applyBorder="1" applyAlignment="1">
      <alignment horizontal="center" vertical="center"/>
    </xf>
    <xf numFmtId="0" fontId="20" fillId="40" borderId="25" xfId="0" applyFont="1" applyFill="1" applyBorder="1" applyAlignment="1">
      <alignment horizontal="center" vertical="center"/>
    </xf>
    <xf numFmtId="0" fontId="20" fillId="40" borderId="26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20" fillId="41" borderId="21" xfId="0" applyFont="1" applyFill="1" applyBorder="1" applyAlignment="1">
      <alignment horizontal="center" vertical="center"/>
    </xf>
    <xf numFmtId="0" fontId="20" fillId="41" borderId="22" xfId="0" applyFont="1" applyFill="1" applyBorder="1" applyAlignment="1">
      <alignment horizontal="center" vertical="center"/>
    </xf>
    <xf numFmtId="0" fontId="20" fillId="41" borderId="23" xfId="0" applyFont="1" applyFill="1" applyBorder="1" applyAlignment="1">
      <alignment horizontal="center" vertical="center"/>
    </xf>
    <xf numFmtId="0" fontId="20" fillId="41" borderId="24" xfId="0" applyFont="1" applyFill="1" applyBorder="1" applyAlignment="1">
      <alignment horizontal="center" vertical="center"/>
    </xf>
    <xf numFmtId="0" fontId="20" fillId="41" borderId="25" xfId="0" applyFont="1" applyFill="1" applyBorder="1" applyAlignment="1">
      <alignment horizontal="center" vertical="center"/>
    </xf>
    <xf numFmtId="0" fontId="20" fillId="41" borderId="26" xfId="0" applyFont="1" applyFill="1" applyBorder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0" fillId="0" borderId="13" xfId="0" applyBorder="1" applyAlignment="1">
      <alignment horizontal="center"/>
    </xf>
    <xf numFmtId="0" fontId="18" fillId="36" borderId="11" xfId="0" applyFont="1" applyFill="1" applyBorder="1" applyAlignment="1">
      <alignment horizontal="center" vertical="center" wrapText="1"/>
    </xf>
    <xf numFmtId="16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18" fillId="36" borderId="11" xfId="0" applyFont="1" applyFill="1" applyBorder="1" applyAlignment="1">
      <alignment horizontal="center" vertical="center"/>
    </xf>
    <xf numFmtId="0" fontId="18" fillId="36" borderId="11" xfId="0" applyFont="1" applyFill="1" applyBorder="1" applyAlignment="1">
      <alignment horizontal="center" wrapText="1"/>
    </xf>
    <xf numFmtId="0" fontId="0" fillId="0" borderId="11" xfId="0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1">
    <dxf>
      <numFmt numFmtId="164" formatCode="&quot;$&quot;\ #,##0.00"/>
      <alignment horizontal="center" vertical="center" textRotation="0" wrapText="0" indent="0" justifyLastLine="0" shrinkToFit="0" readingOrder="0"/>
    </dxf>
    <dxf>
      <numFmt numFmtId="164" formatCode="&quot;$&quot;\ #,##0.00"/>
      <alignment horizont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9" tint="0.39997558519241921"/>
        </top>
        <bottom style="thin">
          <color theme="9" tint="0.39997558519241921"/>
        </bottom>
      </border>
    </dxf>
    <dxf>
      <numFmt numFmtId="19" formatCode="d/m/yyyy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</dxf>
    <dxf>
      <numFmt numFmtId="164" formatCode="&quot;$&quot;\ #,##0.00"/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3" formatCode="#,##0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Estilo de tabla 1" pivot="0" count="0" xr9:uid="{D34D4C68-47B2-4315-A15A-A4A4F363222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powerPivotData" Target="model/item.data"/><Relationship Id="rId18" Type="http://schemas.openxmlformats.org/officeDocument/2006/relationships/customXml" Target="../customXml/item4.xml"/><Relationship Id="rId26" Type="http://schemas.openxmlformats.org/officeDocument/2006/relationships/customXml" Target="../customXml/item12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7.xml"/><Relationship Id="rId7" Type="http://schemas.openxmlformats.org/officeDocument/2006/relationships/pivotCacheDefinition" Target="pivotCache/pivotCacheDefinition1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5" Type="http://schemas.openxmlformats.org/officeDocument/2006/relationships/customXml" Target="../customXml/item1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20" Type="http://schemas.openxmlformats.org/officeDocument/2006/relationships/customXml" Target="../customXml/item6.xml"/><Relationship Id="rId29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0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23" Type="http://schemas.openxmlformats.org/officeDocument/2006/relationships/customXml" Target="../customXml/item9.xml"/><Relationship Id="rId28" Type="http://schemas.openxmlformats.org/officeDocument/2006/relationships/customXml" Target="../customXml/item14.xml"/><Relationship Id="rId10" Type="http://schemas.openxmlformats.org/officeDocument/2006/relationships/styles" Target="styles.xml"/><Relationship Id="rId19" Type="http://schemas.openxmlformats.org/officeDocument/2006/relationships/customXml" Target="../customXml/item5.xml"/><Relationship Id="rId31" Type="http://schemas.openxmlformats.org/officeDocument/2006/relationships/customXml" Target="../customXml/item17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alcChain" Target="calcChain.xml"/><Relationship Id="rId22" Type="http://schemas.openxmlformats.org/officeDocument/2006/relationships/customXml" Target="../customXml/item8.xml"/><Relationship Id="rId27" Type="http://schemas.openxmlformats.org/officeDocument/2006/relationships/customXml" Target="../customXml/item13.xml"/><Relationship Id="rId30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[Prroyecto Final Marrero.xlsx]Hoja Auxiliar!TablaDinámica1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Cantidad</a:t>
            </a:r>
            <a:r>
              <a:rPr lang="en-US" baseline="0"/>
              <a:t> de productos vendidos</a:t>
            </a:r>
          </a:p>
        </c:rich>
      </c:tx>
      <c:layout>
        <c:manualLayout>
          <c:xMode val="edge"/>
          <c:yMode val="edge"/>
          <c:x val="6.7386703137655865E-2"/>
          <c:y val="0.129587515510670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6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'Hoja Auxiliar'!$F$5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EEF-4E71-961C-3371DA22212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EEF-4E71-961C-3371DA22212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EEF-4E71-961C-3371DA22212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EEF-4E71-961C-3371DA22212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EEF-4E71-961C-3371DA22212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EEF-4E71-961C-3371DA22212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1EEF-4E71-961C-3371DA222124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1EEF-4E71-961C-3371DA222124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1EEF-4E71-961C-3371DA222124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1EEF-4E71-961C-3371DA2221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'Hoja Auxiliar'!$E$6:$E$16</c:f>
              <c:strCache>
                <c:ptCount val="10"/>
                <c:pt idx="0">
                  <c:v>Auriculares JBL</c:v>
                </c:pt>
                <c:pt idx="1">
                  <c:v>Disco SSD Kingston</c:v>
                </c:pt>
                <c:pt idx="2">
                  <c:v>Memoria RAM Corsair</c:v>
                </c:pt>
                <c:pt idx="3">
                  <c:v>Monitor Samsung</c:v>
                </c:pt>
                <c:pt idx="4">
                  <c:v>Mouse Logitech</c:v>
                </c:pt>
                <c:pt idx="5">
                  <c:v>Notebook Lenovo</c:v>
                </c:pt>
                <c:pt idx="6">
                  <c:v>PC Gamer</c:v>
                </c:pt>
                <c:pt idx="7">
                  <c:v>Placa de Video Nvidia</c:v>
                </c:pt>
                <c:pt idx="8">
                  <c:v>Tablet Samsung</c:v>
                </c:pt>
                <c:pt idx="9">
                  <c:v>Teclado Redragon</c:v>
                </c:pt>
              </c:strCache>
            </c:strRef>
          </c:cat>
          <c:val>
            <c:numRef>
              <c:f>'Hoja Auxiliar'!$F$6:$F$16</c:f>
              <c:numCache>
                <c:formatCode>#,##0</c:formatCode>
                <c:ptCount val="10"/>
                <c:pt idx="0">
                  <c:v>477</c:v>
                </c:pt>
                <c:pt idx="1">
                  <c:v>480</c:v>
                </c:pt>
                <c:pt idx="2">
                  <c:v>497</c:v>
                </c:pt>
                <c:pt idx="3">
                  <c:v>425</c:v>
                </c:pt>
                <c:pt idx="4">
                  <c:v>458</c:v>
                </c:pt>
                <c:pt idx="5">
                  <c:v>403</c:v>
                </c:pt>
                <c:pt idx="6">
                  <c:v>421</c:v>
                </c:pt>
                <c:pt idx="7">
                  <c:v>468</c:v>
                </c:pt>
                <c:pt idx="8">
                  <c:v>444</c:v>
                </c:pt>
                <c:pt idx="9">
                  <c:v>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1EEF-4E71-961C-3371DA22212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2613363954505685"/>
          <c:y val="6.4014289880431618E-2"/>
          <c:w val="0.35719969378827648"/>
          <c:h val="0.854885899679206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[Prroyecto Final Marrero.xlsx]Hoja Auxiliar!TablaDinámica2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 sz="2000"/>
              <a:t>Ventas totales</a:t>
            </a:r>
          </a:p>
        </c:rich>
      </c:tx>
      <c:layout>
        <c:manualLayout>
          <c:xMode val="edge"/>
          <c:yMode val="edge"/>
          <c:x val="0.33697935906159876"/>
          <c:y val="0.11507172978190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0278539256667"/>
          <c:y val="0.25683341849785718"/>
          <c:w val="0.57398386312822003"/>
          <c:h val="0.5758564552205750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'Hoja Auxiliar'!$K$17:$K$18</c:f>
              <c:strCache>
                <c:ptCount val="1"/>
                <c:pt idx="0">
                  <c:v>Baldomero Ramón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Auxiliar'!$K$19:$K$24</c:f>
              <c:numCache>
                <c:formatCode>"$"\ #,##0.00</c:formatCode>
                <c:ptCount val="5"/>
                <c:pt idx="0">
                  <c:v>953228110</c:v>
                </c:pt>
                <c:pt idx="1">
                  <c:v>718188122</c:v>
                </c:pt>
                <c:pt idx="2">
                  <c:v>696590377</c:v>
                </c:pt>
                <c:pt idx="3">
                  <c:v>746541384</c:v>
                </c:pt>
                <c:pt idx="4">
                  <c:v>568017625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B-498D-8D09-18393D5618FF}"/>
            </c:ext>
          </c:extLst>
        </c:ser>
        <c:ser>
          <c:idx val="1"/>
          <c:order val="1"/>
          <c:tx>
            <c:strRef>
              <c:f>'Hoja Auxiliar'!$L$17:$L$18</c:f>
              <c:strCache>
                <c:ptCount val="1"/>
                <c:pt idx="0">
                  <c:v>Calixta del Lago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Auxiliar'!$L$19:$L$24</c:f>
              <c:numCache>
                <c:formatCode>"$"\ #,##0.00</c:formatCode>
                <c:ptCount val="5"/>
                <c:pt idx="0">
                  <c:v>745651139</c:v>
                </c:pt>
                <c:pt idx="1">
                  <c:v>730723626</c:v>
                </c:pt>
                <c:pt idx="2">
                  <c:v>843198479</c:v>
                </c:pt>
                <c:pt idx="3">
                  <c:v>550100072</c:v>
                </c:pt>
                <c:pt idx="4">
                  <c:v>536102625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DEB-498D-8D09-18393D5618FF}"/>
            </c:ext>
          </c:extLst>
        </c:ser>
        <c:ser>
          <c:idx val="2"/>
          <c:order val="2"/>
          <c:tx>
            <c:strRef>
              <c:f>'Hoja Auxiliar'!$M$17:$M$18</c:f>
              <c:strCache>
                <c:ptCount val="1"/>
                <c:pt idx="0">
                  <c:v>Dorita Abad Luján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Auxiliar'!$M$19:$M$24</c:f>
              <c:numCache>
                <c:formatCode>"$"\ #,##0.00</c:formatCode>
                <c:ptCount val="5"/>
                <c:pt idx="0">
                  <c:v>799169211</c:v>
                </c:pt>
                <c:pt idx="1">
                  <c:v>684916286</c:v>
                </c:pt>
                <c:pt idx="2">
                  <c:v>616287131</c:v>
                </c:pt>
                <c:pt idx="3">
                  <c:v>710565674</c:v>
                </c:pt>
                <c:pt idx="4">
                  <c:v>870227089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DEB-498D-8D09-18393D5618FF}"/>
            </c:ext>
          </c:extLst>
        </c:ser>
        <c:ser>
          <c:idx val="3"/>
          <c:order val="3"/>
          <c:tx>
            <c:strRef>
              <c:f>'Hoja Auxiliar'!$N$17:$N$18</c:f>
              <c:strCache>
                <c:ptCount val="1"/>
                <c:pt idx="0">
                  <c:v>Edelmiro Valenciano-Ojeda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Auxiliar'!$N$19:$N$24</c:f>
              <c:numCache>
                <c:formatCode>"$"\ #,##0.00</c:formatCode>
                <c:ptCount val="5"/>
                <c:pt idx="0">
                  <c:v>717848424</c:v>
                </c:pt>
                <c:pt idx="1">
                  <c:v>462560158</c:v>
                </c:pt>
                <c:pt idx="2">
                  <c:v>631841591</c:v>
                </c:pt>
                <c:pt idx="3">
                  <c:v>738803266</c:v>
                </c:pt>
                <c:pt idx="4">
                  <c:v>636649091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DEB-498D-8D09-18393D5618FF}"/>
            </c:ext>
          </c:extLst>
        </c:ser>
        <c:ser>
          <c:idx val="4"/>
          <c:order val="4"/>
          <c:tx>
            <c:strRef>
              <c:f>'Hoja Auxiliar'!$O$17:$O$18</c:f>
              <c:strCache>
                <c:ptCount val="1"/>
                <c:pt idx="0">
                  <c:v>Inés Campo Pont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Auxiliar'!$O$19:$O$24</c:f>
              <c:numCache>
                <c:formatCode>"$"\ #,##0.00</c:formatCode>
                <c:ptCount val="5"/>
                <c:pt idx="0">
                  <c:v>533677312</c:v>
                </c:pt>
                <c:pt idx="1">
                  <c:v>611918016</c:v>
                </c:pt>
                <c:pt idx="2">
                  <c:v>820642591</c:v>
                </c:pt>
                <c:pt idx="3">
                  <c:v>1014069365</c:v>
                </c:pt>
                <c:pt idx="4">
                  <c:v>858596821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DEB-498D-8D09-18393D5618FF}"/>
            </c:ext>
          </c:extLst>
        </c:ser>
        <c:ser>
          <c:idx val="5"/>
          <c:order val="5"/>
          <c:tx>
            <c:strRef>
              <c:f>'Hoja Auxiliar'!$P$17:$P$18</c:f>
              <c:strCache>
                <c:ptCount val="1"/>
                <c:pt idx="0">
                  <c:v>Luís Chaparro Borja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Auxiliar'!$P$19:$P$24</c:f>
              <c:numCache>
                <c:formatCode>"$"\ #,##0.00</c:formatCode>
                <c:ptCount val="5"/>
                <c:pt idx="0">
                  <c:v>586889521</c:v>
                </c:pt>
                <c:pt idx="1">
                  <c:v>689266789</c:v>
                </c:pt>
                <c:pt idx="2">
                  <c:v>704649165</c:v>
                </c:pt>
                <c:pt idx="3">
                  <c:v>767269719</c:v>
                </c:pt>
                <c:pt idx="4">
                  <c:v>769000621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DEB-498D-8D09-18393D5618FF}"/>
            </c:ext>
          </c:extLst>
        </c:ser>
        <c:ser>
          <c:idx val="6"/>
          <c:order val="6"/>
          <c:tx>
            <c:strRef>
              <c:f>'Hoja Auxiliar'!$Q$17:$Q$18</c:f>
              <c:strCache>
                <c:ptCount val="1"/>
                <c:pt idx="0">
                  <c:v>Nieves del Ortega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Auxiliar'!$Q$19:$Q$24</c:f>
              <c:numCache>
                <c:formatCode>"$"\ #,##0.00</c:formatCode>
                <c:ptCount val="5"/>
                <c:pt idx="0">
                  <c:v>750652877</c:v>
                </c:pt>
                <c:pt idx="1">
                  <c:v>661354011</c:v>
                </c:pt>
                <c:pt idx="2">
                  <c:v>672586830</c:v>
                </c:pt>
                <c:pt idx="3">
                  <c:v>706271042</c:v>
                </c:pt>
                <c:pt idx="4">
                  <c:v>371762493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DEB-498D-8D09-18393D5618FF}"/>
            </c:ext>
          </c:extLst>
        </c:ser>
        <c:ser>
          <c:idx val="7"/>
          <c:order val="7"/>
          <c:tx>
            <c:strRef>
              <c:f>'Hoja Auxiliar'!$R$17:$R$18</c:f>
              <c:strCache>
                <c:ptCount val="1"/>
                <c:pt idx="0">
                  <c:v>Paca Aramburu Luz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Auxiliar'!$R$19:$R$24</c:f>
              <c:numCache>
                <c:formatCode>"$"\ #,##0.00</c:formatCode>
                <c:ptCount val="5"/>
                <c:pt idx="0">
                  <c:v>586348637</c:v>
                </c:pt>
                <c:pt idx="1">
                  <c:v>881280267</c:v>
                </c:pt>
                <c:pt idx="2">
                  <c:v>862240833</c:v>
                </c:pt>
                <c:pt idx="3">
                  <c:v>602292921</c:v>
                </c:pt>
                <c:pt idx="4">
                  <c:v>446105966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DEB-498D-8D09-18393D5618FF}"/>
            </c:ext>
          </c:extLst>
        </c:ser>
        <c:ser>
          <c:idx val="8"/>
          <c:order val="8"/>
          <c:tx>
            <c:strRef>
              <c:f>'Hoja Auxiliar'!$S$17:$S$18</c:f>
              <c:strCache>
                <c:ptCount val="1"/>
                <c:pt idx="0">
                  <c:v>Pánfilo Montenegro Alba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Auxiliar'!$S$19:$S$24</c:f>
              <c:numCache>
                <c:formatCode>"$"\ #,##0.00</c:formatCode>
                <c:ptCount val="5"/>
                <c:pt idx="0">
                  <c:v>484544451</c:v>
                </c:pt>
                <c:pt idx="1">
                  <c:v>892326616</c:v>
                </c:pt>
                <c:pt idx="2">
                  <c:v>635134762</c:v>
                </c:pt>
                <c:pt idx="3">
                  <c:v>515851106</c:v>
                </c:pt>
                <c:pt idx="4">
                  <c:v>657905063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DEB-498D-8D09-18393D5618FF}"/>
            </c:ext>
          </c:extLst>
        </c:ser>
        <c:ser>
          <c:idx val="9"/>
          <c:order val="9"/>
          <c:tx>
            <c:strRef>
              <c:f>'Hoja Auxiliar'!$T$17:$T$18</c:f>
              <c:strCache>
                <c:ptCount val="1"/>
                <c:pt idx="0">
                  <c:v>Rosa de Bou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'Hoja Auxiliar'!$J$19:$J$24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'Hoja Auxiliar'!$T$19:$T$24</c:f>
              <c:numCache>
                <c:formatCode>"$"\ #,##0.00</c:formatCode>
                <c:ptCount val="5"/>
                <c:pt idx="0">
                  <c:v>792822304</c:v>
                </c:pt>
                <c:pt idx="1">
                  <c:v>740395614</c:v>
                </c:pt>
                <c:pt idx="2">
                  <c:v>602950705</c:v>
                </c:pt>
                <c:pt idx="3">
                  <c:v>555923608</c:v>
                </c:pt>
                <c:pt idx="4">
                  <c:v>812544310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DEB-498D-8D09-18393D5618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928983184"/>
        <c:axId val="928982704"/>
      </c:barChart>
      <c:catAx>
        <c:axId val="9289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28982704"/>
        <c:crosses val="autoZero"/>
        <c:auto val="1"/>
        <c:lblAlgn val="ctr"/>
        <c:lblOffset val="100"/>
        <c:noMultiLvlLbl val="0"/>
      </c:catAx>
      <c:valAx>
        <c:axId val="9289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9289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236939826966074"/>
          <c:y val="0.240649502362281"/>
          <c:w val="0.25775405852046274"/>
          <c:h val="0.62112219152484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[Prroyecto Final Marrero.xlsx]Hoja Auxiliar!TablaDinámica3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Cartera de clientes periodo 2024-2025</a:t>
            </a:r>
          </a:p>
        </c:rich>
      </c:tx>
      <c:layout>
        <c:manualLayout>
          <c:xMode val="edge"/>
          <c:yMode val="edge"/>
          <c:x val="0.33800500722789106"/>
          <c:y val="0.106047301944543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ivotFmts>
      <c:pivotFmt>
        <c:idx val="0"/>
        <c:spPr>
          <a:noFill/>
          <a:ln w="9525" cap="flat" cmpd="sng" algn="ctr">
            <a:solidFill>
              <a:schemeClr val="accent1"/>
            </a:solidFill>
            <a:prstDash val="sysDot"/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9525" cap="flat" cmpd="sng" algn="ctr">
            <a:solidFill>
              <a:schemeClr val="accent1"/>
            </a:solidFill>
            <a:prstDash val="sysDot"/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A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440730898252844"/>
          <c:y val="0.22308837618553309"/>
          <c:w val="0.61942090985277343"/>
          <c:h val="0.5952925905659107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'Hoja Auxiliar'!$G$27</c:f>
              <c:strCache>
                <c:ptCount val="1"/>
                <c:pt idx="0">
                  <c:v>Total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prstDash val="sysDot"/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'Hoja Auxiliar'!$F$28:$F$1525</c:f>
              <c:strCache>
                <c:ptCount val="1497"/>
                <c:pt idx="0">
                  <c:v>Aarón Calvo</c:v>
                </c:pt>
                <c:pt idx="1">
                  <c:v>Abel Cano</c:v>
                </c:pt>
                <c:pt idx="2">
                  <c:v>Abel Hervás</c:v>
                </c:pt>
                <c:pt idx="3">
                  <c:v>Abel Ojeda</c:v>
                </c:pt>
                <c:pt idx="4">
                  <c:v>Abigaíl Cerdán</c:v>
                </c:pt>
                <c:pt idx="5">
                  <c:v>Abigaíl Pareja</c:v>
                </c:pt>
                <c:pt idx="6">
                  <c:v>Abigaíl Zabaleta</c:v>
                </c:pt>
                <c:pt idx="7">
                  <c:v>Abilio Bermejo</c:v>
                </c:pt>
                <c:pt idx="8">
                  <c:v>Abilio Gaya</c:v>
                </c:pt>
                <c:pt idx="9">
                  <c:v>Abilio Piquer</c:v>
                </c:pt>
                <c:pt idx="10">
                  <c:v>Abilio Serrano</c:v>
                </c:pt>
                <c:pt idx="11">
                  <c:v>Abraham Llanos</c:v>
                </c:pt>
                <c:pt idx="12">
                  <c:v>Abril Amat</c:v>
                </c:pt>
                <c:pt idx="13">
                  <c:v>Abril Cañizares</c:v>
                </c:pt>
                <c:pt idx="14">
                  <c:v>Abril Cuesta</c:v>
                </c:pt>
                <c:pt idx="15">
                  <c:v>Abril Lobato</c:v>
                </c:pt>
                <c:pt idx="16">
                  <c:v>Abril Macías</c:v>
                </c:pt>
                <c:pt idx="17">
                  <c:v>Adalberto Canet</c:v>
                </c:pt>
                <c:pt idx="18">
                  <c:v>Adalberto Pintor</c:v>
                </c:pt>
                <c:pt idx="19">
                  <c:v>Adán Lamas</c:v>
                </c:pt>
                <c:pt idx="20">
                  <c:v>Adán Nogueira</c:v>
                </c:pt>
                <c:pt idx="21">
                  <c:v>Adán Piñeiro</c:v>
                </c:pt>
                <c:pt idx="22">
                  <c:v>Adela Ayala</c:v>
                </c:pt>
                <c:pt idx="23">
                  <c:v>Adela Llorente</c:v>
                </c:pt>
                <c:pt idx="24">
                  <c:v>Adelaida Prieto</c:v>
                </c:pt>
                <c:pt idx="25">
                  <c:v>Adelardo Miró</c:v>
                </c:pt>
                <c:pt idx="26">
                  <c:v>Adelardo Molina</c:v>
                </c:pt>
                <c:pt idx="27">
                  <c:v>Adolfo Carrasco</c:v>
                </c:pt>
                <c:pt idx="28">
                  <c:v>Adolfo Quevedo</c:v>
                </c:pt>
                <c:pt idx="29">
                  <c:v>Adolfo Roman</c:v>
                </c:pt>
                <c:pt idx="30">
                  <c:v>Adoración Alcázar</c:v>
                </c:pt>
                <c:pt idx="31">
                  <c:v>Adrián Molina</c:v>
                </c:pt>
                <c:pt idx="32">
                  <c:v>Adrián Piña</c:v>
                </c:pt>
                <c:pt idx="33">
                  <c:v>Adriana Escrivá</c:v>
                </c:pt>
                <c:pt idx="34">
                  <c:v>Adriana Riba</c:v>
                </c:pt>
                <c:pt idx="35">
                  <c:v>África Escamilla</c:v>
                </c:pt>
                <c:pt idx="36">
                  <c:v>África Fonseca</c:v>
                </c:pt>
                <c:pt idx="37">
                  <c:v>Ágata Calzada</c:v>
                </c:pt>
                <c:pt idx="38">
                  <c:v>Agustina Gracia</c:v>
                </c:pt>
                <c:pt idx="39">
                  <c:v>Ainara Izaguirre</c:v>
                </c:pt>
                <c:pt idx="40">
                  <c:v>Ainara Peralta</c:v>
                </c:pt>
                <c:pt idx="41">
                  <c:v>Aitana Baró</c:v>
                </c:pt>
                <c:pt idx="42">
                  <c:v>Aitor Villanueva</c:v>
                </c:pt>
                <c:pt idx="43">
                  <c:v>Alba Campo</c:v>
                </c:pt>
                <c:pt idx="44">
                  <c:v>Alba Guillen</c:v>
                </c:pt>
                <c:pt idx="45">
                  <c:v>Alba Guitart</c:v>
                </c:pt>
                <c:pt idx="46">
                  <c:v>Alba Rojas</c:v>
                </c:pt>
                <c:pt idx="47">
                  <c:v>Albano Solana</c:v>
                </c:pt>
                <c:pt idx="48">
                  <c:v>Albert Pujol</c:v>
                </c:pt>
                <c:pt idx="49">
                  <c:v>Alberto Cañas</c:v>
                </c:pt>
                <c:pt idx="50">
                  <c:v>Albina Hidalgo</c:v>
                </c:pt>
                <c:pt idx="51">
                  <c:v>Albina Soler</c:v>
                </c:pt>
                <c:pt idx="52">
                  <c:v>Albino Alfaro</c:v>
                </c:pt>
                <c:pt idx="53">
                  <c:v>Albino Viana</c:v>
                </c:pt>
                <c:pt idx="54">
                  <c:v>Alcides Morata</c:v>
                </c:pt>
                <c:pt idx="55">
                  <c:v>Ale Silva</c:v>
                </c:pt>
                <c:pt idx="56">
                  <c:v>Alejandra Villa</c:v>
                </c:pt>
                <c:pt idx="57">
                  <c:v>Alejandro Merino</c:v>
                </c:pt>
                <c:pt idx="58">
                  <c:v>Alejo Carrasco</c:v>
                </c:pt>
                <c:pt idx="59">
                  <c:v>Alejo Gallo</c:v>
                </c:pt>
                <c:pt idx="60">
                  <c:v>Alex Campillo</c:v>
                </c:pt>
                <c:pt idx="61">
                  <c:v>Alex Campos</c:v>
                </c:pt>
                <c:pt idx="62">
                  <c:v>Alex Herrero</c:v>
                </c:pt>
                <c:pt idx="63">
                  <c:v>Alex Zapata</c:v>
                </c:pt>
                <c:pt idx="64">
                  <c:v>Alfredo Almeida</c:v>
                </c:pt>
                <c:pt idx="65">
                  <c:v>Alfredo Palacios</c:v>
                </c:pt>
                <c:pt idx="66">
                  <c:v>Alfredo Pomares</c:v>
                </c:pt>
                <c:pt idx="67">
                  <c:v>Alicia Aroca</c:v>
                </c:pt>
                <c:pt idx="68">
                  <c:v>Alicia Cadenas</c:v>
                </c:pt>
                <c:pt idx="69">
                  <c:v>Alma Macías</c:v>
                </c:pt>
                <c:pt idx="70">
                  <c:v>Alma Rosselló</c:v>
                </c:pt>
                <c:pt idx="71">
                  <c:v>Almudena Muro</c:v>
                </c:pt>
                <c:pt idx="72">
                  <c:v>Almudena Sancho</c:v>
                </c:pt>
                <c:pt idx="73">
                  <c:v>Almudena Seco</c:v>
                </c:pt>
                <c:pt idx="74">
                  <c:v>Almudena Uribe</c:v>
                </c:pt>
                <c:pt idx="75">
                  <c:v>Alonso Cabañas</c:v>
                </c:pt>
                <c:pt idx="76">
                  <c:v>Alonso Esparza</c:v>
                </c:pt>
                <c:pt idx="77">
                  <c:v>Alonso Moreno</c:v>
                </c:pt>
                <c:pt idx="78">
                  <c:v>Álvaro Vallés</c:v>
                </c:pt>
                <c:pt idx="79">
                  <c:v>Amada Moya</c:v>
                </c:pt>
                <c:pt idx="80">
                  <c:v>Amado Antúnez</c:v>
                </c:pt>
                <c:pt idx="81">
                  <c:v>Amado Bilbao</c:v>
                </c:pt>
                <c:pt idx="82">
                  <c:v>Amado Vega</c:v>
                </c:pt>
                <c:pt idx="83">
                  <c:v>Amador Pintor</c:v>
                </c:pt>
                <c:pt idx="84">
                  <c:v>Amalia Badía</c:v>
                </c:pt>
                <c:pt idx="85">
                  <c:v>Amalia Herranz</c:v>
                </c:pt>
                <c:pt idx="86">
                  <c:v>Amancio Canet</c:v>
                </c:pt>
                <c:pt idx="87">
                  <c:v>Amancio Nogueira</c:v>
                </c:pt>
                <c:pt idx="88">
                  <c:v>Amancio Pozuelo</c:v>
                </c:pt>
                <c:pt idx="89">
                  <c:v>Amancio Trillo</c:v>
                </c:pt>
                <c:pt idx="90">
                  <c:v>Amanda Raya</c:v>
                </c:pt>
                <c:pt idx="91">
                  <c:v>Amando Montes</c:v>
                </c:pt>
                <c:pt idx="92">
                  <c:v>Amaro Simó</c:v>
                </c:pt>
                <c:pt idx="93">
                  <c:v>Amaya Criado</c:v>
                </c:pt>
                <c:pt idx="94">
                  <c:v>Amaya Duque</c:v>
                </c:pt>
                <c:pt idx="95">
                  <c:v>Amaya Mesa</c:v>
                </c:pt>
                <c:pt idx="96">
                  <c:v>Ámbar Albero</c:v>
                </c:pt>
                <c:pt idx="97">
                  <c:v>Ámbar Roman</c:v>
                </c:pt>
                <c:pt idx="98">
                  <c:v>Ámbar Sanz</c:v>
                </c:pt>
                <c:pt idx="99">
                  <c:v>Ambrosio Castrillo</c:v>
                </c:pt>
                <c:pt idx="100">
                  <c:v>Amelia Bartolomé</c:v>
                </c:pt>
                <c:pt idx="101">
                  <c:v>Amelia Bernad</c:v>
                </c:pt>
                <c:pt idx="102">
                  <c:v>Amelia Sales</c:v>
                </c:pt>
                <c:pt idx="103">
                  <c:v>Amílcar Prada</c:v>
                </c:pt>
                <c:pt idx="104">
                  <c:v>Amor Figueroa</c:v>
                </c:pt>
                <c:pt idx="105">
                  <c:v>Amor Zamora</c:v>
                </c:pt>
                <c:pt idx="106">
                  <c:v>Amparo Zurita</c:v>
                </c:pt>
                <c:pt idx="107">
                  <c:v>Ana Sofía Botella</c:v>
                </c:pt>
                <c:pt idx="108">
                  <c:v>Anacleto Fiol</c:v>
                </c:pt>
                <c:pt idx="109">
                  <c:v>Anacleto Garay</c:v>
                </c:pt>
                <c:pt idx="110">
                  <c:v>Anastasio Antúnez</c:v>
                </c:pt>
                <c:pt idx="111">
                  <c:v>Anastasio Bernal</c:v>
                </c:pt>
                <c:pt idx="112">
                  <c:v>Anastasio Izquierdo</c:v>
                </c:pt>
                <c:pt idx="113">
                  <c:v>Anastasio Pallarès</c:v>
                </c:pt>
                <c:pt idx="114">
                  <c:v>Andrea Mayo</c:v>
                </c:pt>
                <c:pt idx="115">
                  <c:v>Andrés Felipe Rivera</c:v>
                </c:pt>
                <c:pt idx="116">
                  <c:v>Andrés Felipe Tejedor</c:v>
                </c:pt>
                <c:pt idx="117">
                  <c:v>Ángel Dueñas</c:v>
                </c:pt>
                <c:pt idx="118">
                  <c:v>Ángela Asensio</c:v>
                </c:pt>
                <c:pt idx="119">
                  <c:v>Ángela Barón</c:v>
                </c:pt>
                <c:pt idx="120">
                  <c:v>Ángela Samper</c:v>
                </c:pt>
                <c:pt idx="121">
                  <c:v>Ángeles Neira</c:v>
                </c:pt>
                <c:pt idx="122">
                  <c:v>Angélica Carrasco</c:v>
                </c:pt>
                <c:pt idx="123">
                  <c:v>Angélica Coronado</c:v>
                </c:pt>
                <c:pt idx="124">
                  <c:v>Angélica Ledesma</c:v>
                </c:pt>
                <c:pt idx="125">
                  <c:v>Angelino Andreu</c:v>
                </c:pt>
                <c:pt idx="126">
                  <c:v>Angelita Araujo</c:v>
                </c:pt>
                <c:pt idx="127">
                  <c:v>Angelita Borrell</c:v>
                </c:pt>
                <c:pt idx="128">
                  <c:v>Angelita Feijoo</c:v>
                </c:pt>
                <c:pt idx="129">
                  <c:v>Angelita Gras</c:v>
                </c:pt>
                <c:pt idx="130">
                  <c:v>Angelita Múñiz</c:v>
                </c:pt>
                <c:pt idx="131">
                  <c:v>Angelita Palomares</c:v>
                </c:pt>
                <c:pt idx="132">
                  <c:v>Angelita Tomé</c:v>
                </c:pt>
                <c:pt idx="133">
                  <c:v>Ani Abascal</c:v>
                </c:pt>
                <c:pt idx="134">
                  <c:v>Ani Clavero</c:v>
                </c:pt>
                <c:pt idx="135">
                  <c:v>Ani Hoz</c:v>
                </c:pt>
                <c:pt idx="136">
                  <c:v>Aníbal Marí</c:v>
                </c:pt>
                <c:pt idx="137">
                  <c:v>Anselma Canales</c:v>
                </c:pt>
                <c:pt idx="138">
                  <c:v>Anselma Viana</c:v>
                </c:pt>
                <c:pt idx="139">
                  <c:v>Anselmo Bermudez</c:v>
                </c:pt>
                <c:pt idx="140">
                  <c:v>Antonia Pintor</c:v>
                </c:pt>
                <c:pt idx="141">
                  <c:v>Antonio Arce</c:v>
                </c:pt>
                <c:pt idx="142">
                  <c:v>Antonio Mesa</c:v>
                </c:pt>
                <c:pt idx="143">
                  <c:v>Antonio Palomo</c:v>
                </c:pt>
                <c:pt idx="144">
                  <c:v>Antonio Pujadas</c:v>
                </c:pt>
                <c:pt idx="145">
                  <c:v>Anunciación Gallardo</c:v>
                </c:pt>
                <c:pt idx="146">
                  <c:v>Apolinar Andres</c:v>
                </c:pt>
                <c:pt idx="147">
                  <c:v>Apolinar Castellanos</c:v>
                </c:pt>
                <c:pt idx="148">
                  <c:v>Apolinar Páez</c:v>
                </c:pt>
                <c:pt idx="149">
                  <c:v>Araceli Doménech</c:v>
                </c:pt>
                <c:pt idx="150">
                  <c:v>Araceli Jaume</c:v>
                </c:pt>
                <c:pt idx="151">
                  <c:v>Aránzazu Acevedo</c:v>
                </c:pt>
                <c:pt idx="152">
                  <c:v>Arcelia Figueroa</c:v>
                </c:pt>
                <c:pt idx="153">
                  <c:v>Arcelia Trillo</c:v>
                </c:pt>
                <c:pt idx="154">
                  <c:v>Ariadna Campo</c:v>
                </c:pt>
                <c:pt idx="155">
                  <c:v>Ariadna Somoza</c:v>
                </c:pt>
                <c:pt idx="156">
                  <c:v>Ariel Lillo</c:v>
                </c:pt>
                <c:pt idx="157">
                  <c:v>Aristides Ángel</c:v>
                </c:pt>
                <c:pt idx="158">
                  <c:v>Armando Alberola</c:v>
                </c:pt>
                <c:pt idx="159">
                  <c:v>Armando Canales</c:v>
                </c:pt>
                <c:pt idx="160">
                  <c:v>Armida Criado</c:v>
                </c:pt>
                <c:pt idx="161">
                  <c:v>Aroa Cueto</c:v>
                </c:pt>
                <c:pt idx="162">
                  <c:v>Arsenio Pera</c:v>
                </c:pt>
                <c:pt idx="163">
                  <c:v>Arturo Jaume</c:v>
                </c:pt>
                <c:pt idx="164">
                  <c:v>Arturo Narváez</c:v>
                </c:pt>
                <c:pt idx="165">
                  <c:v>Ascensión Alemán</c:v>
                </c:pt>
                <c:pt idx="166">
                  <c:v>Asdrubal Busquets</c:v>
                </c:pt>
                <c:pt idx="167">
                  <c:v>Atilio Barbero</c:v>
                </c:pt>
                <c:pt idx="168">
                  <c:v>Atilio Valenciano</c:v>
                </c:pt>
                <c:pt idx="169">
                  <c:v>Augusto Nicolau</c:v>
                </c:pt>
                <c:pt idx="170">
                  <c:v>Aura Armengol</c:v>
                </c:pt>
                <c:pt idx="171">
                  <c:v>Aura Roma</c:v>
                </c:pt>
                <c:pt idx="172">
                  <c:v>Áurea Morante</c:v>
                </c:pt>
                <c:pt idx="173">
                  <c:v>Áurea Quirós</c:v>
                </c:pt>
                <c:pt idx="174">
                  <c:v>Áurea Vaquero</c:v>
                </c:pt>
                <c:pt idx="175">
                  <c:v>Aureliano Alemán</c:v>
                </c:pt>
                <c:pt idx="176">
                  <c:v>Aureliano Pardo</c:v>
                </c:pt>
                <c:pt idx="177">
                  <c:v>Aureliano Rueda</c:v>
                </c:pt>
                <c:pt idx="178">
                  <c:v>Aurelio Cabañas</c:v>
                </c:pt>
                <c:pt idx="179">
                  <c:v>Aurelio Ferrera</c:v>
                </c:pt>
                <c:pt idx="180">
                  <c:v>Aurelio Peña</c:v>
                </c:pt>
                <c:pt idx="181">
                  <c:v>Aurora Tena</c:v>
                </c:pt>
                <c:pt idx="182">
                  <c:v>Azahar Arjona</c:v>
                </c:pt>
                <c:pt idx="183">
                  <c:v>Azahar Barrera</c:v>
                </c:pt>
                <c:pt idx="184">
                  <c:v>Azahar Benavides</c:v>
                </c:pt>
                <c:pt idx="185">
                  <c:v>Azahar Casares</c:v>
                </c:pt>
                <c:pt idx="186">
                  <c:v>Azahara Saldaña</c:v>
                </c:pt>
                <c:pt idx="187">
                  <c:v>Azucena Cuéllar</c:v>
                </c:pt>
                <c:pt idx="188">
                  <c:v>Baldomero Otero</c:v>
                </c:pt>
                <c:pt idx="189">
                  <c:v>Balduino Coca</c:v>
                </c:pt>
                <c:pt idx="190">
                  <c:v>Balduino Laguna</c:v>
                </c:pt>
                <c:pt idx="191">
                  <c:v>Bárbara Ferrera</c:v>
                </c:pt>
                <c:pt idx="192">
                  <c:v>Bárbara Iriarte</c:v>
                </c:pt>
                <c:pt idx="193">
                  <c:v>Bárbara Múñiz</c:v>
                </c:pt>
                <c:pt idx="194">
                  <c:v>Bartolomé Diéguez</c:v>
                </c:pt>
                <c:pt idx="195">
                  <c:v>Basilio Luís</c:v>
                </c:pt>
                <c:pt idx="196">
                  <c:v>Baudelio Ricart</c:v>
                </c:pt>
                <c:pt idx="197">
                  <c:v>Bautista Sanmartín</c:v>
                </c:pt>
                <c:pt idx="198">
                  <c:v>Beatriz Baena</c:v>
                </c:pt>
                <c:pt idx="199">
                  <c:v>Beatriz Campoy</c:v>
                </c:pt>
                <c:pt idx="200">
                  <c:v>Beatriz Expósito</c:v>
                </c:pt>
                <c:pt idx="201">
                  <c:v>Beatriz Gimeno</c:v>
                </c:pt>
                <c:pt idx="202">
                  <c:v>Beatriz Peralta</c:v>
                </c:pt>
                <c:pt idx="203">
                  <c:v>Beatriz Sancho</c:v>
                </c:pt>
                <c:pt idx="204">
                  <c:v>Begoña Blanco</c:v>
                </c:pt>
                <c:pt idx="205">
                  <c:v>Begoña Cabeza</c:v>
                </c:pt>
                <c:pt idx="206">
                  <c:v>Belén Cabanillas</c:v>
                </c:pt>
                <c:pt idx="207">
                  <c:v>Belen Losada</c:v>
                </c:pt>
                <c:pt idx="208">
                  <c:v>Belen Marin</c:v>
                </c:pt>
                <c:pt idx="209">
                  <c:v>Belen Millán</c:v>
                </c:pt>
                <c:pt idx="210">
                  <c:v>Benigna Ayllón</c:v>
                </c:pt>
                <c:pt idx="211">
                  <c:v>Benigna Recio</c:v>
                </c:pt>
                <c:pt idx="212">
                  <c:v>Benita Bello</c:v>
                </c:pt>
                <c:pt idx="213">
                  <c:v>Benita Salas</c:v>
                </c:pt>
                <c:pt idx="214">
                  <c:v>Benjamín Nogués</c:v>
                </c:pt>
                <c:pt idx="215">
                  <c:v>Bernabé Gómez</c:v>
                </c:pt>
                <c:pt idx="216">
                  <c:v>Bernabé Mercader</c:v>
                </c:pt>
                <c:pt idx="217">
                  <c:v>Bernarda Heras</c:v>
                </c:pt>
                <c:pt idx="218">
                  <c:v>Bernarda Lerma</c:v>
                </c:pt>
                <c:pt idx="219">
                  <c:v>Bernardino Cortés</c:v>
                </c:pt>
                <c:pt idx="220">
                  <c:v>Bernardo Arranz</c:v>
                </c:pt>
                <c:pt idx="221">
                  <c:v>Bernardo Blanes</c:v>
                </c:pt>
                <c:pt idx="222">
                  <c:v>Bernardo Domingo</c:v>
                </c:pt>
                <c:pt idx="223">
                  <c:v>Bernardo Escamilla</c:v>
                </c:pt>
                <c:pt idx="224">
                  <c:v>Bernardo Ramirez</c:v>
                </c:pt>
                <c:pt idx="225">
                  <c:v>Bernardo Ros</c:v>
                </c:pt>
                <c:pt idx="226">
                  <c:v>Berto Gomila</c:v>
                </c:pt>
                <c:pt idx="227">
                  <c:v>Bibiana Comas</c:v>
                </c:pt>
                <c:pt idx="228">
                  <c:v>Bibiana Ruano</c:v>
                </c:pt>
                <c:pt idx="229">
                  <c:v>Bienvenida Alemany</c:v>
                </c:pt>
                <c:pt idx="230">
                  <c:v>Bienvenida Garrido</c:v>
                </c:pt>
                <c:pt idx="231">
                  <c:v>Blanca Ayala</c:v>
                </c:pt>
                <c:pt idx="232">
                  <c:v>Blanca Jover</c:v>
                </c:pt>
                <c:pt idx="233">
                  <c:v>Blanca Sarmiento</c:v>
                </c:pt>
                <c:pt idx="234">
                  <c:v>Blas Amaya</c:v>
                </c:pt>
                <c:pt idx="235">
                  <c:v>Borja Aguilera</c:v>
                </c:pt>
                <c:pt idx="236">
                  <c:v>Borja Cervera</c:v>
                </c:pt>
                <c:pt idx="237">
                  <c:v>Borja Serna</c:v>
                </c:pt>
                <c:pt idx="238">
                  <c:v>Borja Solsona</c:v>
                </c:pt>
                <c:pt idx="239">
                  <c:v>Brígida Espejo</c:v>
                </c:pt>
                <c:pt idx="240">
                  <c:v>Brígida Oliva</c:v>
                </c:pt>
                <c:pt idx="241">
                  <c:v>Brígida Roca</c:v>
                </c:pt>
                <c:pt idx="242">
                  <c:v>Brunilda Cadenas</c:v>
                </c:pt>
                <c:pt idx="243">
                  <c:v>Brunilda Cuevas</c:v>
                </c:pt>
                <c:pt idx="244">
                  <c:v>Brunilda Llano</c:v>
                </c:pt>
                <c:pt idx="245">
                  <c:v>Brunilda Sales</c:v>
                </c:pt>
                <c:pt idx="246">
                  <c:v>Brunilda Sancho</c:v>
                </c:pt>
                <c:pt idx="247">
                  <c:v>Bruno Parra</c:v>
                </c:pt>
                <c:pt idx="248">
                  <c:v>Calista Alvarado</c:v>
                </c:pt>
                <c:pt idx="249">
                  <c:v>Calista Chaves</c:v>
                </c:pt>
                <c:pt idx="250">
                  <c:v>Calista Clavero</c:v>
                </c:pt>
                <c:pt idx="251">
                  <c:v>Calixto Valderrama</c:v>
                </c:pt>
                <c:pt idx="252">
                  <c:v>Camila Sebastián</c:v>
                </c:pt>
                <c:pt idx="253">
                  <c:v>Camilo Pozuelo</c:v>
                </c:pt>
                <c:pt idx="254">
                  <c:v>Candela Carrera</c:v>
                </c:pt>
                <c:pt idx="255">
                  <c:v>Candelario Terrón</c:v>
                </c:pt>
                <c:pt idx="256">
                  <c:v>Candelas Riquelme</c:v>
                </c:pt>
                <c:pt idx="257">
                  <c:v>Cándida Santana</c:v>
                </c:pt>
                <c:pt idx="258">
                  <c:v>Cándido Bautista</c:v>
                </c:pt>
                <c:pt idx="259">
                  <c:v>Cándido Corbacho</c:v>
                </c:pt>
                <c:pt idx="260">
                  <c:v>Caridad Ariño</c:v>
                </c:pt>
                <c:pt idx="261">
                  <c:v>Carla Albero</c:v>
                </c:pt>
                <c:pt idx="262">
                  <c:v>Carla Zamorano</c:v>
                </c:pt>
                <c:pt idx="263">
                  <c:v>Carlito Goicoechea</c:v>
                </c:pt>
                <c:pt idx="264">
                  <c:v>Carlos Carretero</c:v>
                </c:pt>
                <c:pt idx="265">
                  <c:v>Carlos Estévez</c:v>
                </c:pt>
                <c:pt idx="266">
                  <c:v>Carlos Gallart</c:v>
                </c:pt>
                <c:pt idx="267">
                  <c:v>Carlota Piña</c:v>
                </c:pt>
                <c:pt idx="268">
                  <c:v>Carmela Cerezo</c:v>
                </c:pt>
                <c:pt idx="269">
                  <c:v>Carmela Pou</c:v>
                </c:pt>
                <c:pt idx="270">
                  <c:v>Carmela Vélez</c:v>
                </c:pt>
                <c:pt idx="271">
                  <c:v>Carmelita Guardia</c:v>
                </c:pt>
                <c:pt idx="272">
                  <c:v>Carmelo Pablo</c:v>
                </c:pt>
                <c:pt idx="273">
                  <c:v>Carmelo Sevilla</c:v>
                </c:pt>
                <c:pt idx="274">
                  <c:v>Carmelo Torrijos</c:v>
                </c:pt>
                <c:pt idx="275">
                  <c:v>Carmina Calvet</c:v>
                </c:pt>
                <c:pt idx="276">
                  <c:v>Carmina Mate</c:v>
                </c:pt>
                <c:pt idx="277">
                  <c:v>Carolina Acedo</c:v>
                </c:pt>
                <c:pt idx="278">
                  <c:v>Casandra Calderón</c:v>
                </c:pt>
                <c:pt idx="279">
                  <c:v>Casandra Rocamora</c:v>
                </c:pt>
                <c:pt idx="280">
                  <c:v>Casandra Salcedo</c:v>
                </c:pt>
                <c:pt idx="281">
                  <c:v>Casemiro Sastre</c:v>
                </c:pt>
                <c:pt idx="282">
                  <c:v>Catalina Vara</c:v>
                </c:pt>
                <c:pt idx="283">
                  <c:v>Cayetana Alegria</c:v>
                </c:pt>
                <c:pt idx="284">
                  <c:v>Cayetana Madrid</c:v>
                </c:pt>
                <c:pt idx="285">
                  <c:v>Cayetana Pineda</c:v>
                </c:pt>
                <c:pt idx="286">
                  <c:v>Cayetano Colomer</c:v>
                </c:pt>
                <c:pt idx="287">
                  <c:v>Cayetano Valcárcel</c:v>
                </c:pt>
                <c:pt idx="288">
                  <c:v>Cebrián Cornejo</c:v>
                </c:pt>
                <c:pt idx="289">
                  <c:v>Cecilia Almagro</c:v>
                </c:pt>
                <c:pt idx="290">
                  <c:v>Cecilio Casal</c:v>
                </c:pt>
                <c:pt idx="291">
                  <c:v>Cecilio Flor</c:v>
                </c:pt>
                <c:pt idx="292">
                  <c:v>Ceferino Castejón</c:v>
                </c:pt>
                <c:pt idx="293">
                  <c:v>Ceferino Cortes</c:v>
                </c:pt>
                <c:pt idx="294">
                  <c:v>Ceferino Manzano</c:v>
                </c:pt>
                <c:pt idx="295">
                  <c:v>Ceferino Merino</c:v>
                </c:pt>
                <c:pt idx="296">
                  <c:v>Celestino Collado</c:v>
                </c:pt>
                <c:pt idx="297">
                  <c:v>Celia Goicoechea</c:v>
                </c:pt>
                <c:pt idx="298">
                  <c:v>Celia Zamorano</c:v>
                </c:pt>
                <c:pt idx="299">
                  <c:v>Celia Zapata</c:v>
                </c:pt>
                <c:pt idx="300">
                  <c:v>Celso Vaquero</c:v>
                </c:pt>
                <c:pt idx="301">
                  <c:v>Celso Viña</c:v>
                </c:pt>
                <c:pt idx="302">
                  <c:v>Cesar Arnau</c:v>
                </c:pt>
                <c:pt idx="303">
                  <c:v>Cesar Jara</c:v>
                </c:pt>
                <c:pt idx="304">
                  <c:v>Cesar Sabater</c:v>
                </c:pt>
                <c:pt idx="305">
                  <c:v>Charo Baeza</c:v>
                </c:pt>
                <c:pt idx="306">
                  <c:v>Charo Fortuny</c:v>
                </c:pt>
                <c:pt idx="307">
                  <c:v>Charo Puerta</c:v>
                </c:pt>
                <c:pt idx="308">
                  <c:v>Che Calleja</c:v>
                </c:pt>
                <c:pt idx="309">
                  <c:v>Che Carreño</c:v>
                </c:pt>
                <c:pt idx="310">
                  <c:v>Chelo Ferrero</c:v>
                </c:pt>
                <c:pt idx="311">
                  <c:v>Chema Arco</c:v>
                </c:pt>
                <c:pt idx="312">
                  <c:v>Chucho Castell</c:v>
                </c:pt>
                <c:pt idx="313">
                  <c:v>Chus Acuña</c:v>
                </c:pt>
                <c:pt idx="314">
                  <c:v>Chus Burgos</c:v>
                </c:pt>
                <c:pt idx="315">
                  <c:v>Chus Guitart</c:v>
                </c:pt>
                <c:pt idx="316">
                  <c:v>Chuy Amo</c:v>
                </c:pt>
                <c:pt idx="317">
                  <c:v>Chuy Carrión</c:v>
                </c:pt>
                <c:pt idx="318">
                  <c:v>Cintia Baró</c:v>
                </c:pt>
                <c:pt idx="319">
                  <c:v>Cintia Montalbán</c:v>
                </c:pt>
                <c:pt idx="320">
                  <c:v>Cipriano Anaya</c:v>
                </c:pt>
                <c:pt idx="321">
                  <c:v>Ciriaco Campos</c:v>
                </c:pt>
                <c:pt idx="322">
                  <c:v>Ciriaco Cuéllar</c:v>
                </c:pt>
                <c:pt idx="323">
                  <c:v>Cirino Salom</c:v>
                </c:pt>
                <c:pt idx="324">
                  <c:v>Clara Jordá</c:v>
                </c:pt>
                <c:pt idx="325">
                  <c:v>Clara Solera</c:v>
                </c:pt>
                <c:pt idx="326">
                  <c:v>Claudia Montalbán</c:v>
                </c:pt>
                <c:pt idx="327">
                  <c:v>Claudia Perales</c:v>
                </c:pt>
                <c:pt idx="328">
                  <c:v>Claudia Reyes</c:v>
                </c:pt>
                <c:pt idx="329">
                  <c:v>Claudio Caparrós</c:v>
                </c:pt>
                <c:pt idx="330">
                  <c:v>Clemente Ramis</c:v>
                </c:pt>
                <c:pt idx="331">
                  <c:v>Clímaco Mateu</c:v>
                </c:pt>
                <c:pt idx="332">
                  <c:v>Cloe Arce</c:v>
                </c:pt>
                <c:pt idx="333">
                  <c:v>Cloe Beltran</c:v>
                </c:pt>
                <c:pt idx="334">
                  <c:v>Cloe Falcón</c:v>
                </c:pt>
                <c:pt idx="335">
                  <c:v>Cloe Mariño</c:v>
                </c:pt>
                <c:pt idx="336">
                  <c:v>Clotilde Baños</c:v>
                </c:pt>
                <c:pt idx="337">
                  <c:v>Concepción Jáuregui</c:v>
                </c:pt>
                <c:pt idx="338">
                  <c:v>Concepción Pelayo</c:v>
                </c:pt>
                <c:pt idx="339">
                  <c:v>Concha Colom</c:v>
                </c:pt>
                <c:pt idx="340">
                  <c:v>Concha Farré</c:v>
                </c:pt>
                <c:pt idx="341">
                  <c:v>Concha Marin</c:v>
                </c:pt>
                <c:pt idx="342">
                  <c:v>Concha Sabater</c:v>
                </c:pt>
                <c:pt idx="343">
                  <c:v>Conrado Montes</c:v>
                </c:pt>
                <c:pt idx="344">
                  <c:v>Constanza Iñiguez</c:v>
                </c:pt>
                <c:pt idx="345">
                  <c:v>Constanza Nieto</c:v>
                </c:pt>
                <c:pt idx="346">
                  <c:v>Constanza Santana</c:v>
                </c:pt>
                <c:pt idx="347">
                  <c:v>Consuelo Seco</c:v>
                </c:pt>
                <c:pt idx="348">
                  <c:v>Coral Lozano</c:v>
                </c:pt>
                <c:pt idx="349">
                  <c:v>Coral Varela</c:v>
                </c:pt>
                <c:pt idx="350">
                  <c:v>Cornelio Antúnez</c:v>
                </c:pt>
                <c:pt idx="351">
                  <c:v>Corona Merino</c:v>
                </c:pt>
                <c:pt idx="352">
                  <c:v>Cosme Gual</c:v>
                </c:pt>
                <c:pt idx="353">
                  <c:v>Cosme Porcel</c:v>
                </c:pt>
                <c:pt idx="354">
                  <c:v>Cosme Valcárcel</c:v>
                </c:pt>
                <c:pt idx="355">
                  <c:v>Crescencia Baena</c:v>
                </c:pt>
                <c:pt idx="356">
                  <c:v>Crescencia Rivero</c:v>
                </c:pt>
                <c:pt idx="357">
                  <c:v>Cristian García</c:v>
                </c:pt>
                <c:pt idx="358">
                  <c:v>Cristian Mas</c:v>
                </c:pt>
                <c:pt idx="359">
                  <c:v>Cristian Miró</c:v>
                </c:pt>
                <c:pt idx="360">
                  <c:v>Cristian Palau</c:v>
                </c:pt>
                <c:pt idx="361">
                  <c:v>Cristian Roca</c:v>
                </c:pt>
                <c:pt idx="362">
                  <c:v>Cristina Canet</c:v>
                </c:pt>
                <c:pt idx="363">
                  <c:v>Cristina Porta</c:v>
                </c:pt>
                <c:pt idx="364">
                  <c:v>Cristóbal Cañizares</c:v>
                </c:pt>
                <c:pt idx="365">
                  <c:v>Cristóbal García</c:v>
                </c:pt>
                <c:pt idx="366">
                  <c:v>Cristóbal Santamaria</c:v>
                </c:pt>
                <c:pt idx="367">
                  <c:v>Cruz Conde</c:v>
                </c:pt>
                <c:pt idx="368">
                  <c:v>Cruz Guardiola</c:v>
                </c:pt>
                <c:pt idx="369">
                  <c:v>Cruz Oller</c:v>
                </c:pt>
                <c:pt idx="370">
                  <c:v>Cruz Reguera</c:v>
                </c:pt>
                <c:pt idx="371">
                  <c:v>Cruz Varela</c:v>
                </c:pt>
                <c:pt idx="372">
                  <c:v>Curro Campillo</c:v>
                </c:pt>
                <c:pt idx="373">
                  <c:v>Curro Rodríguez</c:v>
                </c:pt>
                <c:pt idx="374">
                  <c:v>Custodia Perales</c:v>
                </c:pt>
                <c:pt idx="375">
                  <c:v>Dafne Requena</c:v>
                </c:pt>
                <c:pt idx="376">
                  <c:v>Dalila Campoy</c:v>
                </c:pt>
                <c:pt idx="377">
                  <c:v>Dalila Hidalgo</c:v>
                </c:pt>
                <c:pt idx="378">
                  <c:v>Damián Pedrero</c:v>
                </c:pt>
                <c:pt idx="379">
                  <c:v>Dan Castellanos</c:v>
                </c:pt>
                <c:pt idx="380">
                  <c:v>Dan Pineda</c:v>
                </c:pt>
                <c:pt idx="381">
                  <c:v>Dani Beltrán</c:v>
                </c:pt>
                <c:pt idx="382">
                  <c:v>Dani Peñas</c:v>
                </c:pt>
                <c:pt idx="383">
                  <c:v>Dani Río</c:v>
                </c:pt>
                <c:pt idx="384">
                  <c:v>Dani Viana</c:v>
                </c:pt>
                <c:pt idx="385">
                  <c:v>Daniela Cabezas</c:v>
                </c:pt>
                <c:pt idx="386">
                  <c:v>Danilo Guardia</c:v>
                </c:pt>
                <c:pt idx="387">
                  <c:v>Darío Jiménez</c:v>
                </c:pt>
                <c:pt idx="388">
                  <c:v>David Aliaga</c:v>
                </c:pt>
                <c:pt idx="389">
                  <c:v>David Cisneros</c:v>
                </c:pt>
                <c:pt idx="390">
                  <c:v>David Donoso</c:v>
                </c:pt>
                <c:pt idx="391">
                  <c:v>Delfina Ariza</c:v>
                </c:pt>
                <c:pt idx="392">
                  <c:v>Delfina Arnau</c:v>
                </c:pt>
                <c:pt idx="393">
                  <c:v>Delfina Chamorro</c:v>
                </c:pt>
                <c:pt idx="394">
                  <c:v>Delfina Giménez</c:v>
                </c:pt>
                <c:pt idx="395">
                  <c:v>Delfina Saldaña</c:v>
                </c:pt>
                <c:pt idx="396">
                  <c:v>Delia Julián</c:v>
                </c:pt>
                <c:pt idx="397">
                  <c:v>Delia Uribe</c:v>
                </c:pt>
                <c:pt idx="398">
                  <c:v>Demetrio Cabañas</c:v>
                </c:pt>
                <c:pt idx="399">
                  <c:v>Desiderio Quintanilla</c:v>
                </c:pt>
                <c:pt idx="400">
                  <c:v>Diana Lastra</c:v>
                </c:pt>
                <c:pt idx="401">
                  <c:v>Diana Perera</c:v>
                </c:pt>
                <c:pt idx="402">
                  <c:v>Diego Alcázar</c:v>
                </c:pt>
                <c:pt idx="403">
                  <c:v>Diego Gisbert</c:v>
                </c:pt>
                <c:pt idx="404">
                  <c:v>Diego Soriano</c:v>
                </c:pt>
                <c:pt idx="405">
                  <c:v>Dimas Burgos</c:v>
                </c:pt>
                <c:pt idx="406">
                  <c:v>Dimas Costa</c:v>
                </c:pt>
                <c:pt idx="407">
                  <c:v>Dimas Dávila</c:v>
                </c:pt>
                <c:pt idx="408">
                  <c:v>Dimas Gimenez</c:v>
                </c:pt>
                <c:pt idx="409">
                  <c:v>Dimas Hoz</c:v>
                </c:pt>
                <c:pt idx="410">
                  <c:v>Dimas Miguel</c:v>
                </c:pt>
                <c:pt idx="411">
                  <c:v>Dionisia Pizarro</c:v>
                </c:pt>
                <c:pt idx="412">
                  <c:v>Dionisio Nieto</c:v>
                </c:pt>
                <c:pt idx="413">
                  <c:v>Dionisio Tapia</c:v>
                </c:pt>
                <c:pt idx="414">
                  <c:v>Dolores Querol</c:v>
                </c:pt>
                <c:pt idx="415">
                  <c:v>Dominga Flor</c:v>
                </c:pt>
                <c:pt idx="416">
                  <c:v>Domingo Iglesias</c:v>
                </c:pt>
                <c:pt idx="417">
                  <c:v>Domingo Lladó</c:v>
                </c:pt>
                <c:pt idx="418">
                  <c:v>Domitila Echeverría</c:v>
                </c:pt>
                <c:pt idx="419">
                  <c:v>Domitila Múñiz</c:v>
                </c:pt>
                <c:pt idx="420">
                  <c:v>Domitila Romeu</c:v>
                </c:pt>
                <c:pt idx="421">
                  <c:v>Donato Gonzalo</c:v>
                </c:pt>
                <c:pt idx="422">
                  <c:v>Donato Llopis</c:v>
                </c:pt>
                <c:pt idx="423">
                  <c:v>Dorita Verdugo</c:v>
                </c:pt>
                <c:pt idx="424">
                  <c:v>Dorotea Gargallo</c:v>
                </c:pt>
                <c:pt idx="425">
                  <c:v>Dorotea Piña</c:v>
                </c:pt>
                <c:pt idx="426">
                  <c:v>Duilio Antón</c:v>
                </c:pt>
                <c:pt idx="427">
                  <c:v>Duilio Larrañaga</c:v>
                </c:pt>
                <c:pt idx="428">
                  <c:v>Dulce Aliaga</c:v>
                </c:pt>
                <c:pt idx="429">
                  <c:v>Dulce Perera</c:v>
                </c:pt>
                <c:pt idx="430">
                  <c:v>Dulce Sobrino</c:v>
                </c:pt>
                <c:pt idx="431">
                  <c:v>Edelmira Baños</c:v>
                </c:pt>
                <c:pt idx="432">
                  <c:v>Edelmira Ferrera</c:v>
                </c:pt>
                <c:pt idx="433">
                  <c:v>Edelmira Gascón</c:v>
                </c:pt>
                <c:pt idx="434">
                  <c:v>Édgar Jimenez</c:v>
                </c:pt>
                <c:pt idx="435">
                  <c:v>Edgardo Lamas</c:v>
                </c:pt>
                <c:pt idx="436">
                  <c:v>Edgardo Rovira</c:v>
                </c:pt>
                <c:pt idx="437">
                  <c:v>Edu Andres</c:v>
                </c:pt>
                <c:pt idx="438">
                  <c:v>Edu Ferrández</c:v>
                </c:pt>
                <c:pt idx="439">
                  <c:v>Eladio Bernat</c:v>
                </c:pt>
                <c:pt idx="440">
                  <c:v>Eladio Chamorro</c:v>
                </c:pt>
                <c:pt idx="441">
                  <c:v>Eladio Reguera</c:v>
                </c:pt>
                <c:pt idx="442">
                  <c:v>Eladio Valencia</c:v>
                </c:pt>
                <c:pt idx="443">
                  <c:v>Elba Yuste</c:v>
                </c:pt>
                <c:pt idx="444">
                  <c:v>Elena Aguirre</c:v>
                </c:pt>
                <c:pt idx="445">
                  <c:v>Elena Gutiérrez</c:v>
                </c:pt>
                <c:pt idx="446">
                  <c:v>Elena Hervia</c:v>
                </c:pt>
                <c:pt idx="447">
                  <c:v>Elena Julián</c:v>
                </c:pt>
                <c:pt idx="448">
                  <c:v>Eleuterio Cerdán</c:v>
                </c:pt>
                <c:pt idx="449">
                  <c:v>Eleuterio Pinto</c:v>
                </c:pt>
                <c:pt idx="450">
                  <c:v>Eli Camps</c:v>
                </c:pt>
                <c:pt idx="451">
                  <c:v>Eli Palomo</c:v>
                </c:pt>
                <c:pt idx="452">
                  <c:v>Eliana Figuerola</c:v>
                </c:pt>
                <c:pt idx="453">
                  <c:v>Eliana Trillo</c:v>
                </c:pt>
                <c:pt idx="454">
                  <c:v>Elías Barberá</c:v>
                </c:pt>
                <c:pt idx="455">
                  <c:v>Elías Mayoral</c:v>
                </c:pt>
                <c:pt idx="456">
                  <c:v>Elisa Gomis</c:v>
                </c:pt>
                <c:pt idx="457">
                  <c:v>Elisa Nogueira</c:v>
                </c:pt>
                <c:pt idx="458">
                  <c:v>Eliseo Plana</c:v>
                </c:pt>
                <c:pt idx="459">
                  <c:v>Elodia Espinosa</c:v>
                </c:pt>
                <c:pt idx="460">
                  <c:v>Elodia Ugarte</c:v>
                </c:pt>
                <c:pt idx="461">
                  <c:v>Eloy Diez</c:v>
                </c:pt>
                <c:pt idx="462">
                  <c:v>Eloy Lobo</c:v>
                </c:pt>
                <c:pt idx="463">
                  <c:v>Eloy Rey</c:v>
                </c:pt>
                <c:pt idx="464">
                  <c:v>Elpidio Oliva</c:v>
                </c:pt>
                <c:pt idx="465">
                  <c:v>Elvira Nebot</c:v>
                </c:pt>
                <c:pt idx="466">
                  <c:v>Elvira Quiroga</c:v>
                </c:pt>
                <c:pt idx="467">
                  <c:v>Ema Moreno</c:v>
                </c:pt>
                <c:pt idx="468">
                  <c:v>Ema Perelló</c:v>
                </c:pt>
                <c:pt idx="469">
                  <c:v>Emilia Aroca</c:v>
                </c:pt>
                <c:pt idx="470">
                  <c:v>Emiliana Sainz</c:v>
                </c:pt>
                <c:pt idx="471">
                  <c:v>Emiliano Blázquez</c:v>
                </c:pt>
                <c:pt idx="472">
                  <c:v>Emiliano Chaparro</c:v>
                </c:pt>
                <c:pt idx="473">
                  <c:v>Emilio Batlle</c:v>
                </c:pt>
                <c:pt idx="474">
                  <c:v>Emilio Cortina</c:v>
                </c:pt>
                <c:pt idx="475">
                  <c:v>Emilio Rebollo</c:v>
                </c:pt>
                <c:pt idx="476">
                  <c:v>Emma Martí</c:v>
                </c:pt>
                <c:pt idx="477">
                  <c:v>Emma Segovia</c:v>
                </c:pt>
                <c:pt idx="478">
                  <c:v>Emperatriz Castro</c:v>
                </c:pt>
                <c:pt idx="479">
                  <c:v>Encarnacion Gual</c:v>
                </c:pt>
                <c:pt idx="480">
                  <c:v>Encarnita Llopis</c:v>
                </c:pt>
                <c:pt idx="481">
                  <c:v>Encarnita Ojeda</c:v>
                </c:pt>
                <c:pt idx="482">
                  <c:v>Encarnita Tirado</c:v>
                </c:pt>
                <c:pt idx="483">
                  <c:v>Enrique Cortina</c:v>
                </c:pt>
                <c:pt idx="484">
                  <c:v>Enrique Hernández</c:v>
                </c:pt>
                <c:pt idx="485">
                  <c:v>Erasmo Caballero</c:v>
                </c:pt>
                <c:pt idx="486">
                  <c:v>Erasmo Seco</c:v>
                </c:pt>
                <c:pt idx="487">
                  <c:v>Eric Roma</c:v>
                </c:pt>
                <c:pt idx="488">
                  <c:v>Ernesto Larrañaga</c:v>
                </c:pt>
                <c:pt idx="489">
                  <c:v>Esperanza Acero</c:v>
                </c:pt>
                <c:pt idx="490">
                  <c:v>Esperanza Ruiz</c:v>
                </c:pt>
                <c:pt idx="491">
                  <c:v>Esperanza Samper</c:v>
                </c:pt>
                <c:pt idx="492">
                  <c:v>Espiridión Bonet</c:v>
                </c:pt>
                <c:pt idx="493">
                  <c:v>Esteban Expósito</c:v>
                </c:pt>
                <c:pt idx="494">
                  <c:v>Estela Canet</c:v>
                </c:pt>
                <c:pt idx="495">
                  <c:v>Ester Campo</c:v>
                </c:pt>
                <c:pt idx="496">
                  <c:v>Ester Pino</c:v>
                </c:pt>
                <c:pt idx="497">
                  <c:v>Estrella Molina</c:v>
                </c:pt>
                <c:pt idx="498">
                  <c:v>Estrella Sabater</c:v>
                </c:pt>
                <c:pt idx="499">
                  <c:v>Etelvina Escrivá</c:v>
                </c:pt>
                <c:pt idx="500">
                  <c:v>Etelvina Marqués</c:v>
                </c:pt>
                <c:pt idx="501">
                  <c:v>Eugenia Puig</c:v>
                </c:pt>
                <c:pt idx="502">
                  <c:v>Eugenio Mínguez</c:v>
                </c:pt>
                <c:pt idx="503">
                  <c:v>Eugenio Miró</c:v>
                </c:pt>
                <c:pt idx="504">
                  <c:v>Eugenio Pinto</c:v>
                </c:pt>
                <c:pt idx="505">
                  <c:v>Eulalia Millán</c:v>
                </c:pt>
                <c:pt idx="506">
                  <c:v>Eulalia Ribes</c:v>
                </c:pt>
                <c:pt idx="507">
                  <c:v>Eusebia Echevarría</c:v>
                </c:pt>
                <c:pt idx="508">
                  <c:v>Eusebio Valenciano</c:v>
                </c:pt>
                <c:pt idx="509">
                  <c:v>Eustaquio Mendizábal</c:v>
                </c:pt>
                <c:pt idx="510">
                  <c:v>Eutropio Castrillo</c:v>
                </c:pt>
                <c:pt idx="511">
                  <c:v>Eutropio Codina</c:v>
                </c:pt>
                <c:pt idx="512">
                  <c:v>Eutropio Jurado</c:v>
                </c:pt>
                <c:pt idx="513">
                  <c:v>Eva Correa</c:v>
                </c:pt>
                <c:pt idx="514">
                  <c:v>Eva María Gálvez</c:v>
                </c:pt>
                <c:pt idx="515">
                  <c:v>Eva María Leon</c:v>
                </c:pt>
                <c:pt idx="516">
                  <c:v>Eva María Torre</c:v>
                </c:pt>
                <c:pt idx="517">
                  <c:v>Evangelina Guijarro</c:v>
                </c:pt>
                <c:pt idx="518">
                  <c:v>Evaristo Bravo</c:v>
                </c:pt>
                <c:pt idx="519">
                  <c:v>Evelia Mancebo</c:v>
                </c:pt>
                <c:pt idx="520">
                  <c:v>Evita Tapia</c:v>
                </c:pt>
                <c:pt idx="521">
                  <c:v>Evita Vilar</c:v>
                </c:pt>
                <c:pt idx="522">
                  <c:v>Fabián Iglesias</c:v>
                </c:pt>
                <c:pt idx="523">
                  <c:v>Fabián Niño</c:v>
                </c:pt>
                <c:pt idx="524">
                  <c:v>Fabiola Artigas</c:v>
                </c:pt>
                <c:pt idx="525">
                  <c:v>Fabiola Vara</c:v>
                </c:pt>
                <c:pt idx="526">
                  <c:v>Fabricio Priego</c:v>
                </c:pt>
                <c:pt idx="527">
                  <c:v>Fabricio Tejada</c:v>
                </c:pt>
                <c:pt idx="528">
                  <c:v>Fanny Arévalo</c:v>
                </c:pt>
                <c:pt idx="529">
                  <c:v>Fátima Amador</c:v>
                </c:pt>
                <c:pt idx="530">
                  <c:v>Fausto Serrano</c:v>
                </c:pt>
                <c:pt idx="531">
                  <c:v>Febe Hidalgo</c:v>
                </c:pt>
                <c:pt idx="532">
                  <c:v>Febe Lasa</c:v>
                </c:pt>
                <c:pt idx="533">
                  <c:v>Febe Pineda</c:v>
                </c:pt>
                <c:pt idx="534">
                  <c:v>Febe Taboada</c:v>
                </c:pt>
                <c:pt idx="535">
                  <c:v>Federico Hernando</c:v>
                </c:pt>
                <c:pt idx="536">
                  <c:v>Federico Hoyos</c:v>
                </c:pt>
                <c:pt idx="537">
                  <c:v>Felicia Botella</c:v>
                </c:pt>
                <c:pt idx="538">
                  <c:v>Felicia Casas</c:v>
                </c:pt>
                <c:pt idx="539">
                  <c:v>Feliciana Aller</c:v>
                </c:pt>
                <c:pt idx="540">
                  <c:v>Feliciana Guzman</c:v>
                </c:pt>
                <c:pt idx="541">
                  <c:v>Feliciana Sevillano</c:v>
                </c:pt>
                <c:pt idx="542">
                  <c:v>Feliciano Gargallo</c:v>
                </c:pt>
                <c:pt idx="543">
                  <c:v>Feliciano Gracia</c:v>
                </c:pt>
                <c:pt idx="544">
                  <c:v>Feliciano Huerta</c:v>
                </c:pt>
                <c:pt idx="545">
                  <c:v>Feliciano Mayoral</c:v>
                </c:pt>
                <c:pt idx="546">
                  <c:v>Feliciano Nieto</c:v>
                </c:pt>
                <c:pt idx="547">
                  <c:v>Felicidad Campo</c:v>
                </c:pt>
                <c:pt idx="548">
                  <c:v>Felicidad Carbó</c:v>
                </c:pt>
                <c:pt idx="549">
                  <c:v>Felipe Rey</c:v>
                </c:pt>
                <c:pt idx="550">
                  <c:v>Felisa Colomer</c:v>
                </c:pt>
                <c:pt idx="551">
                  <c:v>Felisa Ochoa</c:v>
                </c:pt>
                <c:pt idx="552">
                  <c:v>Felisa Pellicer</c:v>
                </c:pt>
                <c:pt idx="553">
                  <c:v>Félix Alarcón</c:v>
                </c:pt>
                <c:pt idx="554">
                  <c:v>Félix Amador</c:v>
                </c:pt>
                <c:pt idx="555">
                  <c:v>Félix Carro</c:v>
                </c:pt>
                <c:pt idx="556">
                  <c:v>Félix Diaz</c:v>
                </c:pt>
                <c:pt idx="557">
                  <c:v>Félix Pera</c:v>
                </c:pt>
                <c:pt idx="558">
                  <c:v>Felix Ramos</c:v>
                </c:pt>
                <c:pt idx="559">
                  <c:v>Fernanda Aznar</c:v>
                </c:pt>
                <c:pt idx="560">
                  <c:v>Fernanda Ríos</c:v>
                </c:pt>
                <c:pt idx="561">
                  <c:v>Fernando Segovia</c:v>
                </c:pt>
                <c:pt idx="562">
                  <c:v>Fernando Valle</c:v>
                </c:pt>
                <c:pt idx="563">
                  <c:v>Fidel Sánchez</c:v>
                </c:pt>
                <c:pt idx="564">
                  <c:v>Fidela Asenjo</c:v>
                </c:pt>
                <c:pt idx="565">
                  <c:v>Fidela Girón</c:v>
                </c:pt>
                <c:pt idx="566">
                  <c:v>Fidela Macías</c:v>
                </c:pt>
                <c:pt idx="567">
                  <c:v>Filomena Vilaplana</c:v>
                </c:pt>
                <c:pt idx="568">
                  <c:v>Fito Vilanova</c:v>
                </c:pt>
                <c:pt idx="569">
                  <c:v>Flavia Donaire</c:v>
                </c:pt>
                <c:pt idx="570">
                  <c:v>Flavia Garmendia</c:v>
                </c:pt>
                <c:pt idx="571">
                  <c:v>Flavio Arribas</c:v>
                </c:pt>
                <c:pt idx="572">
                  <c:v>Flor Briones</c:v>
                </c:pt>
                <c:pt idx="573">
                  <c:v>Flor Vergara</c:v>
                </c:pt>
                <c:pt idx="574">
                  <c:v>Flora Toledo</c:v>
                </c:pt>
                <c:pt idx="575">
                  <c:v>Florentino Lara</c:v>
                </c:pt>
                <c:pt idx="576">
                  <c:v>Florentino Robledo</c:v>
                </c:pt>
                <c:pt idx="577">
                  <c:v>Florentino Vicente</c:v>
                </c:pt>
                <c:pt idx="578">
                  <c:v>Florina Gascón</c:v>
                </c:pt>
                <c:pt idx="579">
                  <c:v>Florina Ibarra</c:v>
                </c:pt>
                <c:pt idx="580">
                  <c:v>Florinda Vall</c:v>
                </c:pt>
                <c:pt idx="581">
                  <c:v>Fortunata Canales</c:v>
                </c:pt>
                <c:pt idx="582">
                  <c:v>Francisca Narváez</c:v>
                </c:pt>
                <c:pt idx="583">
                  <c:v>Francisco Cal</c:v>
                </c:pt>
                <c:pt idx="584">
                  <c:v>Francisco Galán</c:v>
                </c:pt>
                <c:pt idx="585">
                  <c:v>Francisco Jose Alonso</c:v>
                </c:pt>
                <c:pt idx="586">
                  <c:v>Francisco Jose Arrieta</c:v>
                </c:pt>
                <c:pt idx="587">
                  <c:v>Fulgencio Egea</c:v>
                </c:pt>
                <c:pt idx="588">
                  <c:v>Gabino Nebot</c:v>
                </c:pt>
                <c:pt idx="589">
                  <c:v>Gabino Pellicer</c:v>
                </c:pt>
                <c:pt idx="590">
                  <c:v>Gabriel Cuéllar</c:v>
                </c:pt>
                <c:pt idx="591">
                  <c:v>Gabriel Rivera</c:v>
                </c:pt>
                <c:pt idx="592">
                  <c:v>Gabriel Urrutia</c:v>
                </c:pt>
                <c:pt idx="593">
                  <c:v>Gabriel Valdés</c:v>
                </c:pt>
                <c:pt idx="594">
                  <c:v>Gabriela Murillo</c:v>
                </c:pt>
                <c:pt idx="595">
                  <c:v>Galo Talavera</c:v>
                </c:pt>
                <c:pt idx="596">
                  <c:v>Galo Vallés</c:v>
                </c:pt>
                <c:pt idx="597">
                  <c:v>Gaspar Echeverría</c:v>
                </c:pt>
                <c:pt idx="598">
                  <c:v>Gaspar Giménez</c:v>
                </c:pt>
                <c:pt idx="599">
                  <c:v>Gastón Noriega</c:v>
                </c:pt>
                <c:pt idx="600">
                  <c:v>Gastón Vaquero</c:v>
                </c:pt>
                <c:pt idx="601">
                  <c:v>Genoveva Larrea</c:v>
                </c:pt>
                <c:pt idx="602">
                  <c:v>Georgina Espinosa</c:v>
                </c:pt>
                <c:pt idx="603">
                  <c:v>Georgina Farré</c:v>
                </c:pt>
                <c:pt idx="604">
                  <c:v>Georgina Jurado</c:v>
                </c:pt>
                <c:pt idx="605">
                  <c:v>Geraldo Luna</c:v>
                </c:pt>
                <c:pt idx="606">
                  <c:v>Gerardo Mendizábal</c:v>
                </c:pt>
                <c:pt idx="607">
                  <c:v>Germán Iborra</c:v>
                </c:pt>
                <c:pt idx="608">
                  <c:v>Germán Quintana</c:v>
                </c:pt>
                <c:pt idx="609">
                  <c:v>Germán Salcedo</c:v>
                </c:pt>
                <c:pt idx="610">
                  <c:v>Gerónimo Anaya</c:v>
                </c:pt>
                <c:pt idx="611">
                  <c:v>Gerónimo Balaguer</c:v>
                </c:pt>
                <c:pt idx="612">
                  <c:v>Gervasio Canales</c:v>
                </c:pt>
                <c:pt idx="613">
                  <c:v>Gervasio Palacios</c:v>
                </c:pt>
                <c:pt idx="614">
                  <c:v>Gil Muñoz</c:v>
                </c:pt>
                <c:pt idx="615">
                  <c:v>Gil Sola</c:v>
                </c:pt>
                <c:pt idx="616">
                  <c:v>Gilberto Collado</c:v>
                </c:pt>
                <c:pt idx="617">
                  <c:v>Gilberto Isern</c:v>
                </c:pt>
                <c:pt idx="618">
                  <c:v>Gilberto Rios</c:v>
                </c:pt>
                <c:pt idx="619">
                  <c:v>Gisela Amores</c:v>
                </c:pt>
                <c:pt idx="620">
                  <c:v>Gisela Araujo</c:v>
                </c:pt>
                <c:pt idx="621">
                  <c:v>Gisela Tomas</c:v>
                </c:pt>
                <c:pt idx="622">
                  <c:v>Glauco Botella</c:v>
                </c:pt>
                <c:pt idx="623">
                  <c:v>Godofredo Bertrán</c:v>
                </c:pt>
                <c:pt idx="624">
                  <c:v>Godofredo Cánovas</c:v>
                </c:pt>
                <c:pt idx="625">
                  <c:v>Godofredo Moya</c:v>
                </c:pt>
                <c:pt idx="626">
                  <c:v>Gonzalo Mesa</c:v>
                </c:pt>
                <c:pt idx="627">
                  <c:v>Gonzalo Milla</c:v>
                </c:pt>
                <c:pt idx="628">
                  <c:v>Goyo Bueno</c:v>
                </c:pt>
                <c:pt idx="629">
                  <c:v>Goyo Estévez</c:v>
                </c:pt>
                <c:pt idx="630">
                  <c:v>Goyo Molins</c:v>
                </c:pt>
                <c:pt idx="631">
                  <c:v>Gracia Sevillano</c:v>
                </c:pt>
                <c:pt idx="632">
                  <c:v>Graciano Barbero</c:v>
                </c:pt>
                <c:pt idx="633">
                  <c:v>Graciano Céspedes</c:v>
                </c:pt>
                <c:pt idx="634">
                  <c:v>Graciano Roldan</c:v>
                </c:pt>
                <c:pt idx="635">
                  <c:v>Graciela Baena</c:v>
                </c:pt>
                <c:pt idx="636">
                  <c:v>Griselda Domingo</c:v>
                </c:pt>
                <c:pt idx="637">
                  <c:v>Griselda Heredia</c:v>
                </c:pt>
                <c:pt idx="638">
                  <c:v>Guadalupe Cid</c:v>
                </c:pt>
                <c:pt idx="639">
                  <c:v>Guadalupe Escamilla</c:v>
                </c:pt>
                <c:pt idx="640">
                  <c:v>Guillermo Borrego</c:v>
                </c:pt>
                <c:pt idx="641">
                  <c:v>Guiomar Múñiz</c:v>
                </c:pt>
                <c:pt idx="642">
                  <c:v>Guiomar Nogueira</c:v>
                </c:pt>
                <c:pt idx="643">
                  <c:v>Guiomar Peiró</c:v>
                </c:pt>
                <c:pt idx="644">
                  <c:v>Guiomar Pou</c:v>
                </c:pt>
                <c:pt idx="645">
                  <c:v>Gustavo Alberola</c:v>
                </c:pt>
                <c:pt idx="646">
                  <c:v>Gustavo Diez</c:v>
                </c:pt>
                <c:pt idx="647">
                  <c:v>Haroldo Carreras</c:v>
                </c:pt>
                <c:pt idx="648">
                  <c:v>Haroldo Castañeda</c:v>
                </c:pt>
                <c:pt idx="649">
                  <c:v>Haroldo Oliva</c:v>
                </c:pt>
                <c:pt idx="650">
                  <c:v>Haydée Barroso</c:v>
                </c:pt>
                <c:pt idx="651">
                  <c:v>Haydée Sanmiguel</c:v>
                </c:pt>
                <c:pt idx="652">
                  <c:v>Héctor Carbó</c:v>
                </c:pt>
                <c:pt idx="653">
                  <c:v>Hector Casares</c:v>
                </c:pt>
                <c:pt idx="654">
                  <c:v>Héctor Pedrosa</c:v>
                </c:pt>
                <c:pt idx="655">
                  <c:v>Heraclio Carrillo</c:v>
                </c:pt>
                <c:pt idx="656">
                  <c:v>Herberto Novoa</c:v>
                </c:pt>
                <c:pt idx="657">
                  <c:v>Herberto Raya</c:v>
                </c:pt>
                <c:pt idx="658">
                  <c:v>Herberto Ripoll</c:v>
                </c:pt>
                <c:pt idx="659">
                  <c:v>Herberto Tomás</c:v>
                </c:pt>
                <c:pt idx="660">
                  <c:v>Heriberto Amo</c:v>
                </c:pt>
                <c:pt idx="661">
                  <c:v>Heriberto Pereira</c:v>
                </c:pt>
                <c:pt idx="662">
                  <c:v>Hermenegildo Galvez</c:v>
                </c:pt>
                <c:pt idx="663">
                  <c:v>Hermenegildo Viñas</c:v>
                </c:pt>
                <c:pt idx="664">
                  <c:v>Herminio Alemán</c:v>
                </c:pt>
                <c:pt idx="665">
                  <c:v>Hernán Moliner</c:v>
                </c:pt>
                <c:pt idx="666">
                  <c:v>Hernán Ordóñez</c:v>
                </c:pt>
                <c:pt idx="667">
                  <c:v>Hernán Zabaleta</c:v>
                </c:pt>
                <c:pt idx="668">
                  <c:v>Hernando Alemany</c:v>
                </c:pt>
                <c:pt idx="669">
                  <c:v>Hernando Aparicio</c:v>
                </c:pt>
                <c:pt idx="670">
                  <c:v>Hernando Fajardo</c:v>
                </c:pt>
                <c:pt idx="671">
                  <c:v>Hernando Palau</c:v>
                </c:pt>
                <c:pt idx="672">
                  <c:v>Hernando Robledo</c:v>
                </c:pt>
                <c:pt idx="673">
                  <c:v>Hilario González</c:v>
                </c:pt>
                <c:pt idx="674">
                  <c:v>Hilario Tena</c:v>
                </c:pt>
                <c:pt idx="675">
                  <c:v>Hipólito Bas</c:v>
                </c:pt>
                <c:pt idx="676">
                  <c:v>Horacio Verdejo</c:v>
                </c:pt>
                <c:pt idx="677">
                  <c:v>Horacio Villena</c:v>
                </c:pt>
                <c:pt idx="678">
                  <c:v>Hortensia Alfaro</c:v>
                </c:pt>
                <c:pt idx="679">
                  <c:v>Hugo Carpio</c:v>
                </c:pt>
                <c:pt idx="680">
                  <c:v>Hugo Reyes</c:v>
                </c:pt>
                <c:pt idx="681">
                  <c:v>Humberto Miró</c:v>
                </c:pt>
                <c:pt idx="682">
                  <c:v>Humberto Quintana</c:v>
                </c:pt>
                <c:pt idx="683">
                  <c:v>Ignacia Rebollo</c:v>
                </c:pt>
                <c:pt idx="684">
                  <c:v>Ignacia Rosell</c:v>
                </c:pt>
                <c:pt idx="685">
                  <c:v>Ignacia Sabater</c:v>
                </c:pt>
                <c:pt idx="686">
                  <c:v>Ignacio Carrasco</c:v>
                </c:pt>
                <c:pt idx="687">
                  <c:v>Iker Agudo</c:v>
                </c:pt>
                <c:pt idx="688">
                  <c:v>Imelda Carranza</c:v>
                </c:pt>
                <c:pt idx="689">
                  <c:v>Imelda Elías</c:v>
                </c:pt>
                <c:pt idx="690">
                  <c:v>Inés Briones</c:v>
                </c:pt>
                <c:pt idx="691">
                  <c:v>Inés Sastre</c:v>
                </c:pt>
                <c:pt idx="692">
                  <c:v>Íngrid Marti</c:v>
                </c:pt>
                <c:pt idx="693">
                  <c:v>Íngrid Urrutia</c:v>
                </c:pt>
                <c:pt idx="694">
                  <c:v>Inmaculada Diéguez</c:v>
                </c:pt>
                <c:pt idx="695">
                  <c:v>Inmaculada Gaya</c:v>
                </c:pt>
                <c:pt idx="696">
                  <c:v>Inmaculada Múñiz</c:v>
                </c:pt>
                <c:pt idx="697">
                  <c:v>Inmaculada Mur</c:v>
                </c:pt>
                <c:pt idx="698">
                  <c:v>Inmaculada Peralta</c:v>
                </c:pt>
                <c:pt idx="699">
                  <c:v>Inocencio Luna</c:v>
                </c:pt>
                <c:pt idx="700">
                  <c:v>Inocencio Querol</c:v>
                </c:pt>
                <c:pt idx="701">
                  <c:v>Irene Barrera</c:v>
                </c:pt>
                <c:pt idx="702">
                  <c:v>Irene Jerez</c:v>
                </c:pt>
                <c:pt idx="703">
                  <c:v>Iris Manzanares</c:v>
                </c:pt>
                <c:pt idx="704">
                  <c:v>Iris Villar</c:v>
                </c:pt>
                <c:pt idx="705">
                  <c:v>Irma Jara</c:v>
                </c:pt>
                <c:pt idx="706">
                  <c:v>Isa Lozano</c:v>
                </c:pt>
                <c:pt idx="707">
                  <c:v>Isaac Moll</c:v>
                </c:pt>
                <c:pt idx="708">
                  <c:v>Isaac Mosquera</c:v>
                </c:pt>
                <c:pt idx="709">
                  <c:v>Isaac Torrents</c:v>
                </c:pt>
                <c:pt idx="710">
                  <c:v>Isabel Morillo</c:v>
                </c:pt>
                <c:pt idx="711">
                  <c:v>Isabel Noguera</c:v>
                </c:pt>
                <c:pt idx="712">
                  <c:v>Isabel Roldán</c:v>
                </c:pt>
                <c:pt idx="713">
                  <c:v>Isabel Tudela</c:v>
                </c:pt>
                <c:pt idx="714">
                  <c:v>Isaías Adán</c:v>
                </c:pt>
                <c:pt idx="715">
                  <c:v>Isaías Morcillo</c:v>
                </c:pt>
                <c:pt idx="716">
                  <c:v>Isaías Sales</c:v>
                </c:pt>
                <c:pt idx="717">
                  <c:v>Isidora Zorrilla</c:v>
                </c:pt>
                <c:pt idx="718">
                  <c:v>Isidoro Almansa</c:v>
                </c:pt>
                <c:pt idx="719">
                  <c:v>Isidoro Arrieta</c:v>
                </c:pt>
                <c:pt idx="720">
                  <c:v>Isidro Pavón</c:v>
                </c:pt>
                <c:pt idx="721">
                  <c:v>Iván Alonso</c:v>
                </c:pt>
                <c:pt idx="722">
                  <c:v>Iván Canales</c:v>
                </c:pt>
                <c:pt idx="723">
                  <c:v>Iván Rosselló</c:v>
                </c:pt>
                <c:pt idx="724">
                  <c:v>Jacinta Díaz</c:v>
                </c:pt>
                <c:pt idx="725">
                  <c:v>Jacinta Nuñez</c:v>
                </c:pt>
                <c:pt idx="726">
                  <c:v>Jacinta Villar</c:v>
                </c:pt>
                <c:pt idx="727">
                  <c:v>Jacobo Albero</c:v>
                </c:pt>
                <c:pt idx="728">
                  <c:v>Jacobo Gómez</c:v>
                </c:pt>
                <c:pt idx="729">
                  <c:v>Jafet Girón</c:v>
                </c:pt>
                <c:pt idx="730">
                  <c:v>Jaime Camino</c:v>
                </c:pt>
                <c:pt idx="731">
                  <c:v>Jaime Pombo</c:v>
                </c:pt>
                <c:pt idx="732">
                  <c:v>Jaime Pons</c:v>
                </c:pt>
                <c:pt idx="733">
                  <c:v>Javi Dávila</c:v>
                </c:pt>
                <c:pt idx="734">
                  <c:v>Javi Oliver</c:v>
                </c:pt>
                <c:pt idx="735">
                  <c:v>Javiera Acosta</c:v>
                </c:pt>
                <c:pt idx="736">
                  <c:v>Jenaro Benítez</c:v>
                </c:pt>
                <c:pt idx="737">
                  <c:v>Jenaro Díaz</c:v>
                </c:pt>
                <c:pt idx="738">
                  <c:v>Jenaro Flores</c:v>
                </c:pt>
                <c:pt idx="739">
                  <c:v>Jenny Franch</c:v>
                </c:pt>
                <c:pt idx="740">
                  <c:v>Jenny Llorens</c:v>
                </c:pt>
                <c:pt idx="741">
                  <c:v>Jeremías Beltran</c:v>
                </c:pt>
                <c:pt idx="742">
                  <c:v>Jeremías Saavedra</c:v>
                </c:pt>
                <c:pt idx="743">
                  <c:v>Jesús Fiol</c:v>
                </c:pt>
                <c:pt idx="744">
                  <c:v>Jesusa Abellán</c:v>
                </c:pt>
                <c:pt idx="745">
                  <c:v>Jesusa Adadia</c:v>
                </c:pt>
                <c:pt idx="746">
                  <c:v>Jesusa Cid</c:v>
                </c:pt>
                <c:pt idx="747">
                  <c:v>Jesusa Terrón</c:v>
                </c:pt>
                <c:pt idx="748">
                  <c:v>Jimena Ruano</c:v>
                </c:pt>
                <c:pt idx="749">
                  <c:v>Joan Reyes</c:v>
                </c:pt>
                <c:pt idx="750">
                  <c:v>Joaquina Alvarado</c:v>
                </c:pt>
                <c:pt idx="751">
                  <c:v>Joaquina Villena</c:v>
                </c:pt>
                <c:pt idx="752">
                  <c:v>Joel Barceló</c:v>
                </c:pt>
                <c:pt idx="753">
                  <c:v>Joel Pino</c:v>
                </c:pt>
                <c:pt idx="754">
                  <c:v>Jonatan Espinosa</c:v>
                </c:pt>
                <c:pt idx="755">
                  <c:v>Jonatan Navas</c:v>
                </c:pt>
                <c:pt idx="756">
                  <c:v>Jordán Arnaiz</c:v>
                </c:pt>
                <c:pt idx="757">
                  <c:v>Jordán Catalá</c:v>
                </c:pt>
                <c:pt idx="758">
                  <c:v>Jordán Montes</c:v>
                </c:pt>
                <c:pt idx="759">
                  <c:v>Jordana Aramburu</c:v>
                </c:pt>
                <c:pt idx="760">
                  <c:v>Jordana Mateo</c:v>
                </c:pt>
                <c:pt idx="761">
                  <c:v>Jordi Alba</c:v>
                </c:pt>
                <c:pt idx="762">
                  <c:v>Jordi Alberdi</c:v>
                </c:pt>
                <c:pt idx="763">
                  <c:v>Jordi Iborra</c:v>
                </c:pt>
                <c:pt idx="764">
                  <c:v>Jordi Ropero</c:v>
                </c:pt>
                <c:pt idx="765">
                  <c:v>Jordi Trujillo</c:v>
                </c:pt>
                <c:pt idx="766">
                  <c:v>Jorge Donoso</c:v>
                </c:pt>
                <c:pt idx="767">
                  <c:v>Jorge Pol</c:v>
                </c:pt>
                <c:pt idx="768">
                  <c:v>José Amaya</c:v>
                </c:pt>
                <c:pt idx="769">
                  <c:v>José Ángel Cánovas</c:v>
                </c:pt>
                <c:pt idx="770">
                  <c:v>José Ángel Plana</c:v>
                </c:pt>
                <c:pt idx="771">
                  <c:v>Jose Antonio Enríquez</c:v>
                </c:pt>
                <c:pt idx="772">
                  <c:v>José Antonio Mayo</c:v>
                </c:pt>
                <c:pt idx="773">
                  <c:v>José Antonio Olivares</c:v>
                </c:pt>
                <c:pt idx="774">
                  <c:v>José Antonio Olivera</c:v>
                </c:pt>
                <c:pt idx="775">
                  <c:v>Jose Antonio Valverde</c:v>
                </c:pt>
                <c:pt idx="776">
                  <c:v>José Arco</c:v>
                </c:pt>
                <c:pt idx="777">
                  <c:v>Jose Francisco Lasa</c:v>
                </c:pt>
                <c:pt idx="778">
                  <c:v>José Hervás</c:v>
                </c:pt>
                <c:pt idx="779">
                  <c:v>Jose Ignacio Luján</c:v>
                </c:pt>
                <c:pt idx="780">
                  <c:v>Jose Ignacio Ribes</c:v>
                </c:pt>
                <c:pt idx="781">
                  <c:v>José Luis Bas</c:v>
                </c:pt>
                <c:pt idx="782">
                  <c:v>Jose Luis Carretero</c:v>
                </c:pt>
                <c:pt idx="783">
                  <c:v>Jose Luis Martinez</c:v>
                </c:pt>
                <c:pt idx="784">
                  <c:v>Jose Luis Sierra</c:v>
                </c:pt>
                <c:pt idx="785">
                  <c:v>Jose Manuel Lillo</c:v>
                </c:pt>
                <c:pt idx="786">
                  <c:v>José Manuel Valencia</c:v>
                </c:pt>
                <c:pt idx="787">
                  <c:v>José Mari Cueto</c:v>
                </c:pt>
                <c:pt idx="788">
                  <c:v>José Mari Noguera</c:v>
                </c:pt>
                <c:pt idx="789">
                  <c:v>José María Camps</c:v>
                </c:pt>
                <c:pt idx="790">
                  <c:v>José María Saavedra</c:v>
                </c:pt>
                <c:pt idx="791">
                  <c:v>Jose Miguel Blanes</c:v>
                </c:pt>
                <c:pt idx="792">
                  <c:v>Jose Miguel Molins</c:v>
                </c:pt>
                <c:pt idx="793">
                  <c:v>José Ordóñez</c:v>
                </c:pt>
                <c:pt idx="794">
                  <c:v>Jose Ramón Agustí</c:v>
                </c:pt>
                <c:pt idx="795">
                  <c:v>Jose Ramón Díez</c:v>
                </c:pt>
                <c:pt idx="796">
                  <c:v>Jose Ramón España</c:v>
                </c:pt>
                <c:pt idx="797">
                  <c:v>Jose Ramón Prat</c:v>
                </c:pt>
                <c:pt idx="798">
                  <c:v>José Trillo</c:v>
                </c:pt>
                <c:pt idx="799">
                  <c:v>Josefa Reyes</c:v>
                </c:pt>
                <c:pt idx="800">
                  <c:v>Josué Diego</c:v>
                </c:pt>
                <c:pt idx="801">
                  <c:v>Jovita Benito</c:v>
                </c:pt>
                <c:pt idx="802">
                  <c:v>Juan Antonio Bru</c:v>
                </c:pt>
                <c:pt idx="803">
                  <c:v>Juan Bautista Pedrero</c:v>
                </c:pt>
                <c:pt idx="804">
                  <c:v>Juan Bautista Santos</c:v>
                </c:pt>
                <c:pt idx="805">
                  <c:v>Juan Carlos Guerra</c:v>
                </c:pt>
                <c:pt idx="806">
                  <c:v>Juan Carlos Puerta</c:v>
                </c:pt>
                <c:pt idx="807">
                  <c:v>Juan Carlos Velasco</c:v>
                </c:pt>
                <c:pt idx="808">
                  <c:v>Juan Francisco Mínguez</c:v>
                </c:pt>
                <c:pt idx="809">
                  <c:v>Juan José Montesinos</c:v>
                </c:pt>
                <c:pt idx="810">
                  <c:v>Juan Luis Figueras</c:v>
                </c:pt>
                <c:pt idx="811">
                  <c:v>Juan Luis Torrent</c:v>
                </c:pt>
                <c:pt idx="812">
                  <c:v>Juan Manuel Bárcena</c:v>
                </c:pt>
                <c:pt idx="813">
                  <c:v>Juan Manuel Landa</c:v>
                </c:pt>
                <c:pt idx="814">
                  <c:v>Juan Méndez</c:v>
                </c:pt>
                <c:pt idx="815">
                  <c:v>Juan Pablo Lerma</c:v>
                </c:pt>
                <c:pt idx="816">
                  <c:v>Juana Salazar</c:v>
                </c:pt>
                <c:pt idx="817">
                  <c:v>Juanita Barrio</c:v>
                </c:pt>
                <c:pt idx="818">
                  <c:v>Juanito Sanchez</c:v>
                </c:pt>
                <c:pt idx="819">
                  <c:v>Judith Marquez</c:v>
                </c:pt>
                <c:pt idx="820">
                  <c:v>Julia Galvez</c:v>
                </c:pt>
                <c:pt idx="821">
                  <c:v>Julia Luna</c:v>
                </c:pt>
                <c:pt idx="822">
                  <c:v>Julián Almansa</c:v>
                </c:pt>
                <c:pt idx="823">
                  <c:v>Juliana Rodriguez</c:v>
                </c:pt>
                <c:pt idx="824">
                  <c:v>Julieta Serra</c:v>
                </c:pt>
                <c:pt idx="825">
                  <c:v>Julio Cárdenas</c:v>
                </c:pt>
                <c:pt idx="826">
                  <c:v>Julio Valcárcel</c:v>
                </c:pt>
                <c:pt idx="827">
                  <c:v>Kike Castell</c:v>
                </c:pt>
                <c:pt idx="828">
                  <c:v>Lázaro Fortuny</c:v>
                </c:pt>
                <c:pt idx="829">
                  <c:v>Lázaro Peinado</c:v>
                </c:pt>
                <c:pt idx="830">
                  <c:v>Lázaro Soria</c:v>
                </c:pt>
                <c:pt idx="831">
                  <c:v>Leandro Barceló</c:v>
                </c:pt>
                <c:pt idx="832">
                  <c:v>Leandro Iglesias</c:v>
                </c:pt>
                <c:pt idx="833">
                  <c:v>Leire Aragonés</c:v>
                </c:pt>
                <c:pt idx="834">
                  <c:v>Leire Miguel</c:v>
                </c:pt>
                <c:pt idx="835">
                  <c:v>Leocadia Perera</c:v>
                </c:pt>
                <c:pt idx="836">
                  <c:v>Leocadio Blanes</c:v>
                </c:pt>
                <c:pt idx="837">
                  <c:v>León Sala</c:v>
                </c:pt>
                <c:pt idx="838">
                  <c:v>Leonardo Gimenez</c:v>
                </c:pt>
                <c:pt idx="839">
                  <c:v>Leoncio Mascaró</c:v>
                </c:pt>
                <c:pt idx="840">
                  <c:v>Leonel Valderrama</c:v>
                </c:pt>
                <c:pt idx="841">
                  <c:v>Leopoldo Barba</c:v>
                </c:pt>
                <c:pt idx="842">
                  <c:v>Leopoldo Girona</c:v>
                </c:pt>
                <c:pt idx="843">
                  <c:v>Lidia Bernat</c:v>
                </c:pt>
                <c:pt idx="844">
                  <c:v>Ligia Carlos</c:v>
                </c:pt>
                <c:pt idx="845">
                  <c:v>Ligia Pablo</c:v>
                </c:pt>
                <c:pt idx="846">
                  <c:v>Ligia Sáez</c:v>
                </c:pt>
                <c:pt idx="847">
                  <c:v>Lilia Polo</c:v>
                </c:pt>
                <c:pt idx="848">
                  <c:v>Lilia Sotelo</c:v>
                </c:pt>
                <c:pt idx="849">
                  <c:v>Lilia Vilalta</c:v>
                </c:pt>
                <c:pt idx="850">
                  <c:v>Liliana Bertrán</c:v>
                </c:pt>
                <c:pt idx="851">
                  <c:v>Liliana Guardiola</c:v>
                </c:pt>
                <c:pt idx="852">
                  <c:v>Liliana Lluch</c:v>
                </c:pt>
                <c:pt idx="853">
                  <c:v>Lina Amorós</c:v>
                </c:pt>
                <c:pt idx="854">
                  <c:v>Lino Cortes</c:v>
                </c:pt>
                <c:pt idx="855">
                  <c:v>Lino Marí</c:v>
                </c:pt>
                <c:pt idx="856">
                  <c:v>Lino Pareja</c:v>
                </c:pt>
                <c:pt idx="857">
                  <c:v>Lisandro Polo</c:v>
                </c:pt>
                <c:pt idx="858">
                  <c:v>Loida Barragán</c:v>
                </c:pt>
                <c:pt idx="859">
                  <c:v>Loida Ibarra</c:v>
                </c:pt>
                <c:pt idx="860">
                  <c:v>Loida Priego</c:v>
                </c:pt>
                <c:pt idx="861">
                  <c:v>Lope Calzada</c:v>
                </c:pt>
                <c:pt idx="862">
                  <c:v>Lope Folch</c:v>
                </c:pt>
                <c:pt idx="863">
                  <c:v>Lope Galan</c:v>
                </c:pt>
                <c:pt idx="864">
                  <c:v>Lope Luque</c:v>
                </c:pt>
                <c:pt idx="865">
                  <c:v>Lorenza Agullo</c:v>
                </c:pt>
                <c:pt idx="866">
                  <c:v>Lorenzo Echeverría</c:v>
                </c:pt>
                <c:pt idx="867">
                  <c:v>Lorenzo Marquez</c:v>
                </c:pt>
                <c:pt idx="868">
                  <c:v>Loreto Becerra</c:v>
                </c:pt>
                <c:pt idx="869">
                  <c:v>Loreto Duque</c:v>
                </c:pt>
                <c:pt idx="870">
                  <c:v>Loreto Galán</c:v>
                </c:pt>
                <c:pt idx="871">
                  <c:v>Loreto Gomis</c:v>
                </c:pt>
                <c:pt idx="872">
                  <c:v>Loreto Izquierdo</c:v>
                </c:pt>
                <c:pt idx="873">
                  <c:v>Loreto Miguel</c:v>
                </c:pt>
                <c:pt idx="874">
                  <c:v>Loreto Romeu</c:v>
                </c:pt>
                <c:pt idx="875">
                  <c:v>Lourdes Cañas</c:v>
                </c:pt>
                <c:pt idx="876">
                  <c:v>Lourdes Mínguez</c:v>
                </c:pt>
                <c:pt idx="877">
                  <c:v>Lourdes Sala</c:v>
                </c:pt>
                <c:pt idx="878">
                  <c:v>Lucas Campoy</c:v>
                </c:pt>
                <c:pt idx="879">
                  <c:v>Lucas Fernandez</c:v>
                </c:pt>
                <c:pt idx="880">
                  <c:v>Lucas Sáez</c:v>
                </c:pt>
                <c:pt idx="881">
                  <c:v>Lucía Arana</c:v>
                </c:pt>
                <c:pt idx="882">
                  <c:v>Luciana Alemán</c:v>
                </c:pt>
                <c:pt idx="883">
                  <c:v>Luciana Lasa</c:v>
                </c:pt>
                <c:pt idx="884">
                  <c:v>Luciana Quirós</c:v>
                </c:pt>
                <c:pt idx="885">
                  <c:v>Luciano Figuerola</c:v>
                </c:pt>
                <c:pt idx="886">
                  <c:v>Lucila Izquierdo</c:v>
                </c:pt>
                <c:pt idx="887">
                  <c:v>Lucio Ferrándiz</c:v>
                </c:pt>
                <c:pt idx="888">
                  <c:v>Lucio Milla</c:v>
                </c:pt>
                <c:pt idx="889">
                  <c:v>Lucio Uribe</c:v>
                </c:pt>
                <c:pt idx="890">
                  <c:v>Luis Ángel Benavent</c:v>
                </c:pt>
                <c:pt idx="891">
                  <c:v>Luis Miguel Guerra</c:v>
                </c:pt>
                <c:pt idx="892">
                  <c:v>Luís Roig</c:v>
                </c:pt>
                <c:pt idx="893">
                  <c:v>Luisa Frutos</c:v>
                </c:pt>
                <c:pt idx="894">
                  <c:v>Luisa Manjón</c:v>
                </c:pt>
                <c:pt idx="895">
                  <c:v>Luisina Clemente</c:v>
                </c:pt>
                <c:pt idx="896">
                  <c:v>Luisina Oliveras</c:v>
                </c:pt>
                <c:pt idx="897">
                  <c:v>Luisina Peláez</c:v>
                </c:pt>
                <c:pt idx="898">
                  <c:v>Luna Montes</c:v>
                </c:pt>
                <c:pt idx="899">
                  <c:v>Lupe Carnero</c:v>
                </c:pt>
                <c:pt idx="900">
                  <c:v>Lupita Murcia</c:v>
                </c:pt>
                <c:pt idx="901">
                  <c:v>Lupita Sanabria</c:v>
                </c:pt>
                <c:pt idx="902">
                  <c:v>Luz Mora</c:v>
                </c:pt>
                <c:pt idx="903">
                  <c:v>Macaria Hierro</c:v>
                </c:pt>
                <c:pt idx="904">
                  <c:v>Macaria Menéndez</c:v>
                </c:pt>
                <c:pt idx="905">
                  <c:v>Macaria Rey</c:v>
                </c:pt>
                <c:pt idx="906">
                  <c:v>Macario Arana</c:v>
                </c:pt>
                <c:pt idx="907">
                  <c:v>Macario Dueñas</c:v>
                </c:pt>
                <c:pt idx="908">
                  <c:v>Macario Molins</c:v>
                </c:pt>
                <c:pt idx="909">
                  <c:v>Macario Nogués</c:v>
                </c:pt>
                <c:pt idx="910">
                  <c:v>Magdalena Cabo</c:v>
                </c:pt>
                <c:pt idx="911">
                  <c:v>Magdalena Sanjuan</c:v>
                </c:pt>
                <c:pt idx="912">
                  <c:v>Magdalena Sastre</c:v>
                </c:pt>
                <c:pt idx="913">
                  <c:v>Malena Águila</c:v>
                </c:pt>
                <c:pt idx="914">
                  <c:v>Malena Aparicio</c:v>
                </c:pt>
                <c:pt idx="915">
                  <c:v>Malena Tormo</c:v>
                </c:pt>
                <c:pt idx="916">
                  <c:v>Malena Villalonga</c:v>
                </c:pt>
                <c:pt idx="917">
                  <c:v>Mamen Barrios</c:v>
                </c:pt>
                <c:pt idx="918">
                  <c:v>Mamen Manrique</c:v>
                </c:pt>
                <c:pt idx="919">
                  <c:v>Manu Barros</c:v>
                </c:pt>
                <c:pt idx="920">
                  <c:v>Manu Pastor</c:v>
                </c:pt>
                <c:pt idx="921">
                  <c:v>Manu Rodriguez</c:v>
                </c:pt>
                <c:pt idx="922">
                  <c:v>Mar Girona</c:v>
                </c:pt>
                <c:pt idx="923">
                  <c:v>Mar Hernández</c:v>
                </c:pt>
                <c:pt idx="924">
                  <c:v>Mar Riera</c:v>
                </c:pt>
                <c:pt idx="925">
                  <c:v>Mar Tomas</c:v>
                </c:pt>
                <c:pt idx="926">
                  <c:v>Marcela Mora</c:v>
                </c:pt>
                <c:pt idx="927">
                  <c:v>Marcelino Sanabria</c:v>
                </c:pt>
                <c:pt idx="928">
                  <c:v>Marcia Acero</c:v>
                </c:pt>
                <c:pt idx="929">
                  <c:v>Marcia Córdoba</c:v>
                </c:pt>
                <c:pt idx="930">
                  <c:v>Marcial Heredia</c:v>
                </c:pt>
                <c:pt idx="931">
                  <c:v>Marcial Plaza</c:v>
                </c:pt>
                <c:pt idx="932">
                  <c:v>Marcial Quintanilla</c:v>
                </c:pt>
                <c:pt idx="933">
                  <c:v>Marcial Saura</c:v>
                </c:pt>
                <c:pt idx="934">
                  <c:v>Marciano Jaume</c:v>
                </c:pt>
                <c:pt idx="935">
                  <c:v>Marciano Juárez</c:v>
                </c:pt>
                <c:pt idx="936">
                  <c:v>Marciano Laguna</c:v>
                </c:pt>
                <c:pt idx="937">
                  <c:v>Marciano Noriega</c:v>
                </c:pt>
                <c:pt idx="938">
                  <c:v>Marcio Carrillo</c:v>
                </c:pt>
                <c:pt idx="939">
                  <c:v>Marcos Flor</c:v>
                </c:pt>
                <c:pt idx="940">
                  <c:v>Margarita Gilabert</c:v>
                </c:pt>
                <c:pt idx="941">
                  <c:v>María Ángeles Conesa</c:v>
                </c:pt>
                <c:pt idx="942">
                  <c:v>María Ángeles Ferreras</c:v>
                </c:pt>
                <c:pt idx="943">
                  <c:v>María Ángeles Santiago</c:v>
                </c:pt>
                <c:pt idx="944">
                  <c:v>María Belén Baquero</c:v>
                </c:pt>
                <c:pt idx="945">
                  <c:v>María Belén Gómez</c:v>
                </c:pt>
                <c:pt idx="946">
                  <c:v>María Belén Jimenez</c:v>
                </c:pt>
                <c:pt idx="947">
                  <c:v>María Botella</c:v>
                </c:pt>
                <c:pt idx="948">
                  <c:v>María Cristina Daza</c:v>
                </c:pt>
                <c:pt idx="949">
                  <c:v>María Del Carmen Cardona</c:v>
                </c:pt>
                <c:pt idx="950">
                  <c:v>María Dolores Juliá</c:v>
                </c:pt>
                <c:pt idx="951">
                  <c:v>María Fernanda Tomé</c:v>
                </c:pt>
                <c:pt idx="952">
                  <c:v>María José Azcona</c:v>
                </c:pt>
                <c:pt idx="953">
                  <c:v>María José Céspedes</c:v>
                </c:pt>
                <c:pt idx="954">
                  <c:v>María José Guzmán</c:v>
                </c:pt>
                <c:pt idx="955">
                  <c:v>María Luisa Alcaraz</c:v>
                </c:pt>
                <c:pt idx="956">
                  <c:v>María Luisa Gelabert</c:v>
                </c:pt>
                <c:pt idx="957">
                  <c:v>María Luisa Yáñez</c:v>
                </c:pt>
                <c:pt idx="958">
                  <c:v>María Manuela Cuesta</c:v>
                </c:pt>
                <c:pt idx="959">
                  <c:v>María Mesa</c:v>
                </c:pt>
                <c:pt idx="960">
                  <c:v>María Montes</c:v>
                </c:pt>
                <c:pt idx="961">
                  <c:v>María Puga</c:v>
                </c:pt>
                <c:pt idx="962">
                  <c:v>María Teresa Benet</c:v>
                </c:pt>
                <c:pt idx="963">
                  <c:v>María Teresa Sandoval</c:v>
                </c:pt>
                <c:pt idx="964">
                  <c:v>María Trillo</c:v>
                </c:pt>
                <c:pt idx="965">
                  <c:v>Mariano Carrión</c:v>
                </c:pt>
                <c:pt idx="966">
                  <c:v>Mariano Español</c:v>
                </c:pt>
                <c:pt idx="967">
                  <c:v>Mariano Moles</c:v>
                </c:pt>
                <c:pt idx="968">
                  <c:v>Mariano Tello</c:v>
                </c:pt>
                <c:pt idx="969">
                  <c:v>Mariano Zorrilla</c:v>
                </c:pt>
                <c:pt idx="970">
                  <c:v>Maribel Murillo</c:v>
                </c:pt>
                <c:pt idx="971">
                  <c:v>Maribel Peñalver</c:v>
                </c:pt>
                <c:pt idx="972">
                  <c:v>Maricela Castells</c:v>
                </c:pt>
                <c:pt idx="973">
                  <c:v>Maricela Macias</c:v>
                </c:pt>
                <c:pt idx="974">
                  <c:v>Maricela Suárez</c:v>
                </c:pt>
                <c:pt idx="975">
                  <c:v>Marina Andrés</c:v>
                </c:pt>
                <c:pt idx="976">
                  <c:v>Marina Gimenez</c:v>
                </c:pt>
                <c:pt idx="977">
                  <c:v>Marina Izquierdo</c:v>
                </c:pt>
                <c:pt idx="978">
                  <c:v>Mario Anguita</c:v>
                </c:pt>
                <c:pt idx="979">
                  <c:v>Mario Baeza</c:v>
                </c:pt>
                <c:pt idx="980">
                  <c:v>Mario Chico</c:v>
                </c:pt>
                <c:pt idx="981">
                  <c:v>Marisa Poza</c:v>
                </c:pt>
                <c:pt idx="982">
                  <c:v>Marisela Gordillo</c:v>
                </c:pt>
                <c:pt idx="983">
                  <c:v>Marita Bayona</c:v>
                </c:pt>
                <c:pt idx="984">
                  <c:v>Marita Bosch</c:v>
                </c:pt>
                <c:pt idx="985">
                  <c:v>Marita Castell</c:v>
                </c:pt>
                <c:pt idx="986">
                  <c:v>Marta Bolaños</c:v>
                </c:pt>
                <c:pt idx="987">
                  <c:v>Marta Izaguirre</c:v>
                </c:pt>
                <c:pt idx="988">
                  <c:v>Marta Villaverde</c:v>
                </c:pt>
                <c:pt idx="989">
                  <c:v>Martín Galván</c:v>
                </c:pt>
                <c:pt idx="990">
                  <c:v>Martina Pozuelo</c:v>
                </c:pt>
                <c:pt idx="991">
                  <c:v>Martirio Pelayo</c:v>
                </c:pt>
                <c:pt idx="992">
                  <c:v>Martirio Villena</c:v>
                </c:pt>
                <c:pt idx="993">
                  <c:v>Mateo Matas</c:v>
                </c:pt>
                <c:pt idx="994">
                  <c:v>Mateo Nogueira</c:v>
                </c:pt>
                <c:pt idx="995">
                  <c:v>Matías Tello</c:v>
                </c:pt>
                <c:pt idx="996">
                  <c:v>Matilde Galvez</c:v>
                </c:pt>
                <c:pt idx="997">
                  <c:v>Maxi Catalán</c:v>
                </c:pt>
                <c:pt idx="998">
                  <c:v>Maxi Hoz</c:v>
                </c:pt>
                <c:pt idx="999">
                  <c:v>Máxima Granados</c:v>
                </c:pt>
                <c:pt idx="1000">
                  <c:v>Maximino Palacios</c:v>
                </c:pt>
                <c:pt idx="1001">
                  <c:v>Máximo Escalona</c:v>
                </c:pt>
                <c:pt idx="1002">
                  <c:v>Máximo Hidalgo</c:v>
                </c:pt>
                <c:pt idx="1003">
                  <c:v>Mayte Espinosa</c:v>
                </c:pt>
                <c:pt idx="1004">
                  <c:v>Melania Dueñas</c:v>
                </c:pt>
                <c:pt idx="1005">
                  <c:v>Melania Torrens</c:v>
                </c:pt>
                <c:pt idx="1006">
                  <c:v>Melisa Arellano</c:v>
                </c:pt>
                <c:pt idx="1007">
                  <c:v>Melisa Blanca</c:v>
                </c:pt>
                <c:pt idx="1008">
                  <c:v>Melisa Galan</c:v>
                </c:pt>
                <c:pt idx="1009">
                  <c:v>Mercedes Galiano</c:v>
                </c:pt>
                <c:pt idx="1010">
                  <c:v>Mercedes Moles</c:v>
                </c:pt>
                <c:pt idx="1011">
                  <c:v>Merche Alba</c:v>
                </c:pt>
                <c:pt idx="1012">
                  <c:v>Merche Anguita</c:v>
                </c:pt>
                <c:pt idx="1013">
                  <c:v>Micaela Viñas</c:v>
                </c:pt>
                <c:pt idx="1014">
                  <c:v>Miguel Ángel Aroca</c:v>
                </c:pt>
                <c:pt idx="1015">
                  <c:v>Miguela Ródenas</c:v>
                </c:pt>
                <c:pt idx="1016">
                  <c:v>Mireia Almagro</c:v>
                </c:pt>
                <c:pt idx="1017">
                  <c:v>Mireia Baena</c:v>
                </c:pt>
                <c:pt idx="1018">
                  <c:v>Miriam Menendez</c:v>
                </c:pt>
                <c:pt idx="1019">
                  <c:v>Miriam Núñez</c:v>
                </c:pt>
                <c:pt idx="1020">
                  <c:v>Modesta Manso</c:v>
                </c:pt>
                <c:pt idx="1021">
                  <c:v>Modesta Mir</c:v>
                </c:pt>
                <c:pt idx="1022">
                  <c:v>Modesto Feijoo</c:v>
                </c:pt>
                <c:pt idx="1023">
                  <c:v>Mohamed Gallo</c:v>
                </c:pt>
                <c:pt idx="1024">
                  <c:v>Mohamed Jara</c:v>
                </c:pt>
                <c:pt idx="1025">
                  <c:v>Mohamed Rojas</c:v>
                </c:pt>
                <c:pt idx="1026">
                  <c:v>Moisés Peñalver</c:v>
                </c:pt>
                <c:pt idx="1027">
                  <c:v>Moisés Torre</c:v>
                </c:pt>
                <c:pt idx="1028">
                  <c:v>Moisés Vilaplana</c:v>
                </c:pt>
                <c:pt idx="1029">
                  <c:v>Mónica Arjona</c:v>
                </c:pt>
                <c:pt idx="1030">
                  <c:v>Mónica Ferrero</c:v>
                </c:pt>
                <c:pt idx="1031">
                  <c:v>Mónica Landa</c:v>
                </c:pt>
                <c:pt idx="1032">
                  <c:v>Montserrat Jara</c:v>
                </c:pt>
                <c:pt idx="1033">
                  <c:v>Montserrat Torrent</c:v>
                </c:pt>
                <c:pt idx="1034">
                  <c:v>Montserrat Trujillo</c:v>
                </c:pt>
                <c:pt idx="1035">
                  <c:v>Morena Simó</c:v>
                </c:pt>
                <c:pt idx="1036">
                  <c:v>Moreno Anaya</c:v>
                </c:pt>
                <c:pt idx="1037">
                  <c:v>Moreno Castro</c:v>
                </c:pt>
                <c:pt idx="1038">
                  <c:v>Nacio Calderón</c:v>
                </c:pt>
                <c:pt idx="1039">
                  <c:v>Nadia Fernández</c:v>
                </c:pt>
                <c:pt idx="1040">
                  <c:v>Nadia Sabater</c:v>
                </c:pt>
                <c:pt idx="1041">
                  <c:v>Nando Mateo</c:v>
                </c:pt>
                <c:pt idx="1042">
                  <c:v>Narcisa Marco</c:v>
                </c:pt>
                <c:pt idx="1043">
                  <c:v>Narcisa Tapia</c:v>
                </c:pt>
                <c:pt idx="1044">
                  <c:v>Narcisa Villena</c:v>
                </c:pt>
                <c:pt idx="1045">
                  <c:v>Narciso Briones</c:v>
                </c:pt>
                <c:pt idx="1046">
                  <c:v>Natalio Gálvez</c:v>
                </c:pt>
                <c:pt idx="1047">
                  <c:v>Natanael Alcolea</c:v>
                </c:pt>
                <c:pt idx="1048">
                  <c:v>Natanael Baeza</c:v>
                </c:pt>
                <c:pt idx="1049">
                  <c:v>Natanael Pereira</c:v>
                </c:pt>
                <c:pt idx="1050">
                  <c:v>Natividad Llorente</c:v>
                </c:pt>
                <c:pt idx="1051">
                  <c:v>Nazaret Abellán</c:v>
                </c:pt>
                <c:pt idx="1052">
                  <c:v>Nazaret Martinez</c:v>
                </c:pt>
                <c:pt idx="1053">
                  <c:v>Nazaret Morales</c:v>
                </c:pt>
                <c:pt idx="1054">
                  <c:v>Nazaret Pérez</c:v>
                </c:pt>
                <c:pt idx="1055">
                  <c:v>Nazario Mateos</c:v>
                </c:pt>
                <c:pt idx="1056">
                  <c:v>Nélida Quiroga</c:v>
                </c:pt>
                <c:pt idx="1057">
                  <c:v>Nerea Nicolau</c:v>
                </c:pt>
                <c:pt idx="1058">
                  <c:v>Nereida Amigó</c:v>
                </c:pt>
                <c:pt idx="1059">
                  <c:v>Néstor Águila</c:v>
                </c:pt>
                <c:pt idx="1060">
                  <c:v>Néstor Galindo</c:v>
                </c:pt>
                <c:pt idx="1061">
                  <c:v>Néstor Galvez</c:v>
                </c:pt>
                <c:pt idx="1062">
                  <c:v>Nico Bayo</c:v>
                </c:pt>
                <c:pt idx="1063">
                  <c:v>Nico Campo</c:v>
                </c:pt>
                <c:pt idx="1064">
                  <c:v>Nico Torrents</c:v>
                </c:pt>
                <c:pt idx="1065">
                  <c:v>Nicodemo Madrigal</c:v>
                </c:pt>
                <c:pt idx="1066">
                  <c:v>Nicolás Moliner</c:v>
                </c:pt>
                <c:pt idx="1067">
                  <c:v>Nicolasa Aguilera</c:v>
                </c:pt>
                <c:pt idx="1068">
                  <c:v>Nicolasa Anaya</c:v>
                </c:pt>
                <c:pt idx="1069">
                  <c:v>Nicolasa Buendía</c:v>
                </c:pt>
                <c:pt idx="1070">
                  <c:v>Nicolasa Ruano</c:v>
                </c:pt>
                <c:pt idx="1071">
                  <c:v>Nidia Monreal</c:v>
                </c:pt>
                <c:pt idx="1072">
                  <c:v>Nieves Benito</c:v>
                </c:pt>
                <c:pt idx="1073">
                  <c:v>Nieves Díaz</c:v>
                </c:pt>
                <c:pt idx="1074">
                  <c:v>Nilda Cases</c:v>
                </c:pt>
                <c:pt idx="1075">
                  <c:v>Nilda Ruano</c:v>
                </c:pt>
                <c:pt idx="1076">
                  <c:v>Nilo Martínez</c:v>
                </c:pt>
                <c:pt idx="1077">
                  <c:v>Nilo Mir</c:v>
                </c:pt>
                <c:pt idx="1078">
                  <c:v>Noé Andres</c:v>
                </c:pt>
                <c:pt idx="1079">
                  <c:v>Noé Font</c:v>
                </c:pt>
                <c:pt idx="1080">
                  <c:v>Noé Plana</c:v>
                </c:pt>
                <c:pt idx="1081">
                  <c:v>Noé Riera</c:v>
                </c:pt>
                <c:pt idx="1082">
                  <c:v>Noelia Téllez</c:v>
                </c:pt>
                <c:pt idx="1083">
                  <c:v>Noemí Cózar</c:v>
                </c:pt>
                <c:pt idx="1084">
                  <c:v>Noemí Español</c:v>
                </c:pt>
                <c:pt idx="1085">
                  <c:v>Noemí Paniagua</c:v>
                </c:pt>
                <c:pt idx="1086">
                  <c:v>Noemí Sotelo</c:v>
                </c:pt>
                <c:pt idx="1087">
                  <c:v>Norberto Barrios</c:v>
                </c:pt>
                <c:pt idx="1088">
                  <c:v>Norberto Seco</c:v>
                </c:pt>
                <c:pt idx="1089">
                  <c:v>Nuria Cánovas</c:v>
                </c:pt>
                <c:pt idx="1090">
                  <c:v>Obdulia Jurado</c:v>
                </c:pt>
                <c:pt idx="1091">
                  <c:v>Obdulia Peñas</c:v>
                </c:pt>
                <c:pt idx="1092">
                  <c:v>Obdulia Salcedo</c:v>
                </c:pt>
                <c:pt idx="1093">
                  <c:v>Octavia Benítez</c:v>
                </c:pt>
                <c:pt idx="1094">
                  <c:v>Octavia Salinas</c:v>
                </c:pt>
                <c:pt idx="1095">
                  <c:v>Octavio Enríquez</c:v>
                </c:pt>
                <c:pt idx="1096">
                  <c:v>Octavio Osorio</c:v>
                </c:pt>
                <c:pt idx="1097">
                  <c:v>Octavio Pla</c:v>
                </c:pt>
                <c:pt idx="1098">
                  <c:v>Octavio Vega</c:v>
                </c:pt>
                <c:pt idx="1099">
                  <c:v>Odalis Arias</c:v>
                </c:pt>
                <c:pt idx="1100">
                  <c:v>Odalis Marco</c:v>
                </c:pt>
                <c:pt idx="1101">
                  <c:v>Odalis Morera</c:v>
                </c:pt>
                <c:pt idx="1102">
                  <c:v>Odalis Valentín</c:v>
                </c:pt>
                <c:pt idx="1103">
                  <c:v>Ofelia Aroca</c:v>
                </c:pt>
                <c:pt idx="1104">
                  <c:v>Ofelia Bayo</c:v>
                </c:pt>
                <c:pt idx="1105">
                  <c:v>Ofelia Lerma</c:v>
                </c:pt>
                <c:pt idx="1106">
                  <c:v>Olalla Figuerola</c:v>
                </c:pt>
                <c:pt idx="1107">
                  <c:v>Olegario Arco</c:v>
                </c:pt>
                <c:pt idx="1108">
                  <c:v>Olegario Pera</c:v>
                </c:pt>
                <c:pt idx="1109">
                  <c:v>Olga Aguiló</c:v>
                </c:pt>
                <c:pt idx="1110">
                  <c:v>Olga Ortuño</c:v>
                </c:pt>
                <c:pt idx="1111">
                  <c:v>Olimpia Blazquez</c:v>
                </c:pt>
                <c:pt idx="1112">
                  <c:v>Olimpia Gracia</c:v>
                </c:pt>
                <c:pt idx="1113">
                  <c:v>Onofre Cabañas</c:v>
                </c:pt>
                <c:pt idx="1114">
                  <c:v>Onofre Sanjuan</c:v>
                </c:pt>
                <c:pt idx="1115">
                  <c:v>Oriana Barragán</c:v>
                </c:pt>
                <c:pt idx="1116">
                  <c:v>Oriana Ramis</c:v>
                </c:pt>
                <c:pt idx="1117">
                  <c:v>Óscar Anguita</c:v>
                </c:pt>
                <c:pt idx="1118">
                  <c:v>Óscar Céspedes</c:v>
                </c:pt>
                <c:pt idx="1119">
                  <c:v>Osvaldo Berrocal</c:v>
                </c:pt>
                <c:pt idx="1120">
                  <c:v>Ovidio Cáceres</c:v>
                </c:pt>
                <c:pt idx="1121">
                  <c:v>Ovidio Costa</c:v>
                </c:pt>
                <c:pt idx="1122">
                  <c:v>Ovidio Valenzuela</c:v>
                </c:pt>
                <c:pt idx="1123">
                  <c:v>Pablo Pulido</c:v>
                </c:pt>
                <c:pt idx="1124">
                  <c:v>Paca Moliner</c:v>
                </c:pt>
                <c:pt idx="1125">
                  <c:v>Pacífica Borrego</c:v>
                </c:pt>
                <c:pt idx="1126">
                  <c:v>Pacífica Escudero</c:v>
                </c:pt>
                <c:pt idx="1127">
                  <c:v>Pacífica Pintor</c:v>
                </c:pt>
                <c:pt idx="1128">
                  <c:v>Pacífica Ropero</c:v>
                </c:pt>
                <c:pt idx="1129">
                  <c:v>Paco Piñol</c:v>
                </c:pt>
                <c:pt idx="1130">
                  <c:v>Palmira Tejedor</c:v>
                </c:pt>
                <c:pt idx="1131">
                  <c:v>Paloma Escrivá</c:v>
                </c:pt>
                <c:pt idx="1132">
                  <c:v>Paloma Tejedor</c:v>
                </c:pt>
                <c:pt idx="1133">
                  <c:v>Pancho Alcalde</c:v>
                </c:pt>
                <c:pt idx="1134">
                  <c:v>Pancho Zurita</c:v>
                </c:pt>
                <c:pt idx="1135">
                  <c:v>Pánfilo Adán</c:v>
                </c:pt>
                <c:pt idx="1136">
                  <c:v>Pánfilo Atienza</c:v>
                </c:pt>
                <c:pt idx="1137">
                  <c:v>Pánfilo Pareja</c:v>
                </c:pt>
                <c:pt idx="1138">
                  <c:v>Pánfilo Peiró</c:v>
                </c:pt>
                <c:pt idx="1139">
                  <c:v>Pascual Madrigal</c:v>
                </c:pt>
                <c:pt idx="1140">
                  <c:v>Pascual Salcedo</c:v>
                </c:pt>
                <c:pt idx="1141">
                  <c:v>Pastor Ochoa</c:v>
                </c:pt>
                <c:pt idx="1142">
                  <c:v>Pastora Benavente</c:v>
                </c:pt>
                <c:pt idx="1143">
                  <c:v>Pastora Morera</c:v>
                </c:pt>
                <c:pt idx="1144">
                  <c:v>Patricia Gárate</c:v>
                </c:pt>
                <c:pt idx="1145">
                  <c:v>Patricia Mariscal</c:v>
                </c:pt>
                <c:pt idx="1146">
                  <c:v>Patricia Martí</c:v>
                </c:pt>
                <c:pt idx="1147">
                  <c:v>Patricia Pedro</c:v>
                </c:pt>
                <c:pt idx="1148">
                  <c:v>Patricia Quesada</c:v>
                </c:pt>
                <c:pt idx="1149">
                  <c:v>Patricio Alcolea</c:v>
                </c:pt>
                <c:pt idx="1150">
                  <c:v>Patricio Alegria</c:v>
                </c:pt>
                <c:pt idx="1151">
                  <c:v>Patricio Tello</c:v>
                </c:pt>
                <c:pt idx="1152">
                  <c:v>Paulina Macías</c:v>
                </c:pt>
                <c:pt idx="1153">
                  <c:v>Paulino Cepeda</c:v>
                </c:pt>
                <c:pt idx="1154">
                  <c:v>Paz Botella</c:v>
                </c:pt>
                <c:pt idx="1155">
                  <c:v>Paz Chamorro</c:v>
                </c:pt>
                <c:pt idx="1156">
                  <c:v>Paz Nebot</c:v>
                </c:pt>
                <c:pt idx="1157">
                  <c:v>Paz Palacios</c:v>
                </c:pt>
                <c:pt idx="1158">
                  <c:v>Pedro Vives</c:v>
                </c:pt>
                <c:pt idx="1159">
                  <c:v>Pelayo Caparrós</c:v>
                </c:pt>
                <c:pt idx="1160">
                  <c:v>Pelayo Carbajo</c:v>
                </c:pt>
                <c:pt idx="1161">
                  <c:v>Pelayo Cerro</c:v>
                </c:pt>
                <c:pt idx="1162">
                  <c:v>Pelayo Cervera</c:v>
                </c:pt>
                <c:pt idx="1163">
                  <c:v>Pelayo Pagès</c:v>
                </c:pt>
                <c:pt idx="1164">
                  <c:v>Pepe Fernandez</c:v>
                </c:pt>
                <c:pt idx="1165">
                  <c:v>Pepe Sanabria</c:v>
                </c:pt>
                <c:pt idx="1166">
                  <c:v>Pepita Uría</c:v>
                </c:pt>
                <c:pt idx="1167">
                  <c:v>Pepito Barriga</c:v>
                </c:pt>
                <c:pt idx="1168">
                  <c:v>Pepito Cabanillas</c:v>
                </c:pt>
                <c:pt idx="1169">
                  <c:v>Pepito Iglesia</c:v>
                </c:pt>
                <c:pt idx="1170">
                  <c:v>Pepito Madrigal</c:v>
                </c:pt>
                <c:pt idx="1171">
                  <c:v>Pepito Pascual</c:v>
                </c:pt>
                <c:pt idx="1172">
                  <c:v>Perla Perea</c:v>
                </c:pt>
                <c:pt idx="1173">
                  <c:v>Perlita Doménech</c:v>
                </c:pt>
                <c:pt idx="1174">
                  <c:v>Petrona Izquierdo</c:v>
                </c:pt>
                <c:pt idx="1175">
                  <c:v>Petrona Piñeiro</c:v>
                </c:pt>
                <c:pt idx="1176">
                  <c:v>Pía Solsona</c:v>
                </c:pt>
                <c:pt idx="1177">
                  <c:v>Piedad Esteban</c:v>
                </c:pt>
                <c:pt idx="1178">
                  <c:v>Piedad Fabregat</c:v>
                </c:pt>
                <c:pt idx="1179">
                  <c:v>Piedad Ferrera</c:v>
                </c:pt>
                <c:pt idx="1180">
                  <c:v>Piedad Gallo</c:v>
                </c:pt>
                <c:pt idx="1181">
                  <c:v>Pilar Araujo</c:v>
                </c:pt>
                <c:pt idx="1182">
                  <c:v>Pío Amaya</c:v>
                </c:pt>
                <c:pt idx="1183">
                  <c:v>Pío Haro</c:v>
                </c:pt>
                <c:pt idx="1184">
                  <c:v>Pío Ortuño</c:v>
                </c:pt>
                <c:pt idx="1185">
                  <c:v>Pío Pastor</c:v>
                </c:pt>
                <c:pt idx="1186">
                  <c:v>Pío Somoza</c:v>
                </c:pt>
                <c:pt idx="1187">
                  <c:v>Plácido Arévalo</c:v>
                </c:pt>
                <c:pt idx="1188">
                  <c:v>Plinio Sosa</c:v>
                </c:pt>
                <c:pt idx="1189">
                  <c:v>Poncio Chaves</c:v>
                </c:pt>
                <c:pt idx="1190">
                  <c:v>Poncio Lerma</c:v>
                </c:pt>
                <c:pt idx="1191">
                  <c:v>Porfirio Sancho</c:v>
                </c:pt>
                <c:pt idx="1192">
                  <c:v>Primitiva Rivas</c:v>
                </c:pt>
                <c:pt idx="1193">
                  <c:v>Primitiva Solé</c:v>
                </c:pt>
                <c:pt idx="1194">
                  <c:v>Primitivo Ferrán</c:v>
                </c:pt>
                <c:pt idx="1195">
                  <c:v>Priscila Gallart</c:v>
                </c:pt>
                <c:pt idx="1196">
                  <c:v>Prudencia Llabrés</c:v>
                </c:pt>
                <c:pt idx="1197">
                  <c:v>Prudencia Manzano</c:v>
                </c:pt>
                <c:pt idx="1198">
                  <c:v>Prudencio Expósito</c:v>
                </c:pt>
                <c:pt idx="1199">
                  <c:v>Purificación Arribas</c:v>
                </c:pt>
                <c:pt idx="1200">
                  <c:v>Purificación Garcés</c:v>
                </c:pt>
                <c:pt idx="1201">
                  <c:v>Quique Herrera</c:v>
                </c:pt>
                <c:pt idx="1202">
                  <c:v>Quique Lara</c:v>
                </c:pt>
                <c:pt idx="1203">
                  <c:v>Quirino Uribe</c:v>
                </c:pt>
                <c:pt idx="1204">
                  <c:v>Quirino Vargas</c:v>
                </c:pt>
                <c:pt idx="1205">
                  <c:v>Rafa Rey</c:v>
                </c:pt>
                <c:pt idx="1206">
                  <c:v>Rafael Díez</c:v>
                </c:pt>
                <c:pt idx="1207">
                  <c:v>Rafael Redondo</c:v>
                </c:pt>
                <c:pt idx="1208">
                  <c:v>Rafaela Amores</c:v>
                </c:pt>
                <c:pt idx="1209">
                  <c:v>Rafaela Anglada</c:v>
                </c:pt>
                <c:pt idx="1210">
                  <c:v>Rafaela Cepeda</c:v>
                </c:pt>
                <c:pt idx="1211">
                  <c:v>Rafaela Ferrández</c:v>
                </c:pt>
                <c:pt idx="1212">
                  <c:v>Rafaela Villa</c:v>
                </c:pt>
                <c:pt idx="1213">
                  <c:v>Raimundo Llobet</c:v>
                </c:pt>
                <c:pt idx="1214">
                  <c:v>Ramón Acero</c:v>
                </c:pt>
                <c:pt idx="1215">
                  <c:v>Ramón Valle</c:v>
                </c:pt>
                <c:pt idx="1216">
                  <c:v>Raquel Castells</c:v>
                </c:pt>
                <c:pt idx="1217">
                  <c:v>Raquel Quintero</c:v>
                </c:pt>
                <c:pt idx="1218">
                  <c:v>Raúl Alonso</c:v>
                </c:pt>
                <c:pt idx="1219">
                  <c:v>Raúl Bautista</c:v>
                </c:pt>
                <c:pt idx="1220">
                  <c:v>Raúl Figuerola</c:v>
                </c:pt>
                <c:pt idx="1221">
                  <c:v>Raúl Gargallo</c:v>
                </c:pt>
                <c:pt idx="1222">
                  <c:v>Raúl Solera</c:v>
                </c:pt>
                <c:pt idx="1223">
                  <c:v>Raúl Zurita</c:v>
                </c:pt>
                <c:pt idx="1224">
                  <c:v>Rebeca Calvet</c:v>
                </c:pt>
                <c:pt idx="1225">
                  <c:v>Regina Fuster</c:v>
                </c:pt>
                <c:pt idx="1226">
                  <c:v>Regina Jover</c:v>
                </c:pt>
                <c:pt idx="1227">
                  <c:v>Régulo Daza</c:v>
                </c:pt>
                <c:pt idx="1228">
                  <c:v>Reina Cerro</c:v>
                </c:pt>
                <c:pt idx="1229">
                  <c:v>Reina Garzón</c:v>
                </c:pt>
                <c:pt idx="1230">
                  <c:v>Reina Suárez</c:v>
                </c:pt>
                <c:pt idx="1231">
                  <c:v>Reinaldo Camps</c:v>
                </c:pt>
                <c:pt idx="1232">
                  <c:v>Remedios Alvarez</c:v>
                </c:pt>
                <c:pt idx="1233">
                  <c:v>Remedios Rosado</c:v>
                </c:pt>
                <c:pt idx="1234">
                  <c:v>Renata Guzmán</c:v>
                </c:pt>
                <c:pt idx="1235">
                  <c:v>Renata Valbuena</c:v>
                </c:pt>
                <c:pt idx="1236">
                  <c:v>Renato Casas</c:v>
                </c:pt>
                <c:pt idx="1237">
                  <c:v>Renato Macias</c:v>
                </c:pt>
                <c:pt idx="1238">
                  <c:v>Renato Sánchez</c:v>
                </c:pt>
                <c:pt idx="1239">
                  <c:v>Renato Suarez</c:v>
                </c:pt>
                <c:pt idx="1240">
                  <c:v>René Novoa</c:v>
                </c:pt>
                <c:pt idx="1241">
                  <c:v>René Ribas</c:v>
                </c:pt>
                <c:pt idx="1242">
                  <c:v>Reyna Lopez</c:v>
                </c:pt>
                <c:pt idx="1243">
                  <c:v>Reyna Millán</c:v>
                </c:pt>
                <c:pt idx="1244">
                  <c:v>Reynaldo Montoya</c:v>
                </c:pt>
                <c:pt idx="1245">
                  <c:v>Ricarda Bayón</c:v>
                </c:pt>
                <c:pt idx="1246">
                  <c:v>Ricarda Pedraza</c:v>
                </c:pt>
                <c:pt idx="1247">
                  <c:v>Ricarda Tenorio</c:v>
                </c:pt>
                <c:pt idx="1248">
                  <c:v>Ricardo Tomé</c:v>
                </c:pt>
                <c:pt idx="1249">
                  <c:v>Rico Belda</c:v>
                </c:pt>
                <c:pt idx="1250">
                  <c:v>Rico Collado</c:v>
                </c:pt>
                <c:pt idx="1251">
                  <c:v>Rico Soriano</c:v>
                </c:pt>
                <c:pt idx="1252">
                  <c:v>Rita Carro</c:v>
                </c:pt>
                <c:pt idx="1253">
                  <c:v>Roberto Alberola</c:v>
                </c:pt>
                <c:pt idx="1254">
                  <c:v>Roberto Pombo</c:v>
                </c:pt>
                <c:pt idx="1255">
                  <c:v>Roberto Rosales</c:v>
                </c:pt>
                <c:pt idx="1256">
                  <c:v>Roberto Villalonga</c:v>
                </c:pt>
                <c:pt idx="1257">
                  <c:v>Rocío Calleja</c:v>
                </c:pt>
                <c:pt idx="1258">
                  <c:v>Rocío Gárate</c:v>
                </c:pt>
                <c:pt idx="1259">
                  <c:v>Rocío Méndez</c:v>
                </c:pt>
                <c:pt idx="1260">
                  <c:v>Rodolfo Báez</c:v>
                </c:pt>
                <c:pt idx="1261">
                  <c:v>Rodolfo Bastida</c:v>
                </c:pt>
                <c:pt idx="1262">
                  <c:v>Rodolfo Fuster</c:v>
                </c:pt>
                <c:pt idx="1263">
                  <c:v>Rodolfo Gras</c:v>
                </c:pt>
                <c:pt idx="1264">
                  <c:v>Rodolfo Pedraza</c:v>
                </c:pt>
                <c:pt idx="1265">
                  <c:v>Rodolfo Santamaría</c:v>
                </c:pt>
                <c:pt idx="1266">
                  <c:v>Rogelio Fortuny</c:v>
                </c:pt>
                <c:pt idx="1267">
                  <c:v>Rogelio Ramos</c:v>
                </c:pt>
                <c:pt idx="1268">
                  <c:v>Rolando Arjona</c:v>
                </c:pt>
                <c:pt idx="1269">
                  <c:v>Rolando Belda</c:v>
                </c:pt>
                <c:pt idx="1270">
                  <c:v>Rolando Cal</c:v>
                </c:pt>
                <c:pt idx="1271">
                  <c:v>Roldán Robledo</c:v>
                </c:pt>
                <c:pt idx="1272">
                  <c:v>Roque Martinez</c:v>
                </c:pt>
                <c:pt idx="1273">
                  <c:v>Rosa Aguirre</c:v>
                </c:pt>
                <c:pt idx="1274">
                  <c:v>Rosa Baena</c:v>
                </c:pt>
                <c:pt idx="1275">
                  <c:v>Rosa María Estevez</c:v>
                </c:pt>
                <c:pt idx="1276">
                  <c:v>Rosa Peinado</c:v>
                </c:pt>
                <c:pt idx="1277">
                  <c:v>Rosalía Agustín</c:v>
                </c:pt>
                <c:pt idx="1278">
                  <c:v>Rosalina Gallardo</c:v>
                </c:pt>
                <c:pt idx="1279">
                  <c:v>Rosalina Tejera</c:v>
                </c:pt>
                <c:pt idx="1280">
                  <c:v>Rosalinda Giner</c:v>
                </c:pt>
                <c:pt idx="1281">
                  <c:v>Rosalva Morera</c:v>
                </c:pt>
                <c:pt idx="1282">
                  <c:v>Rosario Alfonso</c:v>
                </c:pt>
                <c:pt idx="1283">
                  <c:v>Rosario Comas</c:v>
                </c:pt>
                <c:pt idx="1284">
                  <c:v>Rosario Olivera</c:v>
                </c:pt>
                <c:pt idx="1285">
                  <c:v>Rosario Salazar</c:v>
                </c:pt>
                <c:pt idx="1286">
                  <c:v>Rosaura Frutos</c:v>
                </c:pt>
                <c:pt idx="1287">
                  <c:v>Rosaura Tomas</c:v>
                </c:pt>
                <c:pt idx="1288">
                  <c:v>Rosenda Cuervo</c:v>
                </c:pt>
                <c:pt idx="1289">
                  <c:v>Rosendo Delgado</c:v>
                </c:pt>
                <c:pt idx="1290">
                  <c:v>Roxana Infante</c:v>
                </c:pt>
                <c:pt idx="1291">
                  <c:v>Rubén Abad</c:v>
                </c:pt>
                <c:pt idx="1292">
                  <c:v>Ruben Acevedo</c:v>
                </c:pt>
                <c:pt idx="1293">
                  <c:v>Rubén Armengol</c:v>
                </c:pt>
                <c:pt idx="1294">
                  <c:v>Rubén Macías</c:v>
                </c:pt>
                <c:pt idx="1295">
                  <c:v>Rufina Ayuso</c:v>
                </c:pt>
                <c:pt idx="1296">
                  <c:v>Rufina Ortiz</c:v>
                </c:pt>
                <c:pt idx="1297">
                  <c:v>Rufina Porras</c:v>
                </c:pt>
                <c:pt idx="1298">
                  <c:v>Rufina Saldaña</c:v>
                </c:pt>
                <c:pt idx="1299">
                  <c:v>Ruperta Ledesma</c:v>
                </c:pt>
                <c:pt idx="1300">
                  <c:v>Ruperto Elías</c:v>
                </c:pt>
                <c:pt idx="1301">
                  <c:v>Ruperto Nevado</c:v>
                </c:pt>
                <c:pt idx="1302">
                  <c:v>Ruth Berrocal</c:v>
                </c:pt>
                <c:pt idx="1303">
                  <c:v>Ruth Domingo</c:v>
                </c:pt>
                <c:pt idx="1304">
                  <c:v>Ruth Galindo</c:v>
                </c:pt>
                <c:pt idx="1305">
                  <c:v>Ruth Mesa</c:v>
                </c:pt>
                <c:pt idx="1306">
                  <c:v>Ruy Adadia</c:v>
                </c:pt>
                <c:pt idx="1307">
                  <c:v>Ruy Bárcena</c:v>
                </c:pt>
                <c:pt idx="1308">
                  <c:v>Ruy Fernández</c:v>
                </c:pt>
                <c:pt idx="1309">
                  <c:v>Ruy Olivera</c:v>
                </c:pt>
                <c:pt idx="1310">
                  <c:v>Ruy Redondo</c:v>
                </c:pt>
                <c:pt idx="1311">
                  <c:v>Sabas Collado</c:v>
                </c:pt>
                <c:pt idx="1312">
                  <c:v>Sabas Guillén</c:v>
                </c:pt>
                <c:pt idx="1313">
                  <c:v>Sabina Solano</c:v>
                </c:pt>
                <c:pt idx="1314">
                  <c:v>Salvador Sala</c:v>
                </c:pt>
                <c:pt idx="1315">
                  <c:v>Salvador Verdú</c:v>
                </c:pt>
                <c:pt idx="1316">
                  <c:v>Samanta Duque</c:v>
                </c:pt>
                <c:pt idx="1317">
                  <c:v>Samanta Roman</c:v>
                </c:pt>
                <c:pt idx="1318">
                  <c:v>Samu Giménez</c:v>
                </c:pt>
                <c:pt idx="1319">
                  <c:v>Samu Lozano</c:v>
                </c:pt>
                <c:pt idx="1320">
                  <c:v>Samuel Bernal</c:v>
                </c:pt>
                <c:pt idx="1321">
                  <c:v>Samuel Cornejo</c:v>
                </c:pt>
                <c:pt idx="1322">
                  <c:v>Samuel Plana</c:v>
                </c:pt>
                <c:pt idx="1323">
                  <c:v>Sandra Bustamante</c:v>
                </c:pt>
                <c:pt idx="1324">
                  <c:v>Santiago Acosta</c:v>
                </c:pt>
                <c:pt idx="1325">
                  <c:v>Santiago Pastor</c:v>
                </c:pt>
                <c:pt idx="1326">
                  <c:v>Santiago Santamaria</c:v>
                </c:pt>
                <c:pt idx="1327">
                  <c:v>Santos Álamo</c:v>
                </c:pt>
                <c:pt idx="1328">
                  <c:v>Santos Feliu</c:v>
                </c:pt>
                <c:pt idx="1329">
                  <c:v>Santos Pinedo</c:v>
                </c:pt>
                <c:pt idx="1330">
                  <c:v>Santos Vizcaíno</c:v>
                </c:pt>
                <c:pt idx="1331">
                  <c:v>Sara Andreu</c:v>
                </c:pt>
                <c:pt idx="1332">
                  <c:v>Sara Gargallo</c:v>
                </c:pt>
                <c:pt idx="1333">
                  <c:v>Sara Mayoral</c:v>
                </c:pt>
                <c:pt idx="1334">
                  <c:v>Sara Moya</c:v>
                </c:pt>
                <c:pt idx="1335">
                  <c:v>Sarita Pallarès</c:v>
                </c:pt>
                <c:pt idx="1336">
                  <c:v>Saturnina Ballester</c:v>
                </c:pt>
                <c:pt idx="1337">
                  <c:v>Saturnino Company</c:v>
                </c:pt>
                <c:pt idx="1338">
                  <c:v>Saturnino Mateo</c:v>
                </c:pt>
                <c:pt idx="1339">
                  <c:v>Sebastián Ballester</c:v>
                </c:pt>
                <c:pt idx="1340">
                  <c:v>Sebastian Gonzalez</c:v>
                </c:pt>
                <c:pt idx="1341">
                  <c:v>Sebastián Palau</c:v>
                </c:pt>
                <c:pt idx="1342">
                  <c:v>Sebastián Tomas</c:v>
                </c:pt>
                <c:pt idx="1343">
                  <c:v>Segismundo Benito</c:v>
                </c:pt>
                <c:pt idx="1344">
                  <c:v>Segismundo Recio</c:v>
                </c:pt>
                <c:pt idx="1345">
                  <c:v>Selena Ledesma</c:v>
                </c:pt>
                <c:pt idx="1346">
                  <c:v>Serafina Camacho</c:v>
                </c:pt>
                <c:pt idx="1347">
                  <c:v>Serafina Valle</c:v>
                </c:pt>
                <c:pt idx="1348">
                  <c:v>Serafina Villalobos</c:v>
                </c:pt>
                <c:pt idx="1349">
                  <c:v>Sergio Arcos</c:v>
                </c:pt>
                <c:pt idx="1350">
                  <c:v>Sergio Sebastián</c:v>
                </c:pt>
                <c:pt idx="1351">
                  <c:v>Seve Barco</c:v>
                </c:pt>
                <c:pt idx="1352">
                  <c:v>Seve Gracia</c:v>
                </c:pt>
                <c:pt idx="1353">
                  <c:v>Severino Beltrán</c:v>
                </c:pt>
                <c:pt idx="1354">
                  <c:v>Severino Figueras</c:v>
                </c:pt>
                <c:pt idx="1355">
                  <c:v>Severo Ariño</c:v>
                </c:pt>
                <c:pt idx="1356">
                  <c:v>Sigfrido Dueñas</c:v>
                </c:pt>
                <c:pt idx="1357">
                  <c:v>Sigfrido Duque</c:v>
                </c:pt>
                <c:pt idx="1358">
                  <c:v>Sigfrido Gelabert</c:v>
                </c:pt>
                <c:pt idx="1359">
                  <c:v>Sigfrido Pablo</c:v>
                </c:pt>
                <c:pt idx="1360">
                  <c:v>Silvestre Ribes</c:v>
                </c:pt>
                <c:pt idx="1361">
                  <c:v>Silvia Escalona</c:v>
                </c:pt>
                <c:pt idx="1362">
                  <c:v>Silvia Rodrigo</c:v>
                </c:pt>
                <c:pt idx="1363">
                  <c:v>Silvio Mascaró</c:v>
                </c:pt>
                <c:pt idx="1364">
                  <c:v>Silvio Sans</c:v>
                </c:pt>
                <c:pt idx="1365">
                  <c:v>Silvio Zabaleta</c:v>
                </c:pt>
                <c:pt idx="1366">
                  <c:v>Simón Amo</c:v>
                </c:pt>
                <c:pt idx="1367">
                  <c:v>Simón Ibarra</c:v>
                </c:pt>
                <c:pt idx="1368">
                  <c:v>Simón Morales</c:v>
                </c:pt>
                <c:pt idx="1369">
                  <c:v>Simón Palau</c:v>
                </c:pt>
                <c:pt idx="1370">
                  <c:v>Socorro Benitez</c:v>
                </c:pt>
                <c:pt idx="1371">
                  <c:v>Sofía Cobo</c:v>
                </c:pt>
                <c:pt idx="1372">
                  <c:v>Soledad Pla</c:v>
                </c:pt>
                <c:pt idx="1373">
                  <c:v>Sonia Carmona</c:v>
                </c:pt>
                <c:pt idx="1374">
                  <c:v>Sonia Heras</c:v>
                </c:pt>
                <c:pt idx="1375">
                  <c:v>Sonia Mayo</c:v>
                </c:pt>
                <c:pt idx="1376">
                  <c:v>Sonia Vara</c:v>
                </c:pt>
                <c:pt idx="1377">
                  <c:v>Soraya Mir</c:v>
                </c:pt>
                <c:pt idx="1378">
                  <c:v>Soraya Mora</c:v>
                </c:pt>
                <c:pt idx="1379">
                  <c:v>Sosimo Ropero</c:v>
                </c:pt>
                <c:pt idx="1380">
                  <c:v>Susana Esteban</c:v>
                </c:pt>
                <c:pt idx="1381">
                  <c:v>Susana Quintero</c:v>
                </c:pt>
                <c:pt idx="1382">
                  <c:v>Susana Ropero</c:v>
                </c:pt>
                <c:pt idx="1383">
                  <c:v>Susana Sáez</c:v>
                </c:pt>
                <c:pt idx="1384">
                  <c:v>Susanita Luís</c:v>
                </c:pt>
                <c:pt idx="1385">
                  <c:v>Tamara Torre</c:v>
                </c:pt>
                <c:pt idx="1386">
                  <c:v>Tania Gomila</c:v>
                </c:pt>
                <c:pt idx="1387">
                  <c:v>Tania Ruano</c:v>
                </c:pt>
                <c:pt idx="1388">
                  <c:v>Tatiana Prieto</c:v>
                </c:pt>
                <c:pt idx="1389">
                  <c:v>Tatiana Valls</c:v>
                </c:pt>
                <c:pt idx="1390">
                  <c:v>Tatiana Viñas</c:v>
                </c:pt>
                <c:pt idx="1391">
                  <c:v>Tecla Palomino</c:v>
                </c:pt>
                <c:pt idx="1392">
                  <c:v>Telmo Colomer</c:v>
                </c:pt>
                <c:pt idx="1393">
                  <c:v>Teo Pedrosa</c:v>
                </c:pt>
                <c:pt idx="1394">
                  <c:v>Teodoro Doménech</c:v>
                </c:pt>
                <c:pt idx="1395">
                  <c:v>Teodoro Lladó</c:v>
                </c:pt>
                <c:pt idx="1396">
                  <c:v>Teodoro Vidal</c:v>
                </c:pt>
                <c:pt idx="1397">
                  <c:v>Teodosio Cifuentes</c:v>
                </c:pt>
                <c:pt idx="1398">
                  <c:v>Teófila Rozas</c:v>
                </c:pt>
                <c:pt idx="1399">
                  <c:v>Teófila Segovia</c:v>
                </c:pt>
                <c:pt idx="1400">
                  <c:v>Teófilo Mateu</c:v>
                </c:pt>
                <c:pt idx="1401">
                  <c:v>Teófilo Somoza</c:v>
                </c:pt>
                <c:pt idx="1402">
                  <c:v>Tere Alba</c:v>
                </c:pt>
                <c:pt idx="1403">
                  <c:v>Tere Álvarez</c:v>
                </c:pt>
                <c:pt idx="1404">
                  <c:v>Tere Mas</c:v>
                </c:pt>
                <c:pt idx="1405">
                  <c:v>Tere Villegas</c:v>
                </c:pt>
                <c:pt idx="1406">
                  <c:v>Teresa Bonilla</c:v>
                </c:pt>
                <c:pt idx="1407">
                  <c:v>Teresa Frías</c:v>
                </c:pt>
                <c:pt idx="1408">
                  <c:v>Teresa Peinado</c:v>
                </c:pt>
                <c:pt idx="1409">
                  <c:v>Teresita Fuentes</c:v>
                </c:pt>
                <c:pt idx="1410">
                  <c:v>Teresita Yuste</c:v>
                </c:pt>
                <c:pt idx="1411">
                  <c:v>Tiburcio Girón</c:v>
                </c:pt>
                <c:pt idx="1412">
                  <c:v>Tiburcio Lladó</c:v>
                </c:pt>
                <c:pt idx="1413">
                  <c:v>Tiburcio Mayo</c:v>
                </c:pt>
                <c:pt idx="1414">
                  <c:v>Tito Batlle</c:v>
                </c:pt>
                <c:pt idx="1415">
                  <c:v>Tomás Bou</c:v>
                </c:pt>
                <c:pt idx="1416">
                  <c:v>Tomasa Morante</c:v>
                </c:pt>
                <c:pt idx="1417">
                  <c:v>Tomasa Pelayo</c:v>
                </c:pt>
                <c:pt idx="1418">
                  <c:v>Toni Mariño</c:v>
                </c:pt>
                <c:pt idx="1419">
                  <c:v>Toni Moraleda</c:v>
                </c:pt>
                <c:pt idx="1420">
                  <c:v>Toni Morcillo</c:v>
                </c:pt>
                <c:pt idx="1421">
                  <c:v>Toño Borrás</c:v>
                </c:pt>
                <c:pt idx="1422">
                  <c:v>Toño Moles</c:v>
                </c:pt>
                <c:pt idx="1423">
                  <c:v>Toño Narváez</c:v>
                </c:pt>
                <c:pt idx="1424">
                  <c:v>Trini Bernat</c:v>
                </c:pt>
                <c:pt idx="1425">
                  <c:v>Trini Carpio</c:v>
                </c:pt>
                <c:pt idx="1426">
                  <c:v>Trinidad Ayllón</c:v>
                </c:pt>
                <c:pt idx="1427">
                  <c:v>Trinidad Neira</c:v>
                </c:pt>
                <c:pt idx="1428">
                  <c:v>Trinidad Torrecilla</c:v>
                </c:pt>
                <c:pt idx="1429">
                  <c:v>Ulises Gisbert</c:v>
                </c:pt>
                <c:pt idx="1430">
                  <c:v>Ulises Torres</c:v>
                </c:pt>
                <c:pt idx="1431">
                  <c:v>Ulises Vizcaíno</c:v>
                </c:pt>
                <c:pt idx="1432">
                  <c:v>Urbano Ortega</c:v>
                </c:pt>
                <c:pt idx="1433">
                  <c:v>Úrsula Portillo</c:v>
                </c:pt>
                <c:pt idx="1434">
                  <c:v>Valentín Río</c:v>
                </c:pt>
                <c:pt idx="1435">
                  <c:v>Valentín Sola</c:v>
                </c:pt>
                <c:pt idx="1436">
                  <c:v>Valentina Cueto</c:v>
                </c:pt>
                <c:pt idx="1437">
                  <c:v>Valentina Pascual</c:v>
                </c:pt>
                <c:pt idx="1438">
                  <c:v>Valentina Pi</c:v>
                </c:pt>
                <c:pt idx="1439">
                  <c:v>Valerio Leiva</c:v>
                </c:pt>
                <c:pt idx="1440">
                  <c:v>Valerio Requena</c:v>
                </c:pt>
                <c:pt idx="1441">
                  <c:v>Valero Clemente</c:v>
                </c:pt>
                <c:pt idx="1442">
                  <c:v>Vanesa Bayo</c:v>
                </c:pt>
                <c:pt idx="1443">
                  <c:v>Vanesa Sureda</c:v>
                </c:pt>
                <c:pt idx="1444">
                  <c:v>Vanesa Zorrilla</c:v>
                </c:pt>
                <c:pt idx="1445">
                  <c:v>Vasco Bas</c:v>
                </c:pt>
                <c:pt idx="1446">
                  <c:v>Vasco Fortuny</c:v>
                </c:pt>
                <c:pt idx="1447">
                  <c:v>Vasco Perez</c:v>
                </c:pt>
                <c:pt idx="1448">
                  <c:v>Vasco Rosselló</c:v>
                </c:pt>
                <c:pt idx="1449">
                  <c:v>Venceslás Carrera</c:v>
                </c:pt>
                <c:pt idx="1450">
                  <c:v>Vera Dominguez</c:v>
                </c:pt>
                <c:pt idx="1451">
                  <c:v>Vera Medina</c:v>
                </c:pt>
                <c:pt idx="1452">
                  <c:v>Verónica Anaya</c:v>
                </c:pt>
                <c:pt idx="1453">
                  <c:v>Verónica Colomer</c:v>
                </c:pt>
                <c:pt idx="1454">
                  <c:v>Verónica Cózar</c:v>
                </c:pt>
                <c:pt idx="1455">
                  <c:v>Verónica Uribe</c:v>
                </c:pt>
                <c:pt idx="1456">
                  <c:v>Verónica Vazquez</c:v>
                </c:pt>
                <c:pt idx="1457">
                  <c:v>Víctor Castrillo</c:v>
                </c:pt>
                <c:pt idx="1458">
                  <c:v>Víctor Chamorro</c:v>
                </c:pt>
                <c:pt idx="1459">
                  <c:v>Víctor Díez</c:v>
                </c:pt>
                <c:pt idx="1460">
                  <c:v>Victor Lago</c:v>
                </c:pt>
                <c:pt idx="1461">
                  <c:v>Victor Manuel Vives</c:v>
                </c:pt>
                <c:pt idx="1462">
                  <c:v>Victor Solís</c:v>
                </c:pt>
                <c:pt idx="1463">
                  <c:v>Victoria Checa</c:v>
                </c:pt>
                <c:pt idx="1464">
                  <c:v>Victoriano Pinto</c:v>
                </c:pt>
                <c:pt idx="1465">
                  <c:v>Victorino Nicolás</c:v>
                </c:pt>
                <c:pt idx="1466">
                  <c:v>Vidal Bas</c:v>
                </c:pt>
                <c:pt idx="1467">
                  <c:v>Vidal Roig</c:v>
                </c:pt>
                <c:pt idx="1468">
                  <c:v>Vidal Sevillano</c:v>
                </c:pt>
                <c:pt idx="1469">
                  <c:v>Vilma Castillo</c:v>
                </c:pt>
                <c:pt idx="1470">
                  <c:v>Vilma Contreras</c:v>
                </c:pt>
                <c:pt idx="1471">
                  <c:v>Vilma Orozco</c:v>
                </c:pt>
                <c:pt idx="1472">
                  <c:v>Vilma Sáez</c:v>
                </c:pt>
                <c:pt idx="1473">
                  <c:v>Vinicio Sebastián</c:v>
                </c:pt>
                <c:pt idx="1474">
                  <c:v>Violeta Carvajal</c:v>
                </c:pt>
                <c:pt idx="1475">
                  <c:v>Virgilio Márquez</c:v>
                </c:pt>
                <c:pt idx="1476">
                  <c:v>Virgilio Solano</c:v>
                </c:pt>
                <c:pt idx="1477">
                  <c:v>Visitación Alcaraz</c:v>
                </c:pt>
                <c:pt idx="1478">
                  <c:v>Vito Fabra</c:v>
                </c:pt>
                <c:pt idx="1479">
                  <c:v>Vito Jover</c:v>
                </c:pt>
                <c:pt idx="1480">
                  <c:v>Vito Marquez</c:v>
                </c:pt>
                <c:pt idx="1481">
                  <c:v>Wálter Cabañas</c:v>
                </c:pt>
                <c:pt idx="1482">
                  <c:v>Wálter Roldan</c:v>
                </c:pt>
                <c:pt idx="1483">
                  <c:v>Wilfredo Lloret</c:v>
                </c:pt>
                <c:pt idx="1484">
                  <c:v>Xavier Galván</c:v>
                </c:pt>
                <c:pt idx="1485">
                  <c:v>Xavier Pi</c:v>
                </c:pt>
                <c:pt idx="1486">
                  <c:v>Ximena Ariño</c:v>
                </c:pt>
                <c:pt idx="1487">
                  <c:v>Ximena Prats</c:v>
                </c:pt>
                <c:pt idx="1488">
                  <c:v>Xiomara Doménech</c:v>
                </c:pt>
                <c:pt idx="1489">
                  <c:v>Xiomara Solé</c:v>
                </c:pt>
                <c:pt idx="1490">
                  <c:v>Yago Pintor</c:v>
                </c:pt>
                <c:pt idx="1491">
                  <c:v>Yago Viña</c:v>
                </c:pt>
                <c:pt idx="1492">
                  <c:v>Yaiza Molins</c:v>
                </c:pt>
                <c:pt idx="1493">
                  <c:v>Yésica Blasco</c:v>
                </c:pt>
                <c:pt idx="1494">
                  <c:v>Zaira Casas</c:v>
                </c:pt>
                <c:pt idx="1495">
                  <c:v>Zaira Zabaleta</c:v>
                </c:pt>
                <c:pt idx="1496">
                  <c:v>Zoraida Amigó</c:v>
                </c:pt>
              </c:strCache>
            </c:strRef>
          </c:cat>
          <c:val>
            <c:numRef>
              <c:f>'Hoja Auxiliar'!$G$28:$G$1525</c:f>
              <c:numCache>
                <c:formatCode>"$"\ #,##0.00</c:formatCode>
                <c:ptCount val="1497"/>
                <c:pt idx="0">
                  <c:v>2081908</c:v>
                </c:pt>
                <c:pt idx="1">
                  <c:v>14160178</c:v>
                </c:pt>
                <c:pt idx="2">
                  <c:v>22708086</c:v>
                </c:pt>
                <c:pt idx="3">
                  <c:v>27047768</c:v>
                </c:pt>
                <c:pt idx="4">
                  <c:v>27884727</c:v>
                </c:pt>
                <c:pt idx="5">
                  <c:v>10206511</c:v>
                </c:pt>
                <c:pt idx="6">
                  <c:v>41817038</c:v>
                </c:pt>
                <c:pt idx="7">
                  <c:v>4006310</c:v>
                </c:pt>
                <c:pt idx="8">
                  <c:v>3947306</c:v>
                </c:pt>
                <c:pt idx="9">
                  <c:v>33087535</c:v>
                </c:pt>
                <c:pt idx="10">
                  <c:v>13027768</c:v>
                </c:pt>
                <c:pt idx="11">
                  <c:v>15043405</c:v>
                </c:pt>
                <c:pt idx="12">
                  <c:v>2043321</c:v>
                </c:pt>
                <c:pt idx="13">
                  <c:v>31859637</c:v>
                </c:pt>
                <c:pt idx="14">
                  <c:v>10477673</c:v>
                </c:pt>
                <c:pt idx="15">
                  <c:v>48781326</c:v>
                </c:pt>
                <c:pt idx="16">
                  <c:v>24244906</c:v>
                </c:pt>
                <c:pt idx="17">
                  <c:v>5014294</c:v>
                </c:pt>
                <c:pt idx="18">
                  <c:v>45135166</c:v>
                </c:pt>
                <c:pt idx="19">
                  <c:v>12007448</c:v>
                </c:pt>
                <c:pt idx="20">
                  <c:v>36543019</c:v>
                </c:pt>
                <c:pt idx="21">
                  <c:v>21650459</c:v>
                </c:pt>
                <c:pt idx="22">
                  <c:v>24338528</c:v>
                </c:pt>
                <c:pt idx="23">
                  <c:v>12862802</c:v>
                </c:pt>
                <c:pt idx="24">
                  <c:v>27661621</c:v>
                </c:pt>
                <c:pt idx="25">
                  <c:v>45097955</c:v>
                </c:pt>
                <c:pt idx="26">
                  <c:v>2078882</c:v>
                </c:pt>
                <c:pt idx="27">
                  <c:v>48527841</c:v>
                </c:pt>
                <c:pt idx="28">
                  <c:v>4313748</c:v>
                </c:pt>
                <c:pt idx="29">
                  <c:v>24971904</c:v>
                </c:pt>
                <c:pt idx="30">
                  <c:v>27988974</c:v>
                </c:pt>
                <c:pt idx="31">
                  <c:v>26896105</c:v>
                </c:pt>
                <c:pt idx="32">
                  <c:v>11722489</c:v>
                </c:pt>
                <c:pt idx="33">
                  <c:v>10896126</c:v>
                </c:pt>
                <c:pt idx="34">
                  <c:v>27534997</c:v>
                </c:pt>
                <c:pt idx="35">
                  <c:v>48197932</c:v>
                </c:pt>
                <c:pt idx="36">
                  <c:v>682518</c:v>
                </c:pt>
                <c:pt idx="37">
                  <c:v>42900024</c:v>
                </c:pt>
                <c:pt idx="38">
                  <c:v>19680679</c:v>
                </c:pt>
                <c:pt idx="39">
                  <c:v>7395751</c:v>
                </c:pt>
                <c:pt idx="40">
                  <c:v>48755181</c:v>
                </c:pt>
                <c:pt idx="41">
                  <c:v>13506193</c:v>
                </c:pt>
                <c:pt idx="42">
                  <c:v>20319539</c:v>
                </c:pt>
                <c:pt idx="43">
                  <c:v>23239673</c:v>
                </c:pt>
                <c:pt idx="44">
                  <c:v>27999567</c:v>
                </c:pt>
                <c:pt idx="45">
                  <c:v>11262132</c:v>
                </c:pt>
                <c:pt idx="46">
                  <c:v>24110262</c:v>
                </c:pt>
                <c:pt idx="47">
                  <c:v>39208581</c:v>
                </c:pt>
                <c:pt idx="48">
                  <c:v>30079652</c:v>
                </c:pt>
                <c:pt idx="49">
                  <c:v>28462984</c:v>
                </c:pt>
                <c:pt idx="50">
                  <c:v>21969048</c:v>
                </c:pt>
                <c:pt idx="51">
                  <c:v>1917829</c:v>
                </c:pt>
                <c:pt idx="52">
                  <c:v>36289531</c:v>
                </c:pt>
                <c:pt idx="53">
                  <c:v>32923989</c:v>
                </c:pt>
                <c:pt idx="54">
                  <c:v>1525825</c:v>
                </c:pt>
                <c:pt idx="55">
                  <c:v>33845206</c:v>
                </c:pt>
                <c:pt idx="56">
                  <c:v>37703722</c:v>
                </c:pt>
                <c:pt idx="57">
                  <c:v>9954043</c:v>
                </c:pt>
                <c:pt idx="58">
                  <c:v>4444287</c:v>
                </c:pt>
                <c:pt idx="59">
                  <c:v>1100003</c:v>
                </c:pt>
                <c:pt idx="60">
                  <c:v>47056451</c:v>
                </c:pt>
                <c:pt idx="61">
                  <c:v>28051112</c:v>
                </c:pt>
                <c:pt idx="62">
                  <c:v>45198237</c:v>
                </c:pt>
                <c:pt idx="63">
                  <c:v>15467026</c:v>
                </c:pt>
                <c:pt idx="64">
                  <c:v>8691719</c:v>
                </c:pt>
                <c:pt idx="65">
                  <c:v>10159989</c:v>
                </c:pt>
                <c:pt idx="66">
                  <c:v>4194052</c:v>
                </c:pt>
                <c:pt idx="67">
                  <c:v>46804834</c:v>
                </c:pt>
                <c:pt idx="68">
                  <c:v>22092549</c:v>
                </c:pt>
                <c:pt idx="69">
                  <c:v>40869147</c:v>
                </c:pt>
                <c:pt idx="70">
                  <c:v>4910231</c:v>
                </c:pt>
                <c:pt idx="71">
                  <c:v>1073284</c:v>
                </c:pt>
                <c:pt idx="72">
                  <c:v>7265809</c:v>
                </c:pt>
                <c:pt idx="73">
                  <c:v>10226832</c:v>
                </c:pt>
                <c:pt idx="74">
                  <c:v>356319</c:v>
                </c:pt>
                <c:pt idx="75">
                  <c:v>30598238</c:v>
                </c:pt>
                <c:pt idx="76">
                  <c:v>49453973</c:v>
                </c:pt>
                <c:pt idx="77">
                  <c:v>35775938</c:v>
                </c:pt>
                <c:pt idx="78">
                  <c:v>12150377</c:v>
                </c:pt>
                <c:pt idx="79">
                  <c:v>3155393</c:v>
                </c:pt>
                <c:pt idx="80">
                  <c:v>43774387</c:v>
                </c:pt>
                <c:pt idx="81">
                  <c:v>21316494</c:v>
                </c:pt>
                <c:pt idx="82">
                  <c:v>31705844</c:v>
                </c:pt>
                <c:pt idx="83">
                  <c:v>21350991</c:v>
                </c:pt>
                <c:pt idx="84">
                  <c:v>4003124</c:v>
                </c:pt>
                <c:pt idx="85">
                  <c:v>28403553</c:v>
                </c:pt>
                <c:pt idx="86">
                  <c:v>415243</c:v>
                </c:pt>
                <c:pt idx="87">
                  <c:v>23975413</c:v>
                </c:pt>
                <c:pt idx="88">
                  <c:v>224302</c:v>
                </c:pt>
                <c:pt idx="89">
                  <c:v>34382808</c:v>
                </c:pt>
                <c:pt idx="90">
                  <c:v>28823952</c:v>
                </c:pt>
                <c:pt idx="91">
                  <c:v>15744167</c:v>
                </c:pt>
                <c:pt idx="92">
                  <c:v>35116398</c:v>
                </c:pt>
                <c:pt idx="93">
                  <c:v>3386747</c:v>
                </c:pt>
                <c:pt idx="94">
                  <c:v>40374236</c:v>
                </c:pt>
                <c:pt idx="95">
                  <c:v>6513302</c:v>
                </c:pt>
                <c:pt idx="96">
                  <c:v>2004624</c:v>
                </c:pt>
                <c:pt idx="97">
                  <c:v>41646326</c:v>
                </c:pt>
                <c:pt idx="98">
                  <c:v>42895717</c:v>
                </c:pt>
                <c:pt idx="99">
                  <c:v>40708685</c:v>
                </c:pt>
                <c:pt idx="100">
                  <c:v>32478877</c:v>
                </c:pt>
                <c:pt idx="101">
                  <c:v>1792671</c:v>
                </c:pt>
                <c:pt idx="102">
                  <c:v>44402871</c:v>
                </c:pt>
                <c:pt idx="103">
                  <c:v>24328044</c:v>
                </c:pt>
                <c:pt idx="104">
                  <c:v>20140208</c:v>
                </c:pt>
                <c:pt idx="105">
                  <c:v>27542294</c:v>
                </c:pt>
                <c:pt idx="106">
                  <c:v>12534091</c:v>
                </c:pt>
                <c:pt idx="107">
                  <c:v>25812788</c:v>
                </c:pt>
                <c:pt idx="108">
                  <c:v>19342302</c:v>
                </c:pt>
                <c:pt idx="109">
                  <c:v>15350183</c:v>
                </c:pt>
                <c:pt idx="110">
                  <c:v>37895654</c:v>
                </c:pt>
                <c:pt idx="111">
                  <c:v>35302058</c:v>
                </c:pt>
                <c:pt idx="112">
                  <c:v>23732197</c:v>
                </c:pt>
                <c:pt idx="113">
                  <c:v>1602682</c:v>
                </c:pt>
                <c:pt idx="114">
                  <c:v>20189621</c:v>
                </c:pt>
                <c:pt idx="115">
                  <c:v>648280</c:v>
                </c:pt>
                <c:pt idx="116">
                  <c:v>6301592</c:v>
                </c:pt>
                <c:pt idx="117">
                  <c:v>33209767</c:v>
                </c:pt>
                <c:pt idx="118">
                  <c:v>40591406</c:v>
                </c:pt>
                <c:pt idx="119">
                  <c:v>2586999</c:v>
                </c:pt>
                <c:pt idx="120">
                  <c:v>48016205</c:v>
                </c:pt>
                <c:pt idx="121">
                  <c:v>3677800</c:v>
                </c:pt>
                <c:pt idx="122">
                  <c:v>36175463</c:v>
                </c:pt>
                <c:pt idx="123">
                  <c:v>34372474</c:v>
                </c:pt>
                <c:pt idx="124">
                  <c:v>13397142</c:v>
                </c:pt>
                <c:pt idx="125">
                  <c:v>32598939</c:v>
                </c:pt>
                <c:pt idx="126">
                  <c:v>41517025</c:v>
                </c:pt>
                <c:pt idx="127">
                  <c:v>31690153</c:v>
                </c:pt>
                <c:pt idx="128">
                  <c:v>10415993</c:v>
                </c:pt>
                <c:pt idx="129">
                  <c:v>28237278</c:v>
                </c:pt>
                <c:pt idx="130">
                  <c:v>2629604</c:v>
                </c:pt>
                <c:pt idx="131">
                  <c:v>14741835</c:v>
                </c:pt>
                <c:pt idx="132">
                  <c:v>20996166</c:v>
                </c:pt>
                <c:pt idx="133">
                  <c:v>40074349</c:v>
                </c:pt>
                <c:pt idx="134">
                  <c:v>13977514</c:v>
                </c:pt>
                <c:pt idx="135">
                  <c:v>26759139</c:v>
                </c:pt>
                <c:pt idx="136">
                  <c:v>21025331</c:v>
                </c:pt>
                <c:pt idx="137">
                  <c:v>47002056</c:v>
                </c:pt>
                <c:pt idx="138">
                  <c:v>25074406</c:v>
                </c:pt>
                <c:pt idx="139">
                  <c:v>1723311</c:v>
                </c:pt>
                <c:pt idx="140">
                  <c:v>17523589</c:v>
                </c:pt>
                <c:pt idx="141">
                  <c:v>46507518</c:v>
                </c:pt>
                <c:pt idx="142">
                  <c:v>42871577</c:v>
                </c:pt>
                <c:pt idx="143">
                  <c:v>14874093</c:v>
                </c:pt>
                <c:pt idx="144">
                  <c:v>914421</c:v>
                </c:pt>
                <c:pt idx="145">
                  <c:v>21547378</c:v>
                </c:pt>
                <c:pt idx="146">
                  <c:v>36960253</c:v>
                </c:pt>
                <c:pt idx="147">
                  <c:v>41887902</c:v>
                </c:pt>
                <c:pt idx="148">
                  <c:v>14271917</c:v>
                </c:pt>
                <c:pt idx="149">
                  <c:v>21703686</c:v>
                </c:pt>
                <c:pt idx="150">
                  <c:v>4107215</c:v>
                </c:pt>
                <c:pt idx="151">
                  <c:v>40346672</c:v>
                </c:pt>
                <c:pt idx="152">
                  <c:v>1736958</c:v>
                </c:pt>
                <c:pt idx="153">
                  <c:v>6211036</c:v>
                </c:pt>
                <c:pt idx="154">
                  <c:v>20309037</c:v>
                </c:pt>
                <c:pt idx="155">
                  <c:v>11928038</c:v>
                </c:pt>
                <c:pt idx="156">
                  <c:v>37918982</c:v>
                </c:pt>
                <c:pt idx="157">
                  <c:v>49383436</c:v>
                </c:pt>
                <c:pt idx="158">
                  <c:v>28279606</c:v>
                </c:pt>
                <c:pt idx="159">
                  <c:v>32152833</c:v>
                </c:pt>
                <c:pt idx="160">
                  <c:v>49410581</c:v>
                </c:pt>
                <c:pt idx="161">
                  <c:v>4755438</c:v>
                </c:pt>
                <c:pt idx="162">
                  <c:v>21490005</c:v>
                </c:pt>
                <c:pt idx="163">
                  <c:v>33263155</c:v>
                </c:pt>
                <c:pt idx="164">
                  <c:v>25102559</c:v>
                </c:pt>
                <c:pt idx="165">
                  <c:v>42034325</c:v>
                </c:pt>
                <c:pt idx="166">
                  <c:v>45249698</c:v>
                </c:pt>
                <c:pt idx="167">
                  <c:v>40116867</c:v>
                </c:pt>
                <c:pt idx="168">
                  <c:v>22187546</c:v>
                </c:pt>
                <c:pt idx="169">
                  <c:v>10594394</c:v>
                </c:pt>
                <c:pt idx="170">
                  <c:v>40156235</c:v>
                </c:pt>
                <c:pt idx="171">
                  <c:v>44158485</c:v>
                </c:pt>
                <c:pt idx="172">
                  <c:v>19225017</c:v>
                </c:pt>
                <c:pt idx="173">
                  <c:v>8968804</c:v>
                </c:pt>
                <c:pt idx="174">
                  <c:v>44889541</c:v>
                </c:pt>
                <c:pt idx="175">
                  <c:v>9510711</c:v>
                </c:pt>
                <c:pt idx="176">
                  <c:v>3467096</c:v>
                </c:pt>
                <c:pt idx="177">
                  <c:v>36933556</c:v>
                </c:pt>
                <c:pt idx="178">
                  <c:v>28526061</c:v>
                </c:pt>
                <c:pt idx="179">
                  <c:v>3837014</c:v>
                </c:pt>
                <c:pt idx="180">
                  <c:v>21133509</c:v>
                </c:pt>
                <c:pt idx="181">
                  <c:v>19834639</c:v>
                </c:pt>
                <c:pt idx="182">
                  <c:v>6550504</c:v>
                </c:pt>
                <c:pt idx="183">
                  <c:v>2797862</c:v>
                </c:pt>
                <c:pt idx="184">
                  <c:v>676257</c:v>
                </c:pt>
                <c:pt idx="185">
                  <c:v>12029269</c:v>
                </c:pt>
                <c:pt idx="186">
                  <c:v>12187171</c:v>
                </c:pt>
                <c:pt idx="187">
                  <c:v>23752668</c:v>
                </c:pt>
                <c:pt idx="188">
                  <c:v>37783293</c:v>
                </c:pt>
                <c:pt idx="189">
                  <c:v>106605</c:v>
                </c:pt>
                <c:pt idx="190">
                  <c:v>17260041</c:v>
                </c:pt>
                <c:pt idx="191">
                  <c:v>17364344</c:v>
                </c:pt>
                <c:pt idx="192">
                  <c:v>16336342</c:v>
                </c:pt>
                <c:pt idx="193">
                  <c:v>4360114</c:v>
                </c:pt>
                <c:pt idx="194">
                  <c:v>9390841</c:v>
                </c:pt>
                <c:pt idx="195">
                  <c:v>12278122</c:v>
                </c:pt>
                <c:pt idx="196">
                  <c:v>12260517</c:v>
                </c:pt>
                <c:pt idx="197">
                  <c:v>29709648</c:v>
                </c:pt>
                <c:pt idx="198">
                  <c:v>41282789</c:v>
                </c:pt>
                <c:pt idx="199">
                  <c:v>36664863</c:v>
                </c:pt>
                <c:pt idx="200">
                  <c:v>12639999</c:v>
                </c:pt>
                <c:pt idx="201">
                  <c:v>2663208</c:v>
                </c:pt>
                <c:pt idx="202">
                  <c:v>28998039</c:v>
                </c:pt>
                <c:pt idx="203">
                  <c:v>33258242</c:v>
                </c:pt>
                <c:pt idx="204">
                  <c:v>1173551</c:v>
                </c:pt>
                <c:pt idx="205">
                  <c:v>25243497</c:v>
                </c:pt>
                <c:pt idx="206">
                  <c:v>3753229</c:v>
                </c:pt>
                <c:pt idx="207">
                  <c:v>2128975</c:v>
                </c:pt>
                <c:pt idx="208">
                  <c:v>2442026</c:v>
                </c:pt>
                <c:pt idx="209">
                  <c:v>43746579</c:v>
                </c:pt>
                <c:pt idx="210">
                  <c:v>8199268</c:v>
                </c:pt>
                <c:pt idx="211">
                  <c:v>48264535</c:v>
                </c:pt>
                <c:pt idx="212">
                  <c:v>21416568</c:v>
                </c:pt>
                <c:pt idx="213">
                  <c:v>8741608</c:v>
                </c:pt>
                <c:pt idx="214">
                  <c:v>14195099</c:v>
                </c:pt>
                <c:pt idx="215">
                  <c:v>12483078</c:v>
                </c:pt>
                <c:pt idx="216">
                  <c:v>34386319</c:v>
                </c:pt>
                <c:pt idx="217">
                  <c:v>40733967</c:v>
                </c:pt>
                <c:pt idx="218">
                  <c:v>2724104</c:v>
                </c:pt>
                <c:pt idx="219">
                  <c:v>14415342</c:v>
                </c:pt>
                <c:pt idx="220">
                  <c:v>40146534</c:v>
                </c:pt>
                <c:pt idx="221">
                  <c:v>21515527</c:v>
                </c:pt>
                <c:pt idx="222">
                  <c:v>6213416</c:v>
                </c:pt>
                <c:pt idx="223">
                  <c:v>19325459</c:v>
                </c:pt>
                <c:pt idx="224">
                  <c:v>44709981</c:v>
                </c:pt>
                <c:pt idx="225">
                  <c:v>39953832</c:v>
                </c:pt>
                <c:pt idx="226">
                  <c:v>39816575</c:v>
                </c:pt>
                <c:pt idx="227">
                  <c:v>27481701</c:v>
                </c:pt>
                <c:pt idx="228">
                  <c:v>18745692</c:v>
                </c:pt>
                <c:pt idx="229">
                  <c:v>39979558</c:v>
                </c:pt>
                <c:pt idx="230">
                  <c:v>21696696</c:v>
                </c:pt>
                <c:pt idx="231">
                  <c:v>25815589</c:v>
                </c:pt>
                <c:pt idx="232">
                  <c:v>36291273</c:v>
                </c:pt>
                <c:pt idx="233">
                  <c:v>27679989</c:v>
                </c:pt>
                <c:pt idx="234">
                  <c:v>32463056</c:v>
                </c:pt>
                <c:pt idx="235">
                  <c:v>20161386</c:v>
                </c:pt>
                <c:pt idx="236">
                  <c:v>13631887</c:v>
                </c:pt>
                <c:pt idx="237">
                  <c:v>20107825</c:v>
                </c:pt>
                <c:pt idx="238">
                  <c:v>33024498</c:v>
                </c:pt>
                <c:pt idx="239">
                  <c:v>9863098</c:v>
                </c:pt>
                <c:pt idx="240">
                  <c:v>22188307</c:v>
                </c:pt>
                <c:pt idx="241">
                  <c:v>49607813</c:v>
                </c:pt>
                <c:pt idx="242">
                  <c:v>49605429</c:v>
                </c:pt>
                <c:pt idx="243">
                  <c:v>33471915</c:v>
                </c:pt>
                <c:pt idx="244">
                  <c:v>32115535</c:v>
                </c:pt>
                <c:pt idx="245">
                  <c:v>30404628</c:v>
                </c:pt>
                <c:pt idx="246">
                  <c:v>18240362</c:v>
                </c:pt>
                <c:pt idx="247">
                  <c:v>13177628</c:v>
                </c:pt>
                <c:pt idx="248">
                  <c:v>47766063</c:v>
                </c:pt>
                <c:pt idx="249">
                  <c:v>4679569</c:v>
                </c:pt>
                <c:pt idx="250">
                  <c:v>17268839</c:v>
                </c:pt>
                <c:pt idx="251">
                  <c:v>7028246</c:v>
                </c:pt>
                <c:pt idx="252">
                  <c:v>10190217</c:v>
                </c:pt>
                <c:pt idx="253">
                  <c:v>29348138</c:v>
                </c:pt>
                <c:pt idx="254">
                  <c:v>2029324</c:v>
                </c:pt>
                <c:pt idx="255">
                  <c:v>31683428</c:v>
                </c:pt>
                <c:pt idx="256">
                  <c:v>21439681</c:v>
                </c:pt>
                <c:pt idx="257">
                  <c:v>169056</c:v>
                </c:pt>
                <c:pt idx="258">
                  <c:v>30569066</c:v>
                </c:pt>
                <c:pt idx="259">
                  <c:v>33939784</c:v>
                </c:pt>
                <c:pt idx="260">
                  <c:v>21416691</c:v>
                </c:pt>
                <c:pt idx="261">
                  <c:v>3005997</c:v>
                </c:pt>
                <c:pt idx="262">
                  <c:v>15516819</c:v>
                </c:pt>
                <c:pt idx="263">
                  <c:v>4432081</c:v>
                </c:pt>
                <c:pt idx="264">
                  <c:v>22661334</c:v>
                </c:pt>
                <c:pt idx="265">
                  <c:v>35142452</c:v>
                </c:pt>
                <c:pt idx="266">
                  <c:v>1759602</c:v>
                </c:pt>
                <c:pt idx="267">
                  <c:v>1937083</c:v>
                </c:pt>
                <c:pt idx="268">
                  <c:v>17366005</c:v>
                </c:pt>
                <c:pt idx="269">
                  <c:v>3966387</c:v>
                </c:pt>
                <c:pt idx="270">
                  <c:v>45022376</c:v>
                </c:pt>
                <c:pt idx="271">
                  <c:v>2350058</c:v>
                </c:pt>
                <c:pt idx="272">
                  <c:v>44713032</c:v>
                </c:pt>
                <c:pt idx="273">
                  <c:v>4614284</c:v>
                </c:pt>
                <c:pt idx="274">
                  <c:v>45731048</c:v>
                </c:pt>
                <c:pt idx="275">
                  <c:v>20728229</c:v>
                </c:pt>
                <c:pt idx="276">
                  <c:v>18239694</c:v>
                </c:pt>
                <c:pt idx="277">
                  <c:v>13981366</c:v>
                </c:pt>
                <c:pt idx="278">
                  <c:v>38416619</c:v>
                </c:pt>
                <c:pt idx="279">
                  <c:v>37489151</c:v>
                </c:pt>
                <c:pt idx="280">
                  <c:v>6269359</c:v>
                </c:pt>
                <c:pt idx="281">
                  <c:v>14544449</c:v>
                </c:pt>
                <c:pt idx="282">
                  <c:v>880770</c:v>
                </c:pt>
                <c:pt idx="283">
                  <c:v>5842087</c:v>
                </c:pt>
                <c:pt idx="284">
                  <c:v>41125641</c:v>
                </c:pt>
                <c:pt idx="285">
                  <c:v>39197503</c:v>
                </c:pt>
                <c:pt idx="286">
                  <c:v>27320783</c:v>
                </c:pt>
                <c:pt idx="287">
                  <c:v>45101899</c:v>
                </c:pt>
                <c:pt idx="288">
                  <c:v>27912332</c:v>
                </c:pt>
                <c:pt idx="289">
                  <c:v>38947884</c:v>
                </c:pt>
                <c:pt idx="290">
                  <c:v>13588561</c:v>
                </c:pt>
                <c:pt idx="291">
                  <c:v>6260226</c:v>
                </c:pt>
                <c:pt idx="292">
                  <c:v>46667403</c:v>
                </c:pt>
                <c:pt idx="293">
                  <c:v>11858283</c:v>
                </c:pt>
                <c:pt idx="294">
                  <c:v>3213841</c:v>
                </c:pt>
                <c:pt idx="295">
                  <c:v>15186151</c:v>
                </c:pt>
                <c:pt idx="296">
                  <c:v>1424140</c:v>
                </c:pt>
                <c:pt idx="297">
                  <c:v>34069791</c:v>
                </c:pt>
                <c:pt idx="298">
                  <c:v>21986036</c:v>
                </c:pt>
                <c:pt idx="299">
                  <c:v>1212101</c:v>
                </c:pt>
                <c:pt idx="300">
                  <c:v>20037471</c:v>
                </c:pt>
                <c:pt idx="301">
                  <c:v>35452638</c:v>
                </c:pt>
                <c:pt idx="302">
                  <c:v>40632188</c:v>
                </c:pt>
                <c:pt idx="303">
                  <c:v>1960641</c:v>
                </c:pt>
                <c:pt idx="304">
                  <c:v>37488228</c:v>
                </c:pt>
                <c:pt idx="305">
                  <c:v>3032027</c:v>
                </c:pt>
                <c:pt idx="306">
                  <c:v>42025033</c:v>
                </c:pt>
                <c:pt idx="307">
                  <c:v>7945334</c:v>
                </c:pt>
                <c:pt idx="308">
                  <c:v>32866493</c:v>
                </c:pt>
                <c:pt idx="309">
                  <c:v>4534107</c:v>
                </c:pt>
                <c:pt idx="310">
                  <c:v>49519315</c:v>
                </c:pt>
                <c:pt idx="311">
                  <c:v>19543102</c:v>
                </c:pt>
                <c:pt idx="312">
                  <c:v>48023534</c:v>
                </c:pt>
                <c:pt idx="313">
                  <c:v>3475937</c:v>
                </c:pt>
                <c:pt idx="314">
                  <c:v>2293296</c:v>
                </c:pt>
                <c:pt idx="315">
                  <c:v>47189985</c:v>
                </c:pt>
                <c:pt idx="316">
                  <c:v>48110033</c:v>
                </c:pt>
                <c:pt idx="317">
                  <c:v>40816357</c:v>
                </c:pt>
                <c:pt idx="318">
                  <c:v>3157078</c:v>
                </c:pt>
                <c:pt idx="319">
                  <c:v>34088597</c:v>
                </c:pt>
                <c:pt idx="320">
                  <c:v>34731287</c:v>
                </c:pt>
                <c:pt idx="321">
                  <c:v>40266353</c:v>
                </c:pt>
                <c:pt idx="322">
                  <c:v>9098939</c:v>
                </c:pt>
                <c:pt idx="323">
                  <c:v>18092795</c:v>
                </c:pt>
                <c:pt idx="324">
                  <c:v>150058</c:v>
                </c:pt>
                <c:pt idx="325">
                  <c:v>34186754</c:v>
                </c:pt>
                <c:pt idx="326">
                  <c:v>29101361</c:v>
                </c:pt>
                <c:pt idx="327">
                  <c:v>693126</c:v>
                </c:pt>
                <c:pt idx="328">
                  <c:v>36462443</c:v>
                </c:pt>
                <c:pt idx="329">
                  <c:v>39114794</c:v>
                </c:pt>
                <c:pt idx="330">
                  <c:v>20079636</c:v>
                </c:pt>
                <c:pt idx="331">
                  <c:v>26294204</c:v>
                </c:pt>
                <c:pt idx="332">
                  <c:v>23409737</c:v>
                </c:pt>
                <c:pt idx="333">
                  <c:v>31286922</c:v>
                </c:pt>
                <c:pt idx="334">
                  <c:v>5573012</c:v>
                </c:pt>
                <c:pt idx="335">
                  <c:v>2002245</c:v>
                </c:pt>
                <c:pt idx="336">
                  <c:v>17544528</c:v>
                </c:pt>
                <c:pt idx="337">
                  <c:v>30351861</c:v>
                </c:pt>
                <c:pt idx="338">
                  <c:v>7412176</c:v>
                </c:pt>
                <c:pt idx="339">
                  <c:v>13683027</c:v>
                </c:pt>
                <c:pt idx="340">
                  <c:v>42955454</c:v>
                </c:pt>
                <c:pt idx="341">
                  <c:v>9058149</c:v>
                </c:pt>
                <c:pt idx="342">
                  <c:v>28479481</c:v>
                </c:pt>
                <c:pt idx="343">
                  <c:v>37998418</c:v>
                </c:pt>
                <c:pt idx="344">
                  <c:v>16963982</c:v>
                </c:pt>
                <c:pt idx="345">
                  <c:v>17685127</c:v>
                </c:pt>
                <c:pt idx="346">
                  <c:v>19864476</c:v>
                </c:pt>
                <c:pt idx="347">
                  <c:v>34498495</c:v>
                </c:pt>
                <c:pt idx="348">
                  <c:v>36582525</c:v>
                </c:pt>
                <c:pt idx="349">
                  <c:v>1875145</c:v>
                </c:pt>
                <c:pt idx="350">
                  <c:v>17633314</c:v>
                </c:pt>
                <c:pt idx="351">
                  <c:v>16574738</c:v>
                </c:pt>
                <c:pt idx="352">
                  <c:v>25566303</c:v>
                </c:pt>
                <c:pt idx="353">
                  <c:v>26525599</c:v>
                </c:pt>
                <c:pt idx="354">
                  <c:v>16471304</c:v>
                </c:pt>
                <c:pt idx="355">
                  <c:v>21907625</c:v>
                </c:pt>
                <c:pt idx="356">
                  <c:v>15961825</c:v>
                </c:pt>
                <c:pt idx="357">
                  <c:v>33023841</c:v>
                </c:pt>
                <c:pt idx="358">
                  <c:v>30699437</c:v>
                </c:pt>
                <c:pt idx="359">
                  <c:v>33615812</c:v>
                </c:pt>
                <c:pt idx="360">
                  <c:v>1431926</c:v>
                </c:pt>
                <c:pt idx="361">
                  <c:v>43967554</c:v>
                </c:pt>
                <c:pt idx="362">
                  <c:v>4938153</c:v>
                </c:pt>
                <c:pt idx="363">
                  <c:v>49140072</c:v>
                </c:pt>
                <c:pt idx="364">
                  <c:v>2860195</c:v>
                </c:pt>
                <c:pt idx="365">
                  <c:v>5691301</c:v>
                </c:pt>
                <c:pt idx="366">
                  <c:v>17339712</c:v>
                </c:pt>
                <c:pt idx="367">
                  <c:v>46644344</c:v>
                </c:pt>
                <c:pt idx="368">
                  <c:v>49581612</c:v>
                </c:pt>
                <c:pt idx="369">
                  <c:v>47845251</c:v>
                </c:pt>
                <c:pt idx="370">
                  <c:v>4124371</c:v>
                </c:pt>
                <c:pt idx="371">
                  <c:v>42745784</c:v>
                </c:pt>
                <c:pt idx="372">
                  <c:v>1180823</c:v>
                </c:pt>
                <c:pt idx="373">
                  <c:v>47865538</c:v>
                </c:pt>
                <c:pt idx="374">
                  <c:v>43078987</c:v>
                </c:pt>
                <c:pt idx="375">
                  <c:v>46548956</c:v>
                </c:pt>
                <c:pt idx="376">
                  <c:v>3460739</c:v>
                </c:pt>
                <c:pt idx="377">
                  <c:v>355425</c:v>
                </c:pt>
                <c:pt idx="378">
                  <c:v>7305101</c:v>
                </c:pt>
                <c:pt idx="379">
                  <c:v>48375865</c:v>
                </c:pt>
                <c:pt idx="380">
                  <c:v>41366491</c:v>
                </c:pt>
                <c:pt idx="381">
                  <c:v>1703357</c:v>
                </c:pt>
                <c:pt idx="382">
                  <c:v>5641448</c:v>
                </c:pt>
                <c:pt idx="383">
                  <c:v>21720221</c:v>
                </c:pt>
                <c:pt idx="384">
                  <c:v>12817369</c:v>
                </c:pt>
                <c:pt idx="385">
                  <c:v>28639402</c:v>
                </c:pt>
                <c:pt idx="386">
                  <c:v>7789251</c:v>
                </c:pt>
                <c:pt idx="387">
                  <c:v>37468776</c:v>
                </c:pt>
                <c:pt idx="388">
                  <c:v>44027558</c:v>
                </c:pt>
                <c:pt idx="389">
                  <c:v>29403827</c:v>
                </c:pt>
                <c:pt idx="390">
                  <c:v>21382679</c:v>
                </c:pt>
                <c:pt idx="391">
                  <c:v>42167683</c:v>
                </c:pt>
                <c:pt idx="392">
                  <c:v>5413192</c:v>
                </c:pt>
                <c:pt idx="393">
                  <c:v>47350017</c:v>
                </c:pt>
                <c:pt idx="394">
                  <c:v>21359197</c:v>
                </c:pt>
                <c:pt idx="395">
                  <c:v>20333789</c:v>
                </c:pt>
                <c:pt idx="396">
                  <c:v>36638502</c:v>
                </c:pt>
                <c:pt idx="397">
                  <c:v>22827718</c:v>
                </c:pt>
                <c:pt idx="398">
                  <c:v>9266784</c:v>
                </c:pt>
                <c:pt idx="399">
                  <c:v>27424036</c:v>
                </c:pt>
                <c:pt idx="400">
                  <c:v>45608375</c:v>
                </c:pt>
                <c:pt idx="401">
                  <c:v>32420377</c:v>
                </c:pt>
                <c:pt idx="402">
                  <c:v>23630066</c:v>
                </c:pt>
                <c:pt idx="403">
                  <c:v>26285564</c:v>
                </c:pt>
                <c:pt idx="404">
                  <c:v>3764506</c:v>
                </c:pt>
                <c:pt idx="405">
                  <c:v>6372826</c:v>
                </c:pt>
                <c:pt idx="406">
                  <c:v>3865808</c:v>
                </c:pt>
                <c:pt idx="407">
                  <c:v>49012171</c:v>
                </c:pt>
                <c:pt idx="408">
                  <c:v>29550583</c:v>
                </c:pt>
                <c:pt idx="409">
                  <c:v>13690953</c:v>
                </c:pt>
                <c:pt idx="410">
                  <c:v>25598329</c:v>
                </c:pt>
                <c:pt idx="411">
                  <c:v>43266876</c:v>
                </c:pt>
                <c:pt idx="412">
                  <c:v>13790068</c:v>
                </c:pt>
                <c:pt idx="413">
                  <c:v>9136307</c:v>
                </c:pt>
                <c:pt idx="414">
                  <c:v>10382701</c:v>
                </c:pt>
                <c:pt idx="415">
                  <c:v>48999255</c:v>
                </c:pt>
                <c:pt idx="416">
                  <c:v>36460317</c:v>
                </c:pt>
                <c:pt idx="417">
                  <c:v>5782187</c:v>
                </c:pt>
                <c:pt idx="418">
                  <c:v>39370521</c:v>
                </c:pt>
                <c:pt idx="419">
                  <c:v>49883931</c:v>
                </c:pt>
                <c:pt idx="420">
                  <c:v>5324429</c:v>
                </c:pt>
                <c:pt idx="421">
                  <c:v>37618459</c:v>
                </c:pt>
                <c:pt idx="422">
                  <c:v>32049209</c:v>
                </c:pt>
                <c:pt idx="423">
                  <c:v>3194734</c:v>
                </c:pt>
                <c:pt idx="424">
                  <c:v>40772342</c:v>
                </c:pt>
                <c:pt idx="425">
                  <c:v>17396161</c:v>
                </c:pt>
                <c:pt idx="426">
                  <c:v>46681385</c:v>
                </c:pt>
                <c:pt idx="427">
                  <c:v>42905252</c:v>
                </c:pt>
                <c:pt idx="428">
                  <c:v>1012696</c:v>
                </c:pt>
                <c:pt idx="429">
                  <c:v>6703296</c:v>
                </c:pt>
                <c:pt idx="430">
                  <c:v>37902679</c:v>
                </c:pt>
                <c:pt idx="431">
                  <c:v>36543944</c:v>
                </c:pt>
                <c:pt idx="432">
                  <c:v>24217716</c:v>
                </c:pt>
                <c:pt idx="433">
                  <c:v>1530562</c:v>
                </c:pt>
                <c:pt idx="434">
                  <c:v>37911796</c:v>
                </c:pt>
                <c:pt idx="435">
                  <c:v>45787304</c:v>
                </c:pt>
                <c:pt idx="436">
                  <c:v>22548345</c:v>
                </c:pt>
                <c:pt idx="437">
                  <c:v>2258041</c:v>
                </c:pt>
                <c:pt idx="438">
                  <c:v>1819444</c:v>
                </c:pt>
                <c:pt idx="439">
                  <c:v>40668259</c:v>
                </c:pt>
                <c:pt idx="440">
                  <c:v>48769213</c:v>
                </c:pt>
                <c:pt idx="441">
                  <c:v>38103202</c:v>
                </c:pt>
                <c:pt idx="442">
                  <c:v>40388469</c:v>
                </c:pt>
                <c:pt idx="443">
                  <c:v>29320771</c:v>
                </c:pt>
                <c:pt idx="444">
                  <c:v>35660284</c:v>
                </c:pt>
                <c:pt idx="445">
                  <c:v>39468135</c:v>
                </c:pt>
                <c:pt idx="446">
                  <c:v>41511749</c:v>
                </c:pt>
                <c:pt idx="447">
                  <c:v>25620241</c:v>
                </c:pt>
                <c:pt idx="448">
                  <c:v>39126977</c:v>
                </c:pt>
                <c:pt idx="449">
                  <c:v>8371505</c:v>
                </c:pt>
                <c:pt idx="450">
                  <c:v>6854849</c:v>
                </c:pt>
                <c:pt idx="451">
                  <c:v>35316314</c:v>
                </c:pt>
                <c:pt idx="452">
                  <c:v>5682831</c:v>
                </c:pt>
                <c:pt idx="453">
                  <c:v>1658840</c:v>
                </c:pt>
                <c:pt idx="454">
                  <c:v>10052702</c:v>
                </c:pt>
                <c:pt idx="455">
                  <c:v>17244752</c:v>
                </c:pt>
                <c:pt idx="456">
                  <c:v>21206043</c:v>
                </c:pt>
                <c:pt idx="457">
                  <c:v>26148166</c:v>
                </c:pt>
                <c:pt idx="458">
                  <c:v>47629758</c:v>
                </c:pt>
                <c:pt idx="459">
                  <c:v>17019919</c:v>
                </c:pt>
                <c:pt idx="460">
                  <c:v>20865013</c:v>
                </c:pt>
                <c:pt idx="461">
                  <c:v>1994142</c:v>
                </c:pt>
                <c:pt idx="462">
                  <c:v>36001814</c:v>
                </c:pt>
                <c:pt idx="463">
                  <c:v>42700708</c:v>
                </c:pt>
                <c:pt idx="464">
                  <c:v>29498866</c:v>
                </c:pt>
                <c:pt idx="465">
                  <c:v>19784769</c:v>
                </c:pt>
                <c:pt idx="466">
                  <c:v>4953492</c:v>
                </c:pt>
                <c:pt idx="467">
                  <c:v>19510789</c:v>
                </c:pt>
                <c:pt idx="468">
                  <c:v>38473526</c:v>
                </c:pt>
                <c:pt idx="469">
                  <c:v>2058283</c:v>
                </c:pt>
                <c:pt idx="470">
                  <c:v>29704617</c:v>
                </c:pt>
                <c:pt idx="471">
                  <c:v>8022626</c:v>
                </c:pt>
                <c:pt idx="472">
                  <c:v>49216622</c:v>
                </c:pt>
                <c:pt idx="473">
                  <c:v>42268867</c:v>
                </c:pt>
                <c:pt idx="474">
                  <c:v>9130762</c:v>
                </c:pt>
                <c:pt idx="475">
                  <c:v>31899949</c:v>
                </c:pt>
                <c:pt idx="476">
                  <c:v>23780725</c:v>
                </c:pt>
                <c:pt idx="477">
                  <c:v>33465253</c:v>
                </c:pt>
                <c:pt idx="478">
                  <c:v>21359473</c:v>
                </c:pt>
                <c:pt idx="479">
                  <c:v>15058882</c:v>
                </c:pt>
                <c:pt idx="480">
                  <c:v>40010398</c:v>
                </c:pt>
                <c:pt idx="481">
                  <c:v>42937256</c:v>
                </c:pt>
                <c:pt idx="482">
                  <c:v>34840968</c:v>
                </c:pt>
                <c:pt idx="483">
                  <c:v>4416279</c:v>
                </c:pt>
                <c:pt idx="484">
                  <c:v>39321843</c:v>
                </c:pt>
                <c:pt idx="485">
                  <c:v>41499155</c:v>
                </c:pt>
                <c:pt idx="486">
                  <c:v>37775312</c:v>
                </c:pt>
                <c:pt idx="487">
                  <c:v>4462270</c:v>
                </c:pt>
                <c:pt idx="488">
                  <c:v>22475736</c:v>
                </c:pt>
                <c:pt idx="489">
                  <c:v>4202195</c:v>
                </c:pt>
                <c:pt idx="490">
                  <c:v>24138842</c:v>
                </c:pt>
                <c:pt idx="491">
                  <c:v>39521413</c:v>
                </c:pt>
                <c:pt idx="492">
                  <c:v>36285157</c:v>
                </c:pt>
                <c:pt idx="493">
                  <c:v>4809634</c:v>
                </c:pt>
                <c:pt idx="494">
                  <c:v>10916528</c:v>
                </c:pt>
                <c:pt idx="495">
                  <c:v>40613588</c:v>
                </c:pt>
                <c:pt idx="496">
                  <c:v>27177801</c:v>
                </c:pt>
                <c:pt idx="497">
                  <c:v>5595752</c:v>
                </c:pt>
                <c:pt idx="498">
                  <c:v>24720207</c:v>
                </c:pt>
                <c:pt idx="499">
                  <c:v>6727957</c:v>
                </c:pt>
                <c:pt idx="500">
                  <c:v>25860987</c:v>
                </c:pt>
                <c:pt idx="501">
                  <c:v>31384265</c:v>
                </c:pt>
                <c:pt idx="502">
                  <c:v>11172293</c:v>
                </c:pt>
                <c:pt idx="503">
                  <c:v>46767745</c:v>
                </c:pt>
                <c:pt idx="504">
                  <c:v>47419267</c:v>
                </c:pt>
                <c:pt idx="505">
                  <c:v>33948311</c:v>
                </c:pt>
                <c:pt idx="506">
                  <c:v>49958799</c:v>
                </c:pt>
                <c:pt idx="507">
                  <c:v>31044129</c:v>
                </c:pt>
                <c:pt idx="508">
                  <c:v>47444545</c:v>
                </c:pt>
                <c:pt idx="509">
                  <c:v>12919618</c:v>
                </c:pt>
                <c:pt idx="510">
                  <c:v>42793486</c:v>
                </c:pt>
                <c:pt idx="511">
                  <c:v>7402533</c:v>
                </c:pt>
                <c:pt idx="512">
                  <c:v>14665133</c:v>
                </c:pt>
                <c:pt idx="513">
                  <c:v>40568211</c:v>
                </c:pt>
                <c:pt idx="514">
                  <c:v>9287637</c:v>
                </c:pt>
                <c:pt idx="515">
                  <c:v>4895639</c:v>
                </c:pt>
                <c:pt idx="516">
                  <c:v>47541546</c:v>
                </c:pt>
                <c:pt idx="517">
                  <c:v>7429664</c:v>
                </c:pt>
                <c:pt idx="518">
                  <c:v>7749388</c:v>
                </c:pt>
                <c:pt idx="519">
                  <c:v>34732753</c:v>
                </c:pt>
                <c:pt idx="520">
                  <c:v>42427233</c:v>
                </c:pt>
                <c:pt idx="521">
                  <c:v>4680984</c:v>
                </c:pt>
                <c:pt idx="522">
                  <c:v>29157547</c:v>
                </c:pt>
                <c:pt idx="523">
                  <c:v>36456413</c:v>
                </c:pt>
                <c:pt idx="524">
                  <c:v>2133563</c:v>
                </c:pt>
                <c:pt idx="525">
                  <c:v>6428637</c:v>
                </c:pt>
                <c:pt idx="526">
                  <c:v>12026792</c:v>
                </c:pt>
                <c:pt idx="527">
                  <c:v>25479579</c:v>
                </c:pt>
                <c:pt idx="528">
                  <c:v>34539943</c:v>
                </c:pt>
                <c:pt idx="529">
                  <c:v>42059708</c:v>
                </c:pt>
                <c:pt idx="530">
                  <c:v>47133116</c:v>
                </c:pt>
                <c:pt idx="531">
                  <c:v>43215485</c:v>
                </c:pt>
                <c:pt idx="532">
                  <c:v>17221369</c:v>
                </c:pt>
                <c:pt idx="533">
                  <c:v>47253322</c:v>
                </c:pt>
                <c:pt idx="534">
                  <c:v>38976623</c:v>
                </c:pt>
                <c:pt idx="535">
                  <c:v>3483031</c:v>
                </c:pt>
                <c:pt idx="536">
                  <c:v>6095265</c:v>
                </c:pt>
                <c:pt idx="537">
                  <c:v>23399428</c:v>
                </c:pt>
                <c:pt idx="538">
                  <c:v>5452766</c:v>
                </c:pt>
                <c:pt idx="539">
                  <c:v>1639912</c:v>
                </c:pt>
                <c:pt idx="540">
                  <c:v>14011459</c:v>
                </c:pt>
                <c:pt idx="541">
                  <c:v>22724638</c:v>
                </c:pt>
                <c:pt idx="542">
                  <c:v>6084612</c:v>
                </c:pt>
                <c:pt idx="543">
                  <c:v>11595333</c:v>
                </c:pt>
                <c:pt idx="544">
                  <c:v>45245414</c:v>
                </c:pt>
                <c:pt idx="545">
                  <c:v>29996112</c:v>
                </c:pt>
                <c:pt idx="546">
                  <c:v>19704963</c:v>
                </c:pt>
                <c:pt idx="547">
                  <c:v>39555955</c:v>
                </c:pt>
                <c:pt idx="548">
                  <c:v>5745706</c:v>
                </c:pt>
                <c:pt idx="549">
                  <c:v>36331303</c:v>
                </c:pt>
                <c:pt idx="550">
                  <c:v>9765267</c:v>
                </c:pt>
                <c:pt idx="551">
                  <c:v>7830592</c:v>
                </c:pt>
                <c:pt idx="552">
                  <c:v>14148496</c:v>
                </c:pt>
                <c:pt idx="553">
                  <c:v>46658305</c:v>
                </c:pt>
                <c:pt idx="554">
                  <c:v>165730</c:v>
                </c:pt>
                <c:pt idx="555">
                  <c:v>45753535</c:v>
                </c:pt>
                <c:pt idx="556">
                  <c:v>18848095</c:v>
                </c:pt>
                <c:pt idx="557">
                  <c:v>4547728</c:v>
                </c:pt>
                <c:pt idx="558">
                  <c:v>26201673</c:v>
                </c:pt>
                <c:pt idx="559">
                  <c:v>20874319</c:v>
                </c:pt>
                <c:pt idx="560">
                  <c:v>8979693</c:v>
                </c:pt>
                <c:pt idx="561">
                  <c:v>3335239</c:v>
                </c:pt>
                <c:pt idx="562">
                  <c:v>12433619</c:v>
                </c:pt>
                <c:pt idx="563">
                  <c:v>3951046</c:v>
                </c:pt>
                <c:pt idx="564">
                  <c:v>36716058</c:v>
                </c:pt>
                <c:pt idx="565">
                  <c:v>30704231</c:v>
                </c:pt>
                <c:pt idx="566">
                  <c:v>27530684</c:v>
                </c:pt>
                <c:pt idx="567">
                  <c:v>7206043</c:v>
                </c:pt>
                <c:pt idx="568">
                  <c:v>45249408</c:v>
                </c:pt>
                <c:pt idx="569">
                  <c:v>12546607</c:v>
                </c:pt>
                <c:pt idx="570">
                  <c:v>2137172</c:v>
                </c:pt>
                <c:pt idx="571">
                  <c:v>34773203</c:v>
                </c:pt>
                <c:pt idx="572">
                  <c:v>20308484</c:v>
                </c:pt>
                <c:pt idx="573">
                  <c:v>24450568</c:v>
                </c:pt>
                <c:pt idx="574">
                  <c:v>19846754</c:v>
                </c:pt>
                <c:pt idx="575">
                  <c:v>1892253</c:v>
                </c:pt>
                <c:pt idx="576">
                  <c:v>23932233</c:v>
                </c:pt>
                <c:pt idx="577">
                  <c:v>37253153</c:v>
                </c:pt>
                <c:pt idx="578">
                  <c:v>10686363</c:v>
                </c:pt>
                <c:pt idx="579">
                  <c:v>27774482</c:v>
                </c:pt>
                <c:pt idx="580">
                  <c:v>20694007</c:v>
                </c:pt>
                <c:pt idx="581">
                  <c:v>33240854</c:v>
                </c:pt>
                <c:pt idx="582">
                  <c:v>26398484</c:v>
                </c:pt>
                <c:pt idx="583">
                  <c:v>31520421</c:v>
                </c:pt>
                <c:pt idx="584">
                  <c:v>2002142</c:v>
                </c:pt>
                <c:pt idx="585">
                  <c:v>19324216</c:v>
                </c:pt>
                <c:pt idx="586">
                  <c:v>7427612</c:v>
                </c:pt>
                <c:pt idx="587">
                  <c:v>43267549</c:v>
                </c:pt>
                <c:pt idx="588">
                  <c:v>2469776</c:v>
                </c:pt>
                <c:pt idx="589">
                  <c:v>16423695</c:v>
                </c:pt>
                <c:pt idx="590">
                  <c:v>32538761</c:v>
                </c:pt>
                <c:pt idx="591">
                  <c:v>35069239</c:v>
                </c:pt>
                <c:pt idx="592">
                  <c:v>44828208</c:v>
                </c:pt>
                <c:pt idx="593">
                  <c:v>29024138</c:v>
                </c:pt>
                <c:pt idx="594">
                  <c:v>45237626</c:v>
                </c:pt>
                <c:pt idx="595">
                  <c:v>2649861</c:v>
                </c:pt>
                <c:pt idx="596">
                  <c:v>37063847</c:v>
                </c:pt>
                <c:pt idx="597">
                  <c:v>34485525</c:v>
                </c:pt>
                <c:pt idx="598">
                  <c:v>45151902</c:v>
                </c:pt>
                <c:pt idx="599">
                  <c:v>23837559</c:v>
                </c:pt>
                <c:pt idx="600">
                  <c:v>41057557</c:v>
                </c:pt>
                <c:pt idx="601">
                  <c:v>20440853</c:v>
                </c:pt>
                <c:pt idx="602">
                  <c:v>46343668</c:v>
                </c:pt>
                <c:pt idx="603">
                  <c:v>6425612</c:v>
                </c:pt>
                <c:pt idx="604">
                  <c:v>8703547</c:v>
                </c:pt>
                <c:pt idx="605">
                  <c:v>36873708</c:v>
                </c:pt>
                <c:pt idx="606">
                  <c:v>17555532</c:v>
                </c:pt>
                <c:pt idx="607">
                  <c:v>7610404</c:v>
                </c:pt>
                <c:pt idx="608">
                  <c:v>34756553</c:v>
                </c:pt>
                <c:pt idx="609">
                  <c:v>15772478</c:v>
                </c:pt>
                <c:pt idx="610">
                  <c:v>38479004</c:v>
                </c:pt>
                <c:pt idx="611">
                  <c:v>40547512</c:v>
                </c:pt>
                <c:pt idx="612">
                  <c:v>12157145</c:v>
                </c:pt>
                <c:pt idx="613">
                  <c:v>4899837</c:v>
                </c:pt>
                <c:pt idx="614">
                  <c:v>3856821</c:v>
                </c:pt>
                <c:pt idx="615">
                  <c:v>2893252</c:v>
                </c:pt>
                <c:pt idx="616">
                  <c:v>36035823</c:v>
                </c:pt>
                <c:pt idx="617">
                  <c:v>4576773</c:v>
                </c:pt>
                <c:pt idx="618">
                  <c:v>45769222</c:v>
                </c:pt>
                <c:pt idx="619">
                  <c:v>27649269</c:v>
                </c:pt>
                <c:pt idx="620">
                  <c:v>19777497</c:v>
                </c:pt>
                <c:pt idx="621">
                  <c:v>23371031</c:v>
                </c:pt>
                <c:pt idx="622">
                  <c:v>12642797</c:v>
                </c:pt>
                <c:pt idx="623">
                  <c:v>1723784</c:v>
                </c:pt>
                <c:pt idx="624">
                  <c:v>30628977</c:v>
                </c:pt>
                <c:pt idx="625">
                  <c:v>1329924</c:v>
                </c:pt>
                <c:pt idx="626">
                  <c:v>37372653</c:v>
                </c:pt>
                <c:pt idx="627">
                  <c:v>27799117</c:v>
                </c:pt>
                <c:pt idx="628">
                  <c:v>10478845</c:v>
                </c:pt>
                <c:pt idx="629">
                  <c:v>34804794</c:v>
                </c:pt>
                <c:pt idx="630">
                  <c:v>16837499</c:v>
                </c:pt>
                <c:pt idx="631">
                  <c:v>35847459</c:v>
                </c:pt>
                <c:pt idx="632">
                  <c:v>1352272</c:v>
                </c:pt>
                <c:pt idx="633">
                  <c:v>29902854</c:v>
                </c:pt>
                <c:pt idx="634">
                  <c:v>2216055</c:v>
                </c:pt>
                <c:pt idx="635">
                  <c:v>48350073</c:v>
                </c:pt>
                <c:pt idx="636">
                  <c:v>46660318</c:v>
                </c:pt>
                <c:pt idx="637">
                  <c:v>10252123</c:v>
                </c:pt>
                <c:pt idx="638">
                  <c:v>4428187</c:v>
                </c:pt>
                <c:pt idx="639">
                  <c:v>36400546</c:v>
                </c:pt>
                <c:pt idx="640">
                  <c:v>46033742</c:v>
                </c:pt>
                <c:pt idx="641">
                  <c:v>7055604</c:v>
                </c:pt>
                <c:pt idx="642">
                  <c:v>26806533</c:v>
                </c:pt>
                <c:pt idx="643">
                  <c:v>46026945</c:v>
                </c:pt>
                <c:pt idx="644">
                  <c:v>811502</c:v>
                </c:pt>
                <c:pt idx="645">
                  <c:v>19989303</c:v>
                </c:pt>
                <c:pt idx="646">
                  <c:v>29196534</c:v>
                </c:pt>
                <c:pt idx="647">
                  <c:v>46578589</c:v>
                </c:pt>
                <c:pt idx="648">
                  <c:v>5950431</c:v>
                </c:pt>
                <c:pt idx="649">
                  <c:v>3044149</c:v>
                </c:pt>
                <c:pt idx="650">
                  <c:v>1605591</c:v>
                </c:pt>
                <c:pt idx="651">
                  <c:v>1559018</c:v>
                </c:pt>
                <c:pt idx="652">
                  <c:v>33048458</c:v>
                </c:pt>
                <c:pt idx="653">
                  <c:v>16465644</c:v>
                </c:pt>
                <c:pt idx="654">
                  <c:v>21964282</c:v>
                </c:pt>
                <c:pt idx="655">
                  <c:v>2011788</c:v>
                </c:pt>
                <c:pt idx="656">
                  <c:v>10434045</c:v>
                </c:pt>
                <c:pt idx="657">
                  <c:v>1833653</c:v>
                </c:pt>
                <c:pt idx="658">
                  <c:v>4497878</c:v>
                </c:pt>
                <c:pt idx="659">
                  <c:v>12226912</c:v>
                </c:pt>
                <c:pt idx="660">
                  <c:v>27483496</c:v>
                </c:pt>
                <c:pt idx="661">
                  <c:v>38040999</c:v>
                </c:pt>
                <c:pt idx="662">
                  <c:v>39736995</c:v>
                </c:pt>
                <c:pt idx="663">
                  <c:v>23769784</c:v>
                </c:pt>
                <c:pt idx="664">
                  <c:v>21155088</c:v>
                </c:pt>
                <c:pt idx="665">
                  <c:v>27108739</c:v>
                </c:pt>
                <c:pt idx="666">
                  <c:v>1100808</c:v>
                </c:pt>
                <c:pt idx="667">
                  <c:v>22982569</c:v>
                </c:pt>
                <c:pt idx="668">
                  <c:v>26118402</c:v>
                </c:pt>
                <c:pt idx="669">
                  <c:v>18124062</c:v>
                </c:pt>
                <c:pt idx="670">
                  <c:v>3978887</c:v>
                </c:pt>
                <c:pt idx="671">
                  <c:v>27963797</c:v>
                </c:pt>
                <c:pt idx="672">
                  <c:v>7846377</c:v>
                </c:pt>
                <c:pt idx="673">
                  <c:v>4003982</c:v>
                </c:pt>
                <c:pt idx="674">
                  <c:v>9063162</c:v>
                </c:pt>
                <c:pt idx="675">
                  <c:v>18085617</c:v>
                </c:pt>
                <c:pt idx="676">
                  <c:v>4419467</c:v>
                </c:pt>
                <c:pt idx="677">
                  <c:v>17216935</c:v>
                </c:pt>
                <c:pt idx="678">
                  <c:v>6635217</c:v>
                </c:pt>
                <c:pt idx="679">
                  <c:v>2610257</c:v>
                </c:pt>
                <c:pt idx="680">
                  <c:v>39827084</c:v>
                </c:pt>
                <c:pt idx="681">
                  <c:v>39371584</c:v>
                </c:pt>
                <c:pt idx="682">
                  <c:v>43451569</c:v>
                </c:pt>
                <c:pt idx="683">
                  <c:v>3507131</c:v>
                </c:pt>
                <c:pt idx="684">
                  <c:v>11948962</c:v>
                </c:pt>
                <c:pt idx="685">
                  <c:v>37465975</c:v>
                </c:pt>
                <c:pt idx="686">
                  <c:v>11384071</c:v>
                </c:pt>
                <c:pt idx="687">
                  <c:v>31071281</c:v>
                </c:pt>
                <c:pt idx="688">
                  <c:v>29653022</c:v>
                </c:pt>
                <c:pt idx="689">
                  <c:v>21840314</c:v>
                </c:pt>
                <c:pt idx="690">
                  <c:v>40802124</c:v>
                </c:pt>
                <c:pt idx="691">
                  <c:v>38038416</c:v>
                </c:pt>
                <c:pt idx="692">
                  <c:v>14333334</c:v>
                </c:pt>
                <c:pt idx="693">
                  <c:v>33527486</c:v>
                </c:pt>
                <c:pt idx="694">
                  <c:v>43031024</c:v>
                </c:pt>
                <c:pt idx="695">
                  <c:v>36792261</c:v>
                </c:pt>
                <c:pt idx="696">
                  <c:v>37929725</c:v>
                </c:pt>
                <c:pt idx="697">
                  <c:v>38211149</c:v>
                </c:pt>
                <c:pt idx="698">
                  <c:v>1926798</c:v>
                </c:pt>
                <c:pt idx="699">
                  <c:v>47619544</c:v>
                </c:pt>
                <c:pt idx="700">
                  <c:v>30121953</c:v>
                </c:pt>
                <c:pt idx="701">
                  <c:v>15509666</c:v>
                </c:pt>
                <c:pt idx="702">
                  <c:v>32690023</c:v>
                </c:pt>
                <c:pt idx="703">
                  <c:v>1045108</c:v>
                </c:pt>
                <c:pt idx="704">
                  <c:v>41004745</c:v>
                </c:pt>
                <c:pt idx="705">
                  <c:v>41874618</c:v>
                </c:pt>
                <c:pt idx="706">
                  <c:v>16554619</c:v>
                </c:pt>
                <c:pt idx="707">
                  <c:v>40687253</c:v>
                </c:pt>
                <c:pt idx="708">
                  <c:v>34840971</c:v>
                </c:pt>
                <c:pt idx="709">
                  <c:v>45956914</c:v>
                </c:pt>
                <c:pt idx="710">
                  <c:v>26935703</c:v>
                </c:pt>
                <c:pt idx="711">
                  <c:v>1644863</c:v>
                </c:pt>
                <c:pt idx="712">
                  <c:v>34380733</c:v>
                </c:pt>
                <c:pt idx="713">
                  <c:v>19571668</c:v>
                </c:pt>
                <c:pt idx="714">
                  <c:v>42630187</c:v>
                </c:pt>
                <c:pt idx="715">
                  <c:v>19496466</c:v>
                </c:pt>
                <c:pt idx="716">
                  <c:v>47702414</c:v>
                </c:pt>
                <c:pt idx="717">
                  <c:v>3384365</c:v>
                </c:pt>
                <c:pt idx="718">
                  <c:v>7936633</c:v>
                </c:pt>
                <c:pt idx="719">
                  <c:v>6543227</c:v>
                </c:pt>
                <c:pt idx="720">
                  <c:v>4780219</c:v>
                </c:pt>
                <c:pt idx="721">
                  <c:v>17605035</c:v>
                </c:pt>
                <c:pt idx="722">
                  <c:v>21075946</c:v>
                </c:pt>
                <c:pt idx="723">
                  <c:v>21193325</c:v>
                </c:pt>
                <c:pt idx="724">
                  <c:v>26712554</c:v>
                </c:pt>
                <c:pt idx="725">
                  <c:v>24063535</c:v>
                </c:pt>
                <c:pt idx="726">
                  <c:v>14170784</c:v>
                </c:pt>
                <c:pt idx="727">
                  <c:v>49750895</c:v>
                </c:pt>
                <c:pt idx="728">
                  <c:v>20424754</c:v>
                </c:pt>
                <c:pt idx="729">
                  <c:v>5221835</c:v>
                </c:pt>
                <c:pt idx="730">
                  <c:v>39127305</c:v>
                </c:pt>
                <c:pt idx="731">
                  <c:v>20529285</c:v>
                </c:pt>
                <c:pt idx="732">
                  <c:v>19624566</c:v>
                </c:pt>
                <c:pt idx="733">
                  <c:v>47060366</c:v>
                </c:pt>
                <c:pt idx="734">
                  <c:v>35438494</c:v>
                </c:pt>
                <c:pt idx="735">
                  <c:v>20742728</c:v>
                </c:pt>
                <c:pt idx="736">
                  <c:v>46113577</c:v>
                </c:pt>
                <c:pt idx="737">
                  <c:v>18158029</c:v>
                </c:pt>
                <c:pt idx="738">
                  <c:v>29716268</c:v>
                </c:pt>
                <c:pt idx="739">
                  <c:v>746899</c:v>
                </c:pt>
                <c:pt idx="740">
                  <c:v>12129427</c:v>
                </c:pt>
                <c:pt idx="741">
                  <c:v>34349079</c:v>
                </c:pt>
                <c:pt idx="742">
                  <c:v>42252485</c:v>
                </c:pt>
                <c:pt idx="743">
                  <c:v>22863058</c:v>
                </c:pt>
                <c:pt idx="744">
                  <c:v>147723</c:v>
                </c:pt>
                <c:pt idx="745">
                  <c:v>5159511</c:v>
                </c:pt>
                <c:pt idx="746">
                  <c:v>26211529</c:v>
                </c:pt>
                <c:pt idx="747">
                  <c:v>5497404</c:v>
                </c:pt>
                <c:pt idx="748">
                  <c:v>7047464</c:v>
                </c:pt>
                <c:pt idx="749">
                  <c:v>21893367</c:v>
                </c:pt>
                <c:pt idx="750">
                  <c:v>24796891</c:v>
                </c:pt>
                <c:pt idx="751">
                  <c:v>5752318</c:v>
                </c:pt>
                <c:pt idx="752">
                  <c:v>2146437</c:v>
                </c:pt>
                <c:pt idx="753">
                  <c:v>40330647</c:v>
                </c:pt>
                <c:pt idx="754">
                  <c:v>12123867</c:v>
                </c:pt>
                <c:pt idx="755">
                  <c:v>3813488</c:v>
                </c:pt>
                <c:pt idx="756">
                  <c:v>3335749</c:v>
                </c:pt>
                <c:pt idx="757">
                  <c:v>15422761</c:v>
                </c:pt>
                <c:pt idx="758">
                  <c:v>30829991</c:v>
                </c:pt>
                <c:pt idx="759">
                  <c:v>2065763</c:v>
                </c:pt>
                <c:pt idx="760">
                  <c:v>34505801</c:v>
                </c:pt>
                <c:pt idx="761">
                  <c:v>2646496</c:v>
                </c:pt>
                <c:pt idx="762">
                  <c:v>12413422</c:v>
                </c:pt>
                <c:pt idx="763">
                  <c:v>46308511</c:v>
                </c:pt>
                <c:pt idx="764">
                  <c:v>37364114</c:v>
                </c:pt>
                <c:pt idx="765">
                  <c:v>10007401</c:v>
                </c:pt>
                <c:pt idx="766">
                  <c:v>33709065</c:v>
                </c:pt>
                <c:pt idx="767">
                  <c:v>47673343</c:v>
                </c:pt>
                <c:pt idx="768">
                  <c:v>27257644</c:v>
                </c:pt>
                <c:pt idx="769">
                  <c:v>13201377</c:v>
                </c:pt>
                <c:pt idx="770">
                  <c:v>3950388</c:v>
                </c:pt>
                <c:pt idx="771">
                  <c:v>26656913</c:v>
                </c:pt>
                <c:pt idx="772">
                  <c:v>3571582</c:v>
                </c:pt>
                <c:pt idx="773">
                  <c:v>26896515</c:v>
                </c:pt>
                <c:pt idx="774">
                  <c:v>2119865</c:v>
                </c:pt>
                <c:pt idx="775">
                  <c:v>47626921</c:v>
                </c:pt>
                <c:pt idx="776">
                  <c:v>25596945</c:v>
                </c:pt>
                <c:pt idx="777">
                  <c:v>9954896</c:v>
                </c:pt>
                <c:pt idx="778">
                  <c:v>41360963</c:v>
                </c:pt>
                <c:pt idx="779">
                  <c:v>5897704</c:v>
                </c:pt>
                <c:pt idx="780">
                  <c:v>16571966</c:v>
                </c:pt>
                <c:pt idx="781">
                  <c:v>5380363</c:v>
                </c:pt>
                <c:pt idx="782">
                  <c:v>38237597</c:v>
                </c:pt>
                <c:pt idx="783">
                  <c:v>42330061</c:v>
                </c:pt>
                <c:pt idx="784">
                  <c:v>42548636</c:v>
                </c:pt>
                <c:pt idx="785">
                  <c:v>20113353</c:v>
                </c:pt>
                <c:pt idx="786">
                  <c:v>10438933</c:v>
                </c:pt>
                <c:pt idx="787">
                  <c:v>1230068</c:v>
                </c:pt>
                <c:pt idx="788">
                  <c:v>40247401</c:v>
                </c:pt>
                <c:pt idx="789">
                  <c:v>20472418</c:v>
                </c:pt>
                <c:pt idx="790">
                  <c:v>38275231</c:v>
                </c:pt>
                <c:pt idx="791">
                  <c:v>42321744</c:v>
                </c:pt>
                <c:pt idx="792">
                  <c:v>36273567</c:v>
                </c:pt>
                <c:pt idx="793">
                  <c:v>4836944</c:v>
                </c:pt>
                <c:pt idx="794">
                  <c:v>7181694</c:v>
                </c:pt>
                <c:pt idx="795">
                  <c:v>48456957</c:v>
                </c:pt>
                <c:pt idx="796">
                  <c:v>22632794</c:v>
                </c:pt>
                <c:pt idx="797">
                  <c:v>43135251</c:v>
                </c:pt>
                <c:pt idx="798">
                  <c:v>32813996</c:v>
                </c:pt>
                <c:pt idx="799">
                  <c:v>46592255</c:v>
                </c:pt>
                <c:pt idx="800">
                  <c:v>811137</c:v>
                </c:pt>
                <c:pt idx="801">
                  <c:v>22197252</c:v>
                </c:pt>
                <c:pt idx="802">
                  <c:v>21147285</c:v>
                </c:pt>
                <c:pt idx="803">
                  <c:v>33551813</c:v>
                </c:pt>
                <c:pt idx="804">
                  <c:v>43483871</c:v>
                </c:pt>
                <c:pt idx="805">
                  <c:v>46863408</c:v>
                </c:pt>
                <c:pt idx="806">
                  <c:v>7841616</c:v>
                </c:pt>
                <c:pt idx="807">
                  <c:v>30157586</c:v>
                </c:pt>
                <c:pt idx="808">
                  <c:v>34644202</c:v>
                </c:pt>
                <c:pt idx="809">
                  <c:v>20883109</c:v>
                </c:pt>
                <c:pt idx="810">
                  <c:v>28783277</c:v>
                </c:pt>
                <c:pt idx="811">
                  <c:v>1144735</c:v>
                </c:pt>
                <c:pt idx="812">
                  <c:v>40726808</c:v>
                </c:pt>
                <c:pt idx="813">
                  <c:v>34623359</c:v>
                </c:pt>
                <c:pt idx="814">
                  <c:v>25001676</c:v>
                </c:pt>
                <c:pt idx="815">
                  <c:v>39865573</c:v>
                </c:pt>
                <c:pt idx="816">
                  <c:v>38389118</c:v>
                </c:pt>
                <c:pt idx="817">
                  <c:v>41343699</c:v>
                </c:pt>
                <c:pt idx="818">
                  <c:v>1169919</c:v>
                </c:pt>
                <c:pt idx="819">
                  <c:v>8444919</c:v>
                </c:pt>
                <c:pt idx="820">
                  <c:v>37003516</c:v>
                </c:pt>
                <c:pt idx="821">
                  <c:v>33335495</c:v>
                </c:pt>
                <c:pt idx="822">
                  <c:v>27185937</c:v>
                </c:pt>
                <c:pt idx="823">
                  <c:v>49058673</c:v>
                </c:pt>
                <c:pt idx="824">
                  <c:v>661908</c:v>
                </c:pt>
                <c:pt idx="825">
                  <c:v>6298603</c:v>
                </c:pt>
                <c:pt idx="826">
                  <c:v>23489783</c:v>
                </c:pt>
                <c:pt idx="827">
                  <c:v>49125685</c:v>
                </c:pt>
                <c:pt idx="828">
                  <c:v>1192453</c:v>
                </c:pt>
                <c:pt idx="829">
                  <c:v>18326537</c:v>
                </c:pt>
                <c:pt idx="830">
                  <c:v>3841803</c:v>
                </c:pt>
                <c:pt idx="831">
                  <c:v>10446548</c:v>
                </c:pt>
                <c:pt idx="832">
                  <c:v>4314014</c:v>
                </c:pt>
                <c:pt idx="833">
                  <c:v>40887544</c:v>
                </c:pt>
                <c:pt idx="834">
                  <c:v>46303606</c:v>
                </c:pt>
                <c:pt idx="835">
                  <c:v>16781089</c:v>
                </c:pt>
                <c:pt idx="836">
                  <c:v>49358982</c:v>
                </c:pt>
                <c:pt idx="837">
                  <c:v>24028176</c:v>
                </c:pt>
                <c:pt idx="838">
                  <c:v>23841948</c:v>
                </c:pt>
                <c:pt idx="839">
                  <c:v>46331953</c:v>
                </c:pt>
                <c:pt idx="840">
                  <c:v>14522397</c:v>
                </c:pt>
                <c:pt idx="841">
                  <c:v>31839891</c:v>
                </c:pt>
                <c:pt idx="842">
                  <c:v>47079312</c:v>
                </c:pt>
                <c:pt idx="843">
                  <c:v>44444855</c:v>
                </c:pt>
                <c:pt idx="844">
                  <c:v>36638505</c:v>
                </c:pt>
                <c:pt idx="845">
                  <c:v>35040992</c:v>
                </c:pt>
                <c:pt idx="846">
                  <c:v>43736933</c:v>
                </c:pt>
                <c:pt idx="847">
                  <c:v>24101912</c:v>
                </c:pt>
                <c:pt idx="848">
                  <c:v>1936159</c:v>
                </c:pt>
                <c:pt idx="849">
                  <c:v>3569545</c:v>
                </c:pt>
                <c:pt idx="850">
                  <c:v>963263</c:v>
                </c:pt>
                <c:pt idx="851">
                  <c:v>13141336</c:v>
                </c:pt>
                <c:pt idx="852">
                  <c:v>17143446</c:v>
                </c:pt>
                <c:pt idx="853">
                  <c:v>37120012</c:v>
                </c:pt>
                <c:pt idx="854">
                  <c:v>24351197</c:v>
                </c:pt>
                <c:pt idx="855">
                  <c:v>3813170</c:v>
                </c:pt>
                <c:pt idx="856">
                  <c:v>8298377</c:v>
                </c:pt>
                <c:pt idx="857">
                  <c:v>22539119</c:v>
                </c:pt>
                <c:pt idx="858">
                  <c:v>23327058</c:v>
                </c:pt>
                <c:pt idx="859">
                  <c:v>27724879</c:v>
                </c:pt>
                <c:pt idx="860">
                  <c:v>10722765</c:v>
                </c:pt>
                <c:pt idx="861">
                  <c:v>6735355</c:v>
                </c:pt>
                <c:pt idx="862">
                  <c:v>13937522</c:v>
                </c:pt>
                <c:pt idx="863">
                  <c:v>2183028</c:v>
                </c:pt>
                <c:pt idx="864">
                  <c:v>26441953</c:v>
                </c:pt>
                <c:pt idx="865">
                  <c:v>6992227</c:v>
                </c:pt>
                <c:pt idx="866">
                  <c:v>21294515</c:v>
                </c:pt>
                <c:pt idx="867">
                  <c:v>44355736</c:v>
                </c:pt>
                <c:pt idx="868">
                  <c:v>21927926</c:v>
                </c:pt>
                <c:pt idx="869">
                  <c:v>3371779</c:v>
                </c:pt>
                <c:pt idx="870">
                  <c:v>38935587</c:v>
                </c:pt>
                <c:pt idx="871">
                  <c:v>40527368</c:v>
                </c:pt>
                <c:pt idx="872">
                  <c:v>44707859</c:v>
                </c:pt>
                <c:pt idx="873">
                  <c:v>5572789</c:v>
                </c:pt>
                <c:pt idx="874">
                  <c:v>25571576</c:v>
                </c:pt>
                <c:pt idx="875">
                  <c:v>47721622</c:v>
                </c:pt>
                <c:pt idx="876">
                  <c:v>31704373</c:v>
                </c:pt>
                <c:pt idx="877">
                  <c:v>25415106</c:v>
                </c:pt>
                <c:pt idx="878">
                  <c:v>34385778</c:v>
                </c:pt>
                <c:pt idx="879">
                  <c:v>20135664</c:v>
                </c:pt>
                <c:pt idx="880">
                  <c:v>6525192</c:v>
                </c:pt>
                <c:pt idx="881">
                  <c:v>43970549</c:v>
                </c:pt>
                <c:pt idx="882">
                  <c:v>37062089</c:v>
                </c:pt>
                <c:pt idx="883">
                  <c:v>2527365</c:v>
                </c:pt>
                <c:pt idx="884">
                  <c:v>9359055</c:v>
                </c:pt>
                <c:pt idx="885">
                  <c:v>37932685</c:v>
                </c:pt>
                <c:pt idx="886">
                  <c:v>46704585</c:v>
                </c:pt>
                <c:pt idx="887">
                  <c:v>10295592</c:v>
                </c:pt>
                <c:pt idx="888">
                  <c:v>12590013</c:v>
                </c:pt>
                <c:pt idx="889">
                  <c:v>41339195</c:v>
                </c:pt>
                <c:pt idx="890">
                  <c:v>43811341</c:v>
                </c:pt>
                <c:pt idx="891">
                  <c:v>37667585</c:v>
                </c:pt>
                <c:pt idx="892">
                  <c:v>29608725</c:v>
                </c:pt>
                <c:pt idx="893">
                  <c:v>43156296</c:v>
                </c:pt>
                <c:pt idx="894">
                  <c:v>17205775</c:v>
                </c:pt>
                <c:pt idx="895">
                  <c:v>486221</c:v>
                </c:pt>
                <c:pt idx="896">
                  <c:v>44156505</c:v>
                </c:pt>
                <c:pt idx="897">
                  <c:v>12138023</c:v>
                </c:pt>
                <c:pt idx="898">
                  <c:v>18866769</c:v>
                </c:pt>
                <c:pt idx="899">
                  <c:v>1674867</c:v>
                </c:pt>
                <c:pt idx="900">
                  <c:v>28663309</c:v>
                </c:pt>
                <c:pt idx="901">
                  <c:v>6074263</c:v>
                </c:pt>
                <c:pt idx="902">
                  <c:v>2349818</c:v>
                </c:pt>
                <c:pt idx="903">
                  <c:v>41082467</c:v>
                </c:pt>
                <c:pt idx="904">
                  <c:v>19418805</c:v>
                </c:pt>
                <c:pt idx="905">
                  <c:v>41209159</c:v>
                </c:pt>
                <c:pt idx="906">
                  <c:v>22611579</c:v>
                </c:pt>
                <c:pt idx="907">
                  <c:v>38566367</c:v>
                </c:pt>
                <c:pt idx="908">
                  <c:v>37864593</c:v>
                </c:pt>
                <c:pt idx="909">
                  <c:v>6315852</c:v>
                </c:pt>
                <c:pt idx="910">
                  <c:v>1693567</c:v>
                </c:pt>
                <c:pt idx="911">
                  <c:v>6847297</c:v>
                </c:pt>
                <c:pt idx="912">
                  <c:v>21923382</c:v>
                </c:pt>
                <c:pt idx="913">
                  <c:v>31424952</c:v>
                </c:pt>
                <c:pt idx="914">
                  <c:v>45148208</c:v>
                </c:pt>
                <c:pt idx="915">
                  <c:v>1806043</c:v>
                </c:pt>
                <c:pt idx="916">
                  <c:v>29472286</c:v>
                </c:pt>
                <c:pt idx="917">
                  <c:v>23441593</c:v>
                </c:pt>
                <c:pt idx="918">
                  <c:v>2654008</c:v>
                </c:pt>
                <c:pt idx="919">
                  <c:v>12561701</c:v>
                </c:pt>
                <c:pt idx="920">
                  <c:v>11020452</c:v>
                </c:pt>
                <c:pt idx="921">
                  <c:v>42262733</c:v>
                </c:pt>
                <c:pt idx="922">
                  <c:v>1485439</c:v>
                </c:pt>
                <c:pt idx="923">
                  <c:v>31653174</c:v>
                </c:pt>
                <c:pt idx="924">
                  <c:v>48689324</c:v>
                </c:pt>
                <c:pt idx="925">
                  <c:v>27703985</c:v>
                </c:pt>
                <c:pt idx="926">
                  <c:v>20861855</c:v>
                </c:pt>
                <c:pt idx="927">
                  <c:v>30235766</c:v>
                </c:pt>
                <c:pt idx="928">
                  <c:v>10741345</c:v>
                </c:pt>
                <c:pt idx="929">
                  <c:v>3396161</c:v>
                </c:pt>
                <c:pt idx="930">
                  <c:v>42205795</c:v>
                </c:pt>
                <c:pt idx="931">
                  <c:v>2236454</c:v>
                </c:pt>
                <c:pt idx="932">
                  <c:v>42378957</c:v>
                </c:pt>
                <c:pt idx="933">
                  <c:v>25497851</c:v>
                </c:pt>
                <c:pt idx="934">
                  <c:v>5815471</c:v>
                </c:pt>
                <c:pt idx="935">
                  <c:v>44373577</c:v>
                </c:pt>
                <c:pt idx="936">
                  <c:v>17925852</c:v>
                </c:pt>
                <c:pt idx="937">
                  <c:v>15747483</c:v>
                </c:pt>
                <c:pt idx="938">
                  <c:v>48177313</c:v>
                </c:pt>
                <c:pt idx="939">
                  <c:v>42311603</c:v>
                </c:pt>
                <c:pt idx="940">
                  <c:v>46871418</c:v>
                </c:pt>
                <c:pt idx="941">
                  <c:v>3271656</c:v>
                </c:pt>
                <c:pt idx="942">
                  <c:v>21733255</c:v>
                </c:pt>
                <c:pt idx="943">
                  <c:v>7789186</c:v>
                </c:pt>
                <c:pt idx="944">
                  <c:v>4151114</c:v>
                </c:pt>
                <c:pt idx="945">
                  <c:v>16357076</c:v>
                </c:pt>
                <c:pt idx="946">
                  <c:v>15798927</c:v>
                </c:pt>
                <c:pt idx="947">
                  <c:v>12958894</c:v>
                </c:pt>
                <c:pt idx="948">
                  <c:v>2997909</c:v>
                </c:pt>
                <c:pt idx="949">
                  <c:v>33478739</c:v>
                </c:pt>
                <c:pt idx="950">
                  <c:v>37909124</c:v>
                </c:pt>
                <c:pt idx="951">
                  <c:v>17651332</c:v>
                </c:pt>
                <c:pt idx="952">
                  <c:v>29389829</c:v>
                </c:pt>
                <c:pt idx="953">
                  <c:v>6755693</c:v>
                </c:pt>
                <c:pt idx="954">
                  <c:v>12962131</c:v>
                </c:pt>
                <c:pt idx="955">
                  <c:v>2444568</c:v>
                </c:pt>
                <c:pt idx="956">
                  <c:v>49942534</c:v>
                </c:pt>
                <c:pt idx="957">
                  <c:v>19006492</c:v>
                </c:pt>
                <c:pt idx="958">
                  <c:v>46623794</c:v>
                </c:pt>
                <c:pt idx="959">
                  <c:v>35695811</c:v>
                </c:pt>
                <c:pt idx="960">
                  <c:v>14645084</c:v>
                </c:pt>
                <c:pt idx="961">
                  <c:v>19603896</c:v>
                </c:pt>
                <c:pt idx="962">
                  <c:v>44061922</c:v>
                </c:pt>
                <c:pt idx="963">
                  <c:v>13249922</c:v>
                </c:pt>
                <c:pt idx="964">
                  <c:v>41359193</c:v>
                </c:pt>
                <c:pt idx="965">
                  <c:v>44872442</c:v>
                </c:pt>
                <c:pt idx="966">
                  <c:v>34766057</c:v>
                </c:pt>
                <c:pt idx="967">
                  <c:v>39695211</c:v>
                </c:pt>
                <c:pt idx="968">
                  <c:v>5004561</c:v>
                </c:pt>
                <c:pt idx="969">
                  <c:v>2420859</c:v>
                </c:pt>
                <c:pt idx="970">
                  <c:v>3877660</c:v>
                </c:pt>
                <c:pt idx="971">
                  <c:v>14943625</c:v>
                </c:pt>
                <c:pt idx="972">
                  <c:v>33079821</c:v>
                </c:pt>
                <c:pt idx="973">
                  <c:v>20288837</c:v>
                </c:pt>
                <c:pt idx="974">
                  <c:v>4483401</c:v>
                </c:pt>
                <c:pt idx="975">
                  <c:v>30761342</c:v>
                </c:pt>
                <c:pt idx="976">
                  <c:v>26104297</c:v>
                </c:pt>
                <c:pt idx="977">
                  <c:v>32562614</c:v>
                </c:pt>
                <c:pt idx="978">
                  <c:v>3951950</c:v>
                </c:pt>
                <c:pt idx="979">
                  <c:v>18993559</c:v>
                </c:pt>
                <c:pt idx="980">
                  <c:v>42277612</c:v>
                </c:pt>
                <c:pt idx="981">
                  <c:v>16313397</c:v>
                </c:pt>
                <c:pt idx="982">
                  <c:v>12981902</c:v>
                </c:pt>
                <c:pt idx="983">
                  <c:v>32159558</c:v>
                </c:pt>
                <c:pt idx="984">
                  <c:v>1966087</c:v>
                </c:pt>
                <c:pt idx="985">
                  <c:v>33034239</c:v>
                </c:pt>
                <c:pt idx="986">
                  <c:v>5010316</c:v>
                </c:pt>
                <c:pt idx="987">
                  <c:v>1292365</c:v>
                </c:pt>
                <c:pt idx="988">
                  <c:v>38240826</c:v>
                </c:pt>
                <c:pt idx="989">
                  <c:v>1228766</c:v>
                </c:pt>
                <c:pt idx="990">
                  <c:v>29068082</c:v>
                </c:pt>
                <c:pt idx="991">
                  <c:v>46697322</c:v>
                </c:pt>
                <c:pt idx="992">
                  <c:v>495265</c:v>
                </c:pt>
                <c:pt idx="993">
                  <c:v>21814188</c:v>
                </c:pt>
                <c:pt idx="994">
                  <c:v>18211834</c:v>
                </c:pt>
                <c:pt idx="995">
                  <c:v>14937947</c:v>
                </c:pt>
                <c:pt idx="996">
                  <c:v>3250658</c:v>
                </c:pt>
                <c:pt idx="997">
                  <c:v>3996576</c:v>
                </c:pt>
                <c:pt idx="998">
                  <c:v>46936843</c:v>
                </c:pt>
                <c:pt idx="999">
                  <c:v>31502875</c:v>
                </c:pt>
                <c:pt idx="1000">
                  <c:v>19520788</c:v>
                </c:pt>
                <c:pt idx="1001">
                  <c:v>33025125</c:v>
                </c:pt>
                <c:pt idx="1002">
                  <c:v>36423198</c:v>
                </c:pt>
                <c:pt idx="1003">
                  <c:v>16060027</c:v>
                </c:pt>
                <c:pt idx="1004">
                  <c:v>48423189</c:v>
                </c:pt>
                <c:pt idx="1005">
                  <c:v>32843166</c:v>
                </c:pt>
                <c:pt idx="1006">
                  <c:v>17371014</c:v>
                </c:pt>
                <c:pt idx="1007">
                  <c:v>20264974</c:v>
                </c:pt>
                <c:pt idx="1008">
                  <c:v>28072711</c:v>
                </c:pt>
                <c:pt idx="1009">
                  <c:v>49024035</c:v>
                </c:pt>
                <c:pt idx="1010">
                  <c:v>2221409</c:v>
                </c:pt>
                <c:pt idx="1011">
                  <c:v>36773181</c:v>
                </c:pt>
                <c:pt idx="1012">
                  <c:v>36095777</c:v>
                </c:pt>
                <c:pt idx="1013">
                  <c:v>19654054</c:v>
                </c:pt>
                <c:pt idx="1014">
                  <c:v>36704315</c:v>
                </c:pt>
                <c:pt idx="1015">
                  <c:v>545082</c:v>
                </c:pt>
                <c:pt idx="1016">
                  <c:v>40624612</c:v>
                </c:pt>
                <c:pt idx="1017">
                  <c:v>27331876</c:v>
                </c:pt>
                <c:pt idx="1018">
                  <c:v>27164929</c:v>
                </c:pt>
                <c:pt idx="1019">
                  <c:v>14403794</c:v>
                </c:pt>
                <c:pt idx="1020">
                  <c:v>6298165</c:v>
                </c:pt>
                <c:pt idx="1021">
                  <c:v>29745872</c:v>
                </c:pt>
                <c:pt idx="1022">
                  <c:v>7005647</c:v>
                </c:pt>
                <c:pt idx="1023">
                  <c:v>47820196</c:v>
                </c:pt>
                <c:pt idx="1024">
                  <c:v>41122352</c:v>
                </c:pt>
                <c:pt idx="1025">
                  <c:v>6082739</c:v>
                </c:pt>
                <c:pt idx="1026">
                  <c:v>3600591</c:v>
                </c:pt>
                <c:pt idx="1027">
                  <c:v>35748813</c:v>
                </c:pt>
                <c:pt idx="1028">
                  <c:v>18179953</c:v>
                </c:pt>
                <c:pt idx="1029">
                  <c:v>39959021</c:v>
                </c:pt>
                <c:pt idx="1030">
                  <c:v>25123752</c:v>
                </c:pt>
                <c:pt idx="1031">
                  <c:v>37976927</c:v>
                </c:pt>
                <c:pt idx="1032">
                  <c:v>15674834</c:v>
                </c:pt>
                <c:pt idx="1033">
                  <c:v>442202</c:v>
                </c:pt>
                <c:pt idx="1034">
                  <c:v>28374158</c:v>
                </c:pt>
                <c:pt idx="1035">
                  <c:v>15759419</c:v>
                </c:pt>
                <c:pt idx="1036">
                  <c:v>17739812</c:v>
                </c:pt>
                <c:pt idx="1037">
                  <c:v>20422948</c:v>
                </c:pt>
                <c:pt idx="1038">
                  <c:v>33423829</c:v>
                </c:pt>
                <c:pt idx="1039">
                  <c:v>39190514</c:v>
                </c:pt>
                <c:pt idx="1040">
                  <c:v>7072181</c:v>
                </c:pt>
                <c:pt idx="1041">
                  <c:v>40554251</c:v>
                </c:pt>
                <c:pt idx="1042">
                  <c:v>22208251</c:v>
                </c:pt>
                <c:pt idx="1043">
                  <c:v>49445085</c:v>
                </c:pt>
                <c:pt idx="1044">
                  <c:v>42481129</c:v>
                </c:pt>
                <c:pt idx="1045">
                  <c:v>21237403</c:v>
                </c:pt>
                <c:pt idx="1046">
                  <c:v>15687981</c:v>
                </c:pt>
                <c:pt idx="1047">
                  <c:v>40789072</c:v>
                </c:pt>
                <c:pt idx="1048">
                  <c:v>48556338</c:v>
                </c:pt>
                <c:pt idx="1049">
                  <c:v>48181043</c:v>
                </c:pt>
                <c:pt idx="1050">
                  <c:v>31601403</c:v>
                </c:pt>
                <c:pt idx="1051">
                  <c:v>2980768</c:v>
                </c:pt>
                <c:pt idx="1052">
                  <c:v>8739087</c:v>
                </c:pt>
                <c:pt idx="1053">
                  <c:v>32720463</c:v>
                </c:pt>
                <c:pt idx="1054">
                  <c:v>6670172</c:v>
                </c:pt>
                <c:pt idx="1055">
                  <c:v>32426853</c:v>
                </c:pt>
                <c:pt idx="1056">
                  <c:v>17433743</c:v>
                </c:pt>
                <c:pt idx="1057">
                  <c:v>7386215</c:v>
                </c:pt>
                <c:pt idx="1058">
                  <c:v>35578769</c:v>
                </c:pt>
                <c:pt idx="1059">
                  <c:v>5947211</c:v>
                </c:pt>
                <c:pt idx="1060">
                  <c:v>3223777</c:v>
                </c:pt>
                <c:pt idx="1061">
                  <c:v>19579468</c:v>
                </c:pt>
                <c:pt idx="1062">
                  <c:v>3213377</c:v>
                </c:pt>
                <c:pt idx="1063">
                  <c:v>35299046</c:v>
                </c:pt>
                <c:pt idx="1064">
                  <c:v>42346011</c:v>
                </c:pt>
                <c:pt idx="1065">
                  <c:v>11344672</c:v>
                </c:pt>
                <c:pt idx="1066">
                  <c:v>18876045</c:v>
                </c:pt>
                <c:pt idx="1067">
                  <c:v>11451728</c:v>
                </c:pt>
                <c:pt idx="1068">
                  <c:v>24133945</c:v>
                </c:pt>
                <c:pt idx="1069">
                  <c:v>14154513</c:v>
                </c:pt>
                <c:pt idx="1070">
                  <c:v>1204849</c:v>
                </c:pt>
                <c:pt idx="1071">
                  <c:v>268392</c:v>
                </c:pt>
                <c:pt idx="1072">
                  <c:v>825650</c:v>
                </c:pt>
                <c:pt idx="1073">
                  <c:v>18653565</c:v>
                </c:pt>
                <c:pt idx="1074">
                  <c:v>30871818</c:v>
                </c:pt>
                <c:pt idx="1075">
                  <c:v>4112326</c:v>
                </c:pt>
                <c:pt idx="1076">
                  <c:v>27148785</c:v>
                </c:pt>
                <c:pt idx="1077">
                  <c:v>39561651</c:v>
                </c:pt>
                <c:pt idx="1078">
                  <c:v>1626680</c:v>
                </c:pt>
                <c:pt idx="1079">
                  <c:v>15363459</c:v>
                </c:pt>
                <c:pt idx="1080">
                  <c:v>17056688</c:v>
                </c:pt>
                <c:pt idx="1081">
                  <c:v>14076399</c:v>
                </c:pt>
                <c:pt idx="1082">
                  <c:v>38441746</c:v>
                </c:pt>
                <c:pt idx="1083">
                  <c:v>18987259</c:v>
                </c:pt>
                <c:pt idx="1084">
                  <c:v>21997052</c:v>
                </c:pt>
                <c:pt idx="1085">
                  <c:v>12805702</c:v>
                </c:pt>
                <c:pt idx="1086">
                  <c:v>40128386</c:v>
                </c:pt>
                <c:pt idx="1087">
                  <c:v>1382184</c:v>
                </c:pt>
                <c:pt idx="1088">
                  <c:v>37993124</c:v>
                </c:pt>
                <c:pt idx="1089">
                  <c:v>32144525</c:v>
                </c:pt>
                <c:pt idx="1090">
                  <c:v>20352896</c:v>
                </c:pt>
                <c:pt idx="1091">
                  <c:v>3145434</c:v>
                </c:pt>
                <c:pt idx="1092">
                  <c:v>5633482</c:v>
                </c:pt>
                <c:pt idx="1093">
                  <c:v>46833398</c:v>
                </c:pt>
                <c:pt idx="1094">
                  <c:v>41211059</c:v>
                </c:pt>
                <c:pt idx="1095">
                  <c:v>43829485</c:v>
                </c:pt>
                <c:pt idx="1096">
                  <c:v>14146485</c:v>
                </c:pt>
                <c:pt idx="1097">
                  <c:v>13943772</c:v>
                </c:pt>
                <c:pt idx="1098">
                  <c:v>44085775</c:v>
                </c:pt>
                <c:pt idx="1099">
                  <c:v>30622419</c:v>
                </c:pt>
                <c:pt idx="1100">
                  <c:v>33662925</c:v>
                </c:pt>
                <c:pt idx="1101">
                  <c:v>15499663</c:v>
                </c:pt>
                <c:pt idx="1102">
                  <c:v>22184043</c:v>
                </c:pt>
                <c:pt idx="1103">
                  <c:v>21223755</c:v>
                </c:pt>
                <c:pt idx="1104">
                  <c:v>25745483</c:v>
                </c:pt>
                <c:pt idx="1105">
                  <c:v>37709999</c:v>
                </c:pt>
                <c:pt idx="1106">
                  <c:v>16079866</c:v>
                </c:pt>
                <c:pt idx="1107">
                  <c:v>36459056</c:v>
                </c:pt>
                <c:pt idx="1108">
                  <c:v>22251318</c:v>
                </c:pt>
                <c:pt idx="1109">
                  <c:v>49678846</c:v>
                </c:pt>
                <c:pt idx="1110">
                  <c:v>1613003</c:v>
                </c:pt>
                <c:pt idx="1111">
                  <c:v>18441162</c:v>
                </c:pt>
                <c:pt idx="1112">
                  <c:v>47677651</c:v>
                </c:pt>
                <c:pt idx="1113">
                  <c:v>38632182</c:v>
                </c:pt>
                <c:pt idx="1114">
                  <c:v>19994413</c:v>
                </c:pt>
                <c:pt idx="1115">
                  <c:v>5285255</c:v>
                </c:pt>
                <c:pt idx="1116">
                  <c:v>43959337</c:v>
                </c:pt>
                <c:pt idx="1117">
                  <c:v>36218471</c:v>
                </c:pt>
                <c:pt idx="1118">
                  <c:v>38873262</c:v>
                </c:pt>
                <c:pt idx="1119">
                  <c:v>25700796</c:v>
                </c:pt>
                <c:pt idx="1120">
                  <c:v>39842892</c:v>
                </c:pt>
                <c:pt idx="1121">
                  <c:v>30586026</c:v>
                </c:pt>
                <c:pt idx="1122">
                  <c:v>13555456</c:v>
                </c:pt>
                <c:pt idx="1123">
                  <c:v>49660702</c:v>
                </c:pt>
                <c:pt idx="1124">
                  <c:v>34077646</c:v>
                </c:pt>
                <c:pt idx="1125">
                  <c:v>25446246</c:v>
                </c:pt>
                <c:pt idx="1126">
                  <c:v>36667517</c:v>
                </c:pt>
                <c:pt idx="1127">
                  <c:v>39399029</c:v>
                </c:pt>
                <c:pt idx="1128">
                  <c:v>45178854</c:v>
                </c:pt>
                <c:pt idx="1129">
                  <c:v>3312425</c:v>
                </c:pt>
                <c:pt idx="1130">
                  <c:v>20444708</c:v>
                </c:pt>
                <c:pt idx="1131">
                  <c:v>2280172</c:v>
                </c:pt>
                <c:pt idx="1132">
                  <c:v>6139932</c:v>
                </c:pt>
                <c:pt idx="1133">
                  <c:v>43064908</c:v>
                </c:pt>
                <c:pt idx="1134">
                  <c:v>46758786</c:v>
                </c:pt>
                <c:pt idx="1135">
                  <c:v>2029591</c:v>
                </c:pt>
                <c:pt idx="1136">
                  <c:v>24237967</c:v>
                </c:pt>
                <c:pt idx="1137">
                  <c:v>41254906</c:v>
                </c:pt>
                <c:pt idx="1138">
                  <c:v>39611341</c:v>
                </c:pt>
                <c:pt idx="1139">
                  <c:v>28795267</c:v>
                </c:pt>
                <c:pt idx="1140">
                  <c:v>1816143</c:v>
                </c:pt>
                <c:pt idx="1141">
                  <c:v>31091381</c:v>
                </c:pt>
                <c:pt idx="1142">
                  <c:v>32947079</c:v>
                </c:pt>
                <c:pt idx="1143">
                  <c:v>41030907</c:v>
                </c:pt>
                <c:pt idx="1144">
                  <c:v>29237138</c:v>
                </c:pt>
                <c:pt idx="1145">
                  <c:v>35524392</c:v>
                </c:pt>
                <c:pt idx="1146">
                  <c:v>4527357</c:v>
                </c:pt>
                <c:pt idx="1147">
                  <c:v>32098539</c:v>
                </c:pt>
                <c:pt idx="1148">
                  <c:v>36917485</c:v>
                </c:pt>
                <c:pt idx="1149">
                  <c:v>15062219</c:v>
                </c:pt>
                <c:pt idx="1150">
                  <c:v>31753212</c:v>
                </c:pt>
                <c:pt idx="1151">
                  <c:v>16635255</c:v>
                </c:pt>
                <c:pt idx="1152">
                  <c:v>7881916</c:v>
                </c:pt>
                <c:pt idx="1153">
                  <c:v>38225371</c:v>
                </c:pt>
                <c:pt idx="1154">
                  <c:v>2535988</c:v>
                </c:pt>
                <c:pt idx="1155">
                  <c:v>41562784</c:v>
                </c:pt>
                <c:pt idx="1156">
                  <c:v>47059467</c:v>
                </c:pt>
                <c:pt idx="1157">
                  <c:v>35122947</c:v>
                </c:pt>
                <c:pt idx="1158">
                  <c:v>44774267</c:v>
                </c:pt>
                <c:pt idx="1159">
                  <c:v>37001912</c:v>
                </c:pt>
                <c:pt idx="1160">
                  <c:v>45654266</c:v>
                </c:pt>
                <c:pt idx="1161">
                  <c:v>47352244</c:v>
                </c:pt>
                <c:pt idx="1162">
                  <c:v>39832579</c:v>
                </c:pt>
                <c:pt idx="1163">
                  <c:v>18198635</c:v>
                </c:pt>
                <c:pt idx="1164">
                  <c:v>31192457</c:v>
                </c:pt>
                <c:pt idx="1165">
                  <c:v>37278907</c:v>
                </c:pt>
                <c:pt idx="1166">
                  <c:v>3827591</c:v>
                </c:pt>
                <c:pt idx="1167">
                  <c:v>10716045</c:v>
                </c:pt>
                <c:pt idx="1168">
                  <c:v>6597439</c:v>
                </c:pt>
                <c:pt idx="1169">
                  <c:v>3962299</c:v>
                </c:pt>
                <c:pt idx="1170">
                  <c:v>3116660</c:v>
                </c:pt>
                <c:pt idx="1171">
                  <c:v>22477045</c:v>
                </c:pt>
                <c:pt idx="1172">
                  <c:v>31029302</c:v>
                </c:pt>
                <c:pt idx="1173">
                  <c:v>46289887</c:v>
                </c:pt>
                <c:pt idx="1174">
                  <c:v>21244463</c:v>
                </c:pt>
                <c:pt idx="1175">
                  <c:v>3699500</c:v>
                </c:pt>
                <c:pt idx="1176">
                  <c:v>11794202</c:v>
                </c:pt>
                <c:pt idx="1177">
                  <c:v>18065956</c:v>
                </c:pt>
                <c:pt idx="1178">
                  <c:v>2262545</c:v>
                </c:pt>
                <c:pt idx="1179">
                  <c:v>15250485</c:v>
                </c:pt>
                <c:pt idx="1180">
                  <c:v>41867837</c:v>
                </c:pt>
                <c:pt idx="1181">
                  <c:v>16328399</c:v>
                </c:pt>
                <c:pt idx="1182">
                  <c:v>17766466</c:v>
                </c:pt>
                <c:pt idx="1183">
                  <c:v>14538999</c:v>
                </c:pt>
                <c:pt idx="1184">
                  <c:v>16324686</c:v>
                </c:pt>
                <c:pt idx="1185">
                  <c:v>48914955</c:v>
                </c:pt>
                <c:pt idx="1186">
                  <c:v>3517821</c:v>
                </c:pt>
                <c:pt idx="1187">
                  <c:v>15257736</c:v>
                </c:pt>
                <c:pt idx="1188">
                  <c:v>48180832</c:v>
                </c:pt>
                <c:pt idx="1189">
                  <c:v>1481490</c:v>
                </c:pt>
                <c:pt idx="1190">
                  <c:v>8241738</c:v>
                </c:pt>
                <c:pt idx="1191">
                  <c:v>47447637</c:v>
                </c:pt>
                <c:pt idx="1192">
                  <c:v>19634542</c:v>
                </c:pt>
                <c:pt idx="1193">
                  <c:v>40861222</c:v>
                </c:pt>
                <c:pt idx="1194">
                  <c:v>16242471</c:v>
                </c:pt>
                <c:pt idx="1195">
                  <c:v>9956065</c:v>
                </c:pt>
                <c:pt idx="1196">
                  <c:v>43699761</c:v>
                </c:pt>
                <c:pt idx="1197">
                  <c:v>41338448</c:v>
                </c:pt>
                <c:pt idx="1198">
                  <c:v>34570241</c:v>
                </c:pt>
                <c:pt idx="1199">
                  <c:v>25413693</c:v>
                </c:pt>
                <c:pt idx="1200">
                  <c:v>37392505</c:v>
                </c:pt>
                <c:pt idx="1201">
                  <c:v>10866535</c:v>
                </c:pt>
                <c:pt idx="1202">
                  <c:v>4623935</c:v>
                </c:pt>
                <c:pt idx="1203">
                  <c:v>38059648</c:v>
                </c:pt>
                <c:pt idx="1204">
                  <c:v>25651081</c:v>
                </c:pt>
                <c:pt idx="1205">
                  <c:v>32461277</c:v>
                </c:pt>
                <c:pt idx="1206">
                  <c:v>151144</c:v>
                </c:pt>
                <c:pt idx="1207">
                  <c:v>46156855</c:v>
                </c:pt>
                <c:pt idx="1208">
                  <c:v>8160817</c:v>
                </c:pt>
                <c:pt idx="1209">
                  <c:v>49254244</c:v>
                </c:pt>
                <c:pt idx="1210">
                  <c:v>9691997</c:v>
                </c:pt>
                <c:pt idx="1211">
                  <c:v>13067841</c:v>
                </c:pt>
                <c:pt idx="1212">
                  <c:v>4350124</c:v>
                </c:pt>
                <c:pt idx="1213">
                  <c:v>19609366</c:v>
                </c:pt>
                <c:pt idx="1214">
                  <c:v>26594612</c:v>
                </c:pt>
                <c:pt idx="1215">
                  <c:v>28484039</c:v>
                </c:pt>
                <c:pt idx="1216">
                  <c:v>9680346</c:v>
                </c:pt>
                <c:pt idx="1217">
                  <c:v>28634499</c:v>
                </c:pt>
                <c:pt idx="1218">
                  <c:v>17285197</c:v>
                </c:pt>
                <c:pt idx="1219">
                  <c:v>8006865</c:v>
                </c:pt>
                <c:pt idx="1220">
                  <c:v>212132</c:v>
                </c:pt>
                <c:pt idx="1221">
                  <c:v>21739785</c:v>
                </c:pt>
                <c:pt idx="1222">
                  <c:v>811885</c:v>
                </c:pt>
                <c:pt idx="1223">
                  <c:v>48993111</c:v>
                </c:pt>
                <c:pt idx="1224">
                  <c:v>3527264</c:v>
                </c:pt>
                <c:pt idx="1225">
                  <c:v>1616609</c:v>
                </c:pt>
                <c:pt idx="1226">
                  <c:v>31063565</c:v>
                </c:pt>
                <c:pt idx="1227">
                  <c:v>2927561</c:v>
                </c:pt>
                <c:pt idx="1228">
                  <c:v>33345772</c:v>
                </c:pt>
                <c:pt idx="1229">
                  <c:v>14111279</c:v>
                </c:pt>
                <c:pt idx="1230">
                  <c:v>2356866</c:v>
                </c:pt>
                <c:pt idx="1231">
                  <c:v>31170051</c:v>
                </c:pt>
                <c:pt idx="1232">
                  <c:v>11034401</c:v>
                </c:pt>
                <c:pt idx="1233">
                  <c:v>29130052</c:v>
                </c:pt>
                <c:pt idx="1234">
                  <c:v>4936183</c:v>
                </c:pt>
                <c:pt idx="1235">
                  <c:v>18737155</c:v>
                </c:pt>
                <c:pt idx="1236">
                  <c:v>6049053</c:v>
                </c:pt>
                <c:pt idx="1237">
                  <c:v>41410253</c:v>
                </c:pt>
                <c:pt idx="1238">
                  <c:v>7516094</c:v>
                </c:pt>
                <c:pt idx="1239">
                  <c:v>28589603</c:v>
                </c:pt>
                <c:pt idx="1240">
                  <c:v>100846</c:v>
                </c:pt>
                <c:pt idx="1241">
                  <c:v>47295479</c:v>
                </c:pt>
                <c:pt idx="1242">
                  <c:v>29124415</c:v>
                </c:pt>
                <c:pt idx="1243">
                  <c:v>8472193</c:v>
                </c:pt>
                <c:pt idx="1244">
                  <c:v>21158241</c:v>
                </c:pt>
                <c:pt idx="1245">
                  <c:v>41879307</c:v>
                </c:pt>
                <c:pt idx="1246">
                  <c:v>42898803</c:v>
                </c:pt>
                <c:pt idx="1247">
                  <c:v>32942457</c:v>
                </c:pt>
                <c:pt idx="1248">
                  <c:v>36425628</c:v>
                </c:pt>
                <c:pt idx="1249">
                  <c:v>44464575</c:v>
                </c:pt>
                <c:pt idx="1250">
                  <c:v>585018</c:v>
                </c:pt>
                <c:pt idx="1251">
                  <c:v>29523689</c:v>
                </c:pt>
                <c:pt idx="1252">
                  <c:v>9199417</c:v>
                </c:pt>
                <c:pt idx="1253">
                  <c:v>16899239</c:v>
                </c:pt>
                <c:pt idx="1254">
                  <c:v>14650684</c:v>
                </c:pt>
                <c:pt idx="1255">
                  <c:v>24842405</c:v>
                </c:pt>
                <c:pt idx="1256">
                  <c:v>6456768</c:v>
                </c:pt>
                <c:pt idx="1257">
                  <c:v>26015333</c:v>
                </c:pt>
                <c:pt idx="1258">
                  <c:v>32194845</c:v>
                </c:pt>
                <c:pt idx="1259">
                  <c:v>32839879</c:v>
                </c:pt>
                <c:pt idx="1260">
                  <c:v>21957249</c:v>
                </c:pt>
                <c:pt idx="1261">
                  <c:v>21131346</c:v>
                </c:pt>
                <c:pt idx="1262">
                  <c:v>14224286</c:v>
                </c:pt>
                <c:pt idx="1263">
                  <c:v>15080442</c:v>
                </c:pt>
                <c:pt idx="1264">
                  <c:v>23028825</c:v>
                </c:pt>
                <c:pt idx="1265">
                  <c:v>31127234</c:v>
                </c:pt>
                <c:pt idx="1266">
                  <c:v>25588244</c:v>
                </c:pt>
                <c:pt idx="1267">
                  <c:v>1057155</c:v>
                </c:pt>
                <c:pt idx="1268">
                  <c:v>20905561</c:v>
                </c:pt>
                <c:pt idx="1269">
                  <c:v>6718229</c:v>
                </c:pt>
                <c:pt idx="1270">
                  <c:v>1542670</c:v>
                </c:pt>
                <c:pt idx="1271">
                  <c:v>19004187</c:v>
                </c:pt>
                <c:pt idx="1272">
                  <c:v>37874679</c:v>
                </c:pt>
                <c:pt idx="1273">
                  <c:v>18476725</c:v>
                </c:pt>
                <c:pt idx="1274">
                  <c:v>10654365</c:v>
                </c:pt>
                <c:pt idx="1275">
                  <c:v>17187397</c:v>
                </c:pt>
                <c:pt idx="1276">
                  <c:v>30526386</c:v>
                </c:pt>
                <c:pt idx="1277">
                  <c:v>24173938</c:v>
                </c:pt>
                <c:pt idx="1278">
                  <c:v>23941347</c:v>
                </c:pt>
                <c:pt idx="1279">
                  <c:v>13600837</c:v>
                </c:pt>
                <c:pt idx="1280">
                  <c:v>35166362</c:v>
                </c:pt>
                <c:pt idx="1281">
                  <c:v>17673345</c:v>
                </c:pt>
                <c:pt idx="1282">
                  <c:v>3830995</c:v>
                </c:pt>
                <c:pt idx="1283">
                  <c:v>26893947</c:v>
                </c:pt>
                <c:pt idx="1284">
                  <c:v>26517563</c:v>
                </c:pt>
                <c:pt idx="1285">
                  <c:v>6675523</c:v>
                </c:pt>
                <c:pt idx="1286">
                  <c:v>10664952</c:v>
                </c:pt>
                <c:pt idx="1287">
                  <c:v>4420141</c:v>
                </c:pt>
                <c:pt idx="1288">
                  <c:v>1908284</c:v>
                </c:pt>
                <c:pt idx="1289">
                  <c:v>19049772</c:v>
                </c:pt>
                <c:pt idx="1290">
                  <c:v>32665525</c:v>
                </c:pt>
                <c:pt idx="1291">
                  <c:v>16139634</c:v>
                </c:pt>
                <c:pt idx="1292">
                  <c:v>23009277</c:v>
                </c:pt>
                <c:pt idx="1293">
                  <c:v>44501436</c:v>
                </c:pt>
                <c:pt idx="1294">
                  <c:v>33687364</c:v>
                </c:pt>
                <c:pt idx="1295">
                  <c:v>14077312</c:v>
                </c:pt>
                <c:pt idx="1296">
                  <c:v>14902759</c:v>
                </c:pt>
                <c:pt idx="1297">
                  <c:v>24303076</c:v>
                </c:pt>
                <c:pt idx="1298">
                  <c:v>8671162</c:v>
                </c:pt>
                <c:pt idx="1299">
                  <c:v>9246519</c:v>
                </c:pt>
                <c:pt idx="1300">
                  <c:v>289333</c:v>
                </c:pt>
                <c:pt idx="1301">
                  <c:v>42869338</c:v>
                </c:pt>
                <c:pt idx="1302">
                  <c:v>32826875</c:v>
                </c:pt>
                <c:pt idx="1303">
                  <c:v>16563538</c:v>
                </c:pt>
                <c:pt idx="1304">
                  <c:v>36809536</c:v>
                </c:pt>
                <c:pt idx="1305">
                  <c:v>43158555</c:v>
                </c:pt>
                <c:pt idx="1306">
                  <c:v>20368293</c:v>
                </c:pt>
                <c:pt idx="1307">
                  <c:v>4086144</c:v>
                </c:pt>
                <c:pt idx="1308">
                  <c:v>17849513</c:v>
                </c:pt>
                <c:pt idx="1309">
                  <c:v>32758482</c:v>
                </c:pt>
                <c:pt idx="1310">
                  <c:v>15569476</c:v>
                </c:pt>
                <c:pt idx="1311">
                  <c:v>6631698</c:v>
                </c:pt>
                <c:pt idx="1312">
                  <c:v>36910604</c:v>
                </c:pt>
                <c:pt idx="1313">
                  <c:v>32077834</c:v>
                </c:pt>
                <c:pt idx="1314">
                  <c:v>8396696</c:v>
                </c:pt>
                <c:pt idx="1315">
                  <c:v>45855153</c:v>
                </c:pt>
                <c:pt idx="1316">
                  <c:v>6037273</c:v>
                </c:pt>
                <c:pt idx="1317">
                  <c:v>13253497</c:v>
                </c:pt>
                <c:pt idx="1318">
                  <c:v>16513231</c:v>
                </c:pt>
                <c:pt idx="1319">
                  <c:v>1336342</c:v>
                </c:pt>
                <c:pt idx="1320">
                  <c:v>4436669</c:v>
                </c:pt>
                <c:pt idx="1321">
                  <c:v>36464027</c:v>
                </c:pt>
                <c:pt idx="1322">
                  <c:v>47562644</c:v>
                </c:pt>
                <c:pt idx="1323">
                  <c:v>35504693</c:v>
                </c:pt>
                <c:pt idx="1324">
                  <c:v>15334665</c:v>
                </c:pt>
                <c:pt idx="1325">
                  <c:v>49220167</c:v>
                </c:pt>
                <c:pt idx="1326">
                  <c:v>20102812</c:v>
                </c:pt>
                <c:pt idx="1327">
                  <c:v>37110329</c:v>
                </c:pt>
                <c:pt idx="1328">
                  <c:v>5949703</c:v>
                </c:pt>
                <c:pt idx="1329">
                  <c:v>31433701</c:v>
                </c:pt>
                <c:pt idx="1330">
                  <c:v>27845782</c:v>
                </c:pt>
                <c:pt idx="1331">
                  <c:v>33971448</c:v>
                </c:pt>
                <c:pt idx="1332">
                  <c:v>38132442</c:v>
                </c:pt>
                <c:pt idx="1333">
                  <c:v>49712533</c:v>
                </c:pt>
                <c:pt idx="1334">
                  <c:v>33935421</c:v>
                </c:pt>
                <c:pt idx="1335">
                  <c:v>2793377</c:v>
                </c:pt>
                <c:pt idx="1336">
                  <c:v>12268886</c:v>
                </c:pt>
                <c:pt idx="1337">
                  <c:v>6825569</c:v>
                </c:pt>
                <c:pt idx="1338">
                  <c:v>31695601</c:v>
                </c:pt>
                <c:pt idx="1339">
                  <c:v>41141875</c:v>
                </c:pt>
                <c:pt idx="1340">
                  <c:v>45242942</c:v>
                </c:pt>
                <c:pt idx="1341">
                  <c:v>3590680</c:v>
                </c:pt>
                <c:pt idx="1342">
                  <c:v>7547639</c:v>
                </c:pt>
                <c:pt idx="1343">
                  <c:v>5064138</c:v>
                </c:pt>
                <c:pt idx="1344">
                  <c:v>15652394</c:v>
                </c:pt>
                <c:pt idx="1345">
                  <c:v>3030837</c:v>
                </c:pt>
                <c:pt idx="1346">
                  <c:v>49750685</c:v>
                </c:pt>
                <c:pt idx="1347">
                  <c:v>5522618</c:v>
                </c:pt>
                <c:pt idx="1348">
                  <c:v>27928044</c:v>
                </c:pt>
                <c:pt idx="1349">
                  <c:v>37310398</c:v>
                </c:pt>
                <c:pt idx="1350">
                  <c:v>25012012</c:v>
                </c:pt>
                <c:pt idx="1351">
                  <c:v>32108851</c:v>
                </c:pt>
                <c:pt idx="1352">
                  <c:v>2171395</c:v>
                </c:pt>
                <c:pt idx="1353">
                  <c:v>23835514</c:v>
                </c:pt>
                <c:pt idx="1354">
                  <c:v>41298906</c:v>
                </c:pt>
                <c:pt idx="1355">
                  <c:v>3914966</c:v>
                </c:pt>
                <c:pt idx="1356">
                  <c:v>7290595</c:v>
                </c:pt>
                <c:pt idx="1357">
                  <c:v>32071221</c:v>
                </c:pt>
                <c:pt idx="1358">
                  <c:v>9890593</c:v>
                </c:pt>
                <c:pt idx="1359">
                  <c:v>18896554</c:v>
                </c:pt>
                <c:pt idx="1360">
                  <c:v>6534607</c:v>
                </c:pt>
                <c:pt idx="1361">
                  <c:v>17536883</c:v>
                </c:pt>
                <c:pt idx="1362">
                  <c:v>36495333</c:v>
                </c:pt>
                <c:pt idx="1363">
                  <c:v>40746128</c:v>
                </c:pt>
                <c:pt idx="1364">
                  <c:v>46077136</c:v>
                </c:pt>
                <c:pt idx="1365">
                  <c:v>22576625</c:v>
                </c:pt>
                <c:pt idx="1366">
                  <c:v>20047416</c:v>
                </c:pt>
                <c:pt idx="1367">
                  <c:v>11831852</c:v>
                </c:pt>
                <c:pt idx="1368">
                  <c:v>28816275</c:v>
                </c:pt>
                <c:pt idx="1369">
                  <c:v>1481726</c:v>
                </c:pt>
                <c:pt idx="1370">
                  <c:v>29157628</c:v>
                </c:pt>
                <c:pt idx="1371">
                  <c:v>36212577</c:v>
                </c:pt>
                <c:pt idx="1372">
                  <c:v>20335816</c:v>
                </c:pt>
                <c:pt idx="1373">
                  <c:v>3088208</c:v>
                </c:pt>
                <c:pt idx="1374">
                  <c:v>24930426</c:v>
                </c:pt>
                <c:pt idx="1375">
                  <c:v>48401954</c:v>
                </c:pt>
                <c:pt idx="1376">
                  <c:v>26959589</c:v>
                </c:pt>
                <c:pt idx="1377">
                  <c:v>3859290</c:v>
                </c:pt>
                <c:pt idx="1378">
                  <c:v>24254272</c:v>
                </c:pt>
                <c:pt idx="1379">
                  <c:v>14813388</c:v>
                </c:pt>
                <c:pt idx="1380">
                  <c:v>14175565</c:v>
                </c:pt>
                <c:pt idx="1381">
                  <c:v>20572826</c:v>
                </c:pt>
                <c:pt idx="1382">
                  <c:v>44822067</c:v>
                </c:pt>
                <c:pt idx="1383">
                  <c:v>29966678</c:v>
                </c:pt>
                <c:pt idx="1384">
                  <c:v>48510191</c:v>
                </c:pt>
                <c:pt idx="1385">
                  <c:v>5280179</c:v>
                </c:pt>
                <c:pt idx="1386">
                  <c:v>33382168</c:v>
                </c:pt>
                <c:pt idx="1387">
                  <c:v>4651970</c:v>
                </c:pt>
                <c:pt idx="1388">
                  <c:v>27596204</c:v>
                </c:pt>
                <c:pt idx="1389">
                  <c:v>10094328</c:v>
                </c:pt>
                <c:pt idx="1390">
                  <c:v>35434597</c:v>
                </c:pt>
                <c:pt idx="1391">
                  <c:v>26695619</c:v>
                </c:pt>
                <c:pt idx="1392">
                  <c:v>5803294</c:v>
                </c:pt>
                <c:pt idx="1393">
                  <c:v>9179029</c:v>
                </c:pt>
                <c:pt idx="1394">
                  <c:v>22009332</c:v>
                </c:pt>
                <c:pt idx="1395">
                  <c:v>33461796</c:v>
                </c:pt>
                <c:pt idx="1396">
                  <c:v>27309709</c:v>
                </c:pt>
                <c:pt idx="1397">
                  <c:v>17332356</c:v>
                </c:pt>
                <c:pt idx="1398">
                  <c:v>47987256</c:v>
                </c:pt>
                <c:pt idx="1399">
                  <c:v>2523959</c:v>
                </c:pt>
                <c:pt idx="1400">
                  <c:v>6436663</c:v>
                </c:pt>
                <c:pt idx="1401">
                  <c:v>22555262</c:v>
                </c:pt>
                <c:pt idx="1402">
                  <c:v>16441851</c:v>
                </c:pt>
                <c:pt idx="1403">
                  <c:v>46306827</c:v>
                </c:pt>
                <c:pt idx="1404">
                  <c:v>48642534</c:v>
                </c:pt>
                <c:pt idx="1405">
                  <c:v>2594346</c:v>
                </c:pt>
                <c:pt idx="1406">
                  <c:v>4133076</c:v>
                </c:pt>
                <c:pt idx="1407">
                  <c:v>27668922</c:v>
                </c:pt>
                <c:pt idx="1408">
                  <c:v>6080084</c:v>
                </c:pt>
                <c:pt idx="1409">
                  <c:v>29785378</c:v>
                </c:pt>
                <c:pt idx="1410">
                  <c:v>7718752</c:v>
                </c:pt>
                <c:pt idx="1411">
                  <c:v>34672001</c:v>
                </c:pt>
                <c:pt idx="1412">
                  <c:v>42075684</c:v>
                </c:pt>
                <c:pt idx="1413">
                  <c:v>12854297</c:v>
                </c:pt>
                <c:pt idx="1414">
                  <c:v>11347013</c:v>
                </c:pt>
                <c:pt idx="1415">
                  <c:v>8655814</c:v>
                </c:pt>
                <c:pt idx="1416">
                  <c:v>2780073</c:v>
                </c:pt>
                <c:pt idx="1417">
                  <c:v>28412279</c:v>
                </c:pt>
                <c:pt idx="1418">
                  <c:v>22801963</c:v>
                </c:pt>
                <c:pt idx="1419">
                  <c:v>2829132</c:v>
                </c:pt>
                <c:pt idx="1420">
                  <c:v>559453</c:v>
                </c:pt>
                <c:pt idx="1421">
                  <c:v>43959749</c:v>
                </c:pt>
                <c:pt idx="1422">
                  <c:v>33406863</c:v>
                </c:pt>
                <c:pt idx="1423">
                  <c:v>17130498</c:v>
                </c:pt>
                <c:pt idx="1424">
                  <c:v>9993868</c:v>
                </c:pt>
                <c:pt idx="1425">
                  <c:v>47352832</c:v>
                </c:pt>
                <c:pt idx="1426">
                  <c:v>25490812</c:v>
                </c:pt>
                <c:pt idx="1427">
                  <c:v>46645162</c:v>
                </c:pt>
                <c:pt idx="1428">
                  <c:v>7736173</c:v>
                </c:pt>
                <c:pt idx="1429">
                  <c:v>48869128</c:v>
                </c:pt>
                <c:pt idx="1430">
                  <c:v>22000281</c:v>
                </c:pt>
                <c:pt idx="1431">
                  <c:v>27702433</c:v>
                </c:pt>
                <c:pt idx="1432">
                  <c:v>31083606</c:v>
                </c:pt>
                <c:pt idx="1433">
                  <c:v>39559537</c:v>
                </c:pt>
                <c:pt idx="1434">
                  <c:v>44072567</c:v>
                </c:pt>
                <c:pt idx="1435">
                  <c:v>12076604</c:v>
                </c:pt>
                <c:pt idx="1436">
                  <c:v>3915769</c:v>
                </c:pt>
                <c:pt idx="1437">
                  <c:v>709520</c:v>
                </c:pt>
                <c:pt idx="1438">
                  <c:v>15705431</c:v>
                </c:pt>
                <c:pt idx="1439">
                  <c:v>4662663</c:v>
                </c:pt>
                <c:pt idx="1440">
                  <c:v>28970033</c:v>
                </c:pt>
                <c:pt idx="1441">
                  <c:v>43439794</c:v>
                </c:pt>
                <c:pt idx="1442">
                  <c:v>18490442</c:v>
                </c:pt>
                <c:pt idx="1443">
                  <c:v>3718248</c:v>
                </c:pt>
                <c:pt idx="1444">
                  <c:v>12904703</c:v>
                </c:pt>
                <c:pt idx="1445">
                  <c:v>10233543</c:v>
                </c:pt>
                <c:pt idx="1446">
                  <c:v>2279970</c:v>
                </c:pt>
                <c:pt idx="1447">
                  <c:v>6640173</c:v>
                </c:pt>
                <c:pt idx="1448">
                  <c:v>19449408</c:v>
                </c:pt>
                <c:pt idx="1449">
                  <c:v>40328115</c:v>
                </c:pt>
                <c:pt idx="1450">
                  <c:v>2008269</c:v>
                </c:pt>
                <c:pt idx="1451">
                  <c:v>23527392</c:v>
                </c:pt>
                <c:pt idx="1452">
                  <c:v>43735584</c:v>
                </c:pt>
                <c:pt idx="1453">
                  <c:v>37014723</c:v>
                </c:pt>
                <c:pt idx="1454">
                  <c:v>2728445</c:v>
                </c:pt>
                <c:pt idx="1455">
                  <c:v>1488453</c:v>
                </c:pt>
                <c:pt idx="1456">
                  <c:v>40164531</c:v>
                </c:pt>
                <c:pt idx="1457">
                  <c:v>34236675</c:v>
                </c:pt>
                <c:pt idx="1458">
                  <c:v>32789003</c:v>
                </c:pt>
                <c:pt idx="1459">
                  <c:v>34311305</c:v>
                </c:pt>
                <c:pt idx="1460">
                  <c:v>35257457</c:v>
                </c:pt>
                <c:pt idx="1461">
                  <c:v>21285231</c:v>
                </c:pt>
                <c:pt idx="1462">
                  <c:v>36251039</c:v>
                </c:pt>
                <c:pt idx="1463">
                  <c:v>23831267</c:v>
                </c:pt>
                <c:pt idx="1464">
                  <c:v>3448094</c:v>
                </c:pt>
                <c:pt idx="1465">
                  <c:v>1119333</c:v>
                </c:pt>
                <c:pt idx="1466">
                  <c:v>25431181</c:v>
                </c:pt>
                <c:pt idx="1467">
                  <c:v>30915889</c:v>
                </c:pt>
                <c:pt idx="1468">
                  <c:v>7337838</c:v>
                </c:pt>
                <c:pt idx="1469">
                  <c:v>42756256</c:v>
                </c:pt>
                <c:pt idx="1470">
                  <c:v>3407983</c:v>
                </c:pt>
                <c:pt idx="1471">
                  <c:v>3657255</c:v>
                </c:pt>
                <c:pt idx="1472">
                  <c:v>26184135</c:v>
                </c:pt>
                <c:pt idx="1473">
                  <c:v>48897978</c:v>
                </c:pt>
                <c:pt idx="1474">
                  <c:v>24482784</c:v>
                </c:pt>
                <c:pt idx="1475">
                  <c:v>28463429</c:v>
                </c:pt>
                <c:pt idx="1476">
                  <c:v>31679277</c:v>
                </c:pt>
                <c:pt idx="1477">
                  <c:v>24391999</c:v>
                </c:pt>
                <c:pt idx="1478">
                  <c:v>11068624</c:v>
                </c:pt>
                <c:pt idx="1479">
                  <c:v>10975243</c:v>
                </c:pt>
                <c:pt idx="1480">
                  <c:v>30825236</c:v>
                </c:pt>
                <c:pt idx="1481">
                  <c:v>3187792</c:v>
                </c:pt>
                <c:pt idx="1482">
                  <c:v>41519932</c:v>
                </c:pt>
                <c:pt idx="1483">
                  <c:v>49420965</c:v>
                </c:pt>
                <c:pt idx="1484">
                  <c:v>2024694</c:v>
                </c:pt>
                <c:pt idx="1485">
                  <c:v>2690673</c:v>
                </c:pt>
                <c:pt idx="1486">
                  <c:v>30859846</c:v>
                </c:pt>
                <c:pt idx="1487">
                  <c:v>22208452</c:v>
                </c:pt>
                <c:pt idx="1488">
                  <c:v>19741125</c:v>
                </c:pt>
                <c:pt idx="1489">
                  <c:v>29785029</c:v>
                </c:pt>
                <c:pt idx="1490">
                  <c:v>3051845</c:v>
                </c:pt>
                <c:pt idx="1491">
                  <c:v>37474157</c:v>
                </c:pt>
                <c:pt idx="1492">
                  <c:v>3050483</c:v>
                </c:pt>
                <c:pt idx="1493">
                  <c:v>3607392</c:v>
                </c:pt>
                <c:pt idx="1494">
                  <c:v>9742708</c:v>
                </c:pt>
                <c:pt idx="1495">
                  <c:v>14930655</c:v>
                </c:pt>
                <c:pt idx="1496">
                  <c:v>37835348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C3-4E66-8373-B439D7575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-50"/>
        <c:axId val="862595328"/>
        <c:axId val="862591360"/>
      </c:barChart>
      <c:catAx>
        <c:axId val="86259532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2591360"/>
        <c:crosses val="autoZero"/>
        <c:auto val="1"/>
        <c:lblAlgn val="ctr"/>
        <c:lblOffset val="100"/>
        <c:noMultiLvlLbl val="0"/>
      </c:catAx>
      <c:valAx>
        <c:axId val="86259136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0">
                    <a:schemeClr val="dk1">
                      <a:lumMod val="65000"/>
                      <a:lumOff val="35000"/>
                    </a:schemeClr>
                  </a:gs>
                  <a:gs pos="100000">
                    <a:schemeClr val="dk1">
                      <a:lumMod val="75000"/>
                      <a:lumOff val="25000"/>
                    </a:schemeClr>
                  </a:gs>
                </a:gsLst>
                <a:lin ang="10800000" scaled="0"/>
              </a:gradFill>
              <a:round/>
            </a:ln>
            <a:effectLst/>
          </c:spPr>
        </c:majorGridlines>
        <c:numFmt formatCode="&quot;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862595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1316321861004757"/>
          <c:y val="0.46541403593609776"/>
          <c:w val="6.0069741837699531E-2"/>
          <c:h val="6.78214914856136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es-A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9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dk1">
                <a:lumMod val="65000"/>
                <a:lumOff val="35000"/>
              </a:schemeClr>
            </a:gs>
            <a:gs pos="100000">
              <a:schemeClr val="dk1">
                <a:lumMod val="75000"/>
                <a:lumOff val="25000"/>
              </a:schemeClr>
            </a:gs>
          </a:gsLst>
          <a:lin ang="10800000" scaled="0"/>
        </a:gradFill>
        <a:round/>
      </a:ln>
      <a:effectLst/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2.xml"/><Relationship Id="rId18" Type="http://schemas.openxmlformats.org/officeDocument/2006/relationships/hyperlink" Target="#'Dataset de ventas'!A1"/><Relationship Id="rId3" Type="http://schemas.openxmlformats.org/officeDocument/2006/relationships/hyperlink" Target="#'Dataset de ventas'!H3:H1500"/><Relationship Id="rId7" Type="http://schemas.openxmlformats.org/officeDocument/2006/relationships/hyperlink" Target="#'Dataset de ventas'!I3"/><Relationship Id="rId12" Type="http://schemas.openxmlformats.org/officeDocument/2006/relationships/hyperlink" Target="#'Preguntas y respuestas'!A19"/><Relationship Id="rId17" Type="http://schemas.openxmlformats.org/officeDocument/2006/relationships/hyperlink" Target="#'Hoja Auxiliar'!A1"/><Relationship Id="rId2" Type="http://schemas.openxmlformats.org/officeDocument/2006/relationships/image" Target="../media/image2.svg"/><Relationship Id="rId16" Type="http://schemas.openxmlformats.org/officeDocument/2006/relationships/hyperlink" Target="#'Archivo en crudo'!A1"/><Relationship Id="rId1" Type="http://schemas.openxmlformats.org/officeDocument/2006/relationships/image" Target="../media/image1.png"/><Relationship Id="rId6" Type="http://schemas.openxmlformats.org/officeDocument/2006/relationships/hyperlink" Target="#'Dataset de ventas'!I3:I1500"/><Relationship Id="rId11" Type="http://schemas.openxmlformats.org/officeDocument/2006/relationships/hyperlink" Target="#'Preguntas y respuestas'!P13"/><Relationship Id="rId5" Type="http://schemas.openxmlformats.org/officeDocument/2006/relationships/image" Target="../media/image4.svg"/><Relationship Id="rId15" Type="http://schemas.openxmlformats.org/officeDocument/2006/relationships/hyperlink" Target="#Readme!I1"/><Relationship Id="rId10" Type="http://schemas.openxmlformats.org/officeDocument/2006/relationships/chart" Target="../charts/chart1.xml"/><Relationship Id="rId19" Type="http://schemas.openxmlformats.org/officeDocument/2006/relationships/hyperlink" Target="#'Preguntas y respuestas'!A1"/><Relationship Id="rId4" Type="http://schemas.openxmlformats.org/officeDocument/2006/relationships/image" Target="../media/image3.png"/><Relationship Id="rId9" Type="http://schemas.openxmlformats.org/officeDocument/2006/relationships/image" Target="../media/image6.svg"/><Relationship Id="rId1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685800</xdr:colOff>
      <xdr:row>9</xdr:row>
      <xdr:rowOff>85725</xdr:rowOff>
    </xdr:from>
    <xdr:to>
      <xdr:col>8</xdr:col>
      <xdr:colOff>647700</xdr:colOff>
      <xdr:row>13</xdr:row>
      <xdr:rowOff>123825</xdr:rowOff>
    </xdr:to>
    <xdr:sp macro="" textlink="">
      <xdr:nvSpPr>
        <xdr:cNvPr id="37" name="Flecha: hacia abajo 36">
          <a:extLst>
            <a:ext uri="{FF2B5EF4-FFF2-40B4-BE49-F238E27FC236}">
              <a16:creationId xmlns:a16="http://schemas.microsoft.com/office/drawing/2014/main" id="{C6C810A4-F5C3-17FF-DBF9-6657FDEC48C7}"/>
            </a:ext>
          </a:extLst>
        </xdr:cNvPr>
        <xdr:cNvSpPr/>
      </xdr:nvSpPr>
      <xdr:spPr>
        <a:xfrm>
          <a:off x="7543800" y="1800225"/>
          <a:ext cx="723900" cy="80010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28575</xdr:colOff>
      <xdr:row>0</xdr:row>
      <xdr:rowOff>19050</xdr:rowOff>
    </xdr:from>
    <xdr:to>
      <xdr:col>21</xdr:col>
      <xdr:colOff>123825</xdr:colOff>
      <xdr:row>3</xdr:row>
      <xdr:rowOff>180975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139C075D-1C63-2F2D-E234-9B1CC192582A}"/>
            </a:ext>
          </a:extLst>
        </xdr:cNvPr>
        <xdr:cNvSpPr/>
      </xdr:nvSpPr>
      <xdr:spPr>
        <a:xfrm>
          <a:off x="28575" y="19050"/>
          <a:ext cx="17773650" cy="733425"/>
        </a:xfrm>
        <a:prstGeom prst="round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AR" sz="2800" b="1"/>
            <a:t>DATOS</a:t>
          </a:r>
          <a:r>
            <a:rPr lang="es-AR" sz="2800" b="1" baseline="0"/>
            <a:t> DE LA COMPAÑIA</a:t>
          </a:r>
          <a:endParaRPr lang="es-AR" sz="2800" b="1"/>
        </a:p>
      </xdr:txBody>
    </xdr:sp>
    <xdr:clientData/>
  </xdr:twoCellAnchor>
  <xdr:twoCellAnchor editAs="oneCell">
    <xdr:from>
      <xdr:col>12</xdr:col>
      <xdr:colOff>101600</xdr:colOff>
      <xdr:row>0</xdr:row>
      <xdr:rowOff>85725</xdr:rowOff>
    </xdr:from>
    <xdr:to>
      <xdr:col>12</xdr:col>
      <xdr:colOff>647700</xdr:colOff>
      <xdr:row>3</xdr:row>
      <xdr:rowOff>85725</xdr:rowOff>
    </xdr:to>
    <xdr:pic>
      <xdr:nvPicPr>
        <xdr:cNvPr id="5" name="Gráfico 4" descr="Gráfico de barras con tendencia alcista con relleno sólido">
          <a:extLst>
            <a:ext uri="{FF2B5EF4-FFF2-40B4-BE49-F238E27FC236}">
              <a16:creationId xmlns:a16="http://schemas.microsoft.com/office/drawing/2014/main" id="{9E6D742E-F75F-B6E0-B7AD-95B00D406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769600" y="85725"/>
          <a:ext cx="546100" cy="5715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28574</xdr:rowOff>
    </xdr:from>
    <xdr:to>
      <xdr:col>1</xdr:col>
      <xdr:colOff>581025</xdr:colOff>
      <xdr:row>8</xdr:row>
      <xdr:rowOff>152399</xdr:rowOff>
    </xdr:to>
    <xdr:sp macro="" textlink="'Hoja Auxiliar'!A2">
      <xdr:nvSpPr>
        <xdr:cNvPr id="6" name="Rectángulo: esquinas redondeada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0E0F811-DB1D-7A70-5E81-9148EA128EBC}"/>
            </a:ext>
          </a:extLst>
        </xdr:cNvPr>
        <xdr:cNvSpPr/>
      </xdr:nvSpPr>
      <xdr:spPr>
        <a:xfrm>
          <a:off x="0" y="790574"/>
          <a:ext cx="2209800" cy="8858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099200EB-5C91-4504-B7D3-C2D4F9E9CD12}" type="TxLink">
            <a:rPr lang="en-US" sz="32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10</a:t>
          </a:fld>
          <a:endParaRPr lang="es-AR" sz="4000" b="1" baseline="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254000</xdr:colOff>
      <xdr:row>5</xdr:row>
      <xdr:rowOff>0</xdr:rowOff>
    </xdr:from>
    <xdr:to>
      <xdr:col>0</xdr:col>
      <xdr:colOff>835371</xdr:colOff>
      <xdr:row>8</xdr:row>
      <xdr:rowOff>38099</xdr:rowOff>
    </xdr:to>
    <xdr:pic>
      <xdr:nvPicPr>
        <xdr:cNvPr id="8" name="Gráfico 7" descr="Niños con relleno sólido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B19D916-B7B0-8470-749D-3DFBD7796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254000" y="952500"/>
          <a:ext cx="581371" cy="609599"/>
        </a:xfrm>
        <a:prstGeom prst="rect">
          <a:avLst/>
        </a:prstGeom>
      </xdr:spPr>
    </xdr:pic>
    <xdr:clientData/>
  </xdr:twoCellAnchor>
  <xdr:oneCellAnchor>
    <xdr:from>
      <xdr:col>0</xdr:col>
      <xdr:colOff>38098</xdr:colOff>
      <xdr:row>4</xdr:row>
      <xdr:rowOff>19050</xdr:rowOff>
    </xdr:from>
    <xdr:ext cx="2190751" cy="311496"/>
    <xdr:sp macro="" textlink="">
      <xdr:nvSpPr>
        <xdr:cNvPr id="4" name="CuadroText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BD043B4-35D1-D8B4-CF42-1D9E4DC87857}"/>
            </a:ext>
          </a:extLst>
        </xdr:cNvPr>
        <xdr:cNvSpPr txBox="1"/>
      </xdr:nvSpPr>
      <xdr:spPr>
        <a:xfrm>
          <a:off x="38098" y="781050"/>
          <a:ext cx="219075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AR" sz="1400" b="1">
              <a:solidFill>
                <a:schemeClr val="bg1"/>
              </a:solidFill>
            </a:rPr>
            <a:t>Cantidad</a:t>
          </a:r>
          <a:r>
            <a:rPr lang="es-AR" sz="1400" b="1" baseline="0">
              <a:solidFill>
                <a:schemeClr val="bg1"/>
              </a:solidFill>
            </a:rPr>
            <a:t> de vendedores:</a:t>
          </a:r>
          <a:endParaRPr lang="es-AR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1</xdr:col>
      <xdr:colOff>685800</xdr:colOff>
      <xdr:row>4</xdr:row>
      <xdr:rowOff>142875</xdr:rowOff>
    </xdr:from>
    <xdr:to>
      <xdr:col>2</xdr:col>
      <xdr:colOff>619125</xdr:colOff>
      <xdr:row>8</xdr:row>
      <xdr:rowOff>66675</xdr:rowOff>
    </xdr:to>
    <xdr:sp macro="" textlink="">
      <xdr:nvSpPr>
        <xdr:cNvPr id="7" name="Flecha: cheurón 6">
          <a:extLst>
            <a:ext uri="{FF2B5EF4-FFF2-40B4-BE49-F238E27FC236}">
              <a16:creationId xmlns:a16="http://schemas.microsoft.com/office/drawing/2014/main" id="{62CD5B6F-04EE-541E-5381-D9463969CA75}"/>
            </a:ext>
          </a:extLst>
        </xdr:cNvPr>
        <xdr:cNvSpPr/>
      </xdr:nvSpPr>
      <xdr:spPr>
        <a:xfrm>
          <a:off x="2314575" y="904875"/>
          <a:ext cx="876300" cy="685800"/>
        </a:xfrm>
        <a:prstGeom prst="chevr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695325</xdr:colOff>
      <xdr:row>4</xdr:row>
      <xdr:rowOff>28574</xdr:rowOff>
    </xdr:from>
    <xdr:to>
      <xdr:col>5</xdr:col>
      <xdr:colOff>266700</xdr:colOff>
      <xdr:row>8</xdr:row>
      <xdr:rowOff>152399</xdr:rowOff>
    </xdr:to>
    <xdr:sp macro="" textlink="'Hoja Auxiliar'!A5">
      <xdr:nvSpPr>
        <xdr:cNvPr id="9" name="Rectángulo: esquinas redondeadas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4AC6F94-5D75-5BDF-03C6-DF1E9827A521}"/>
            </a:ext>
          </a:extLst>
        </xdr:cNvPr>
        <xdr:cNvSpPr/>
      </xdr:nvSpPr>
      <xdr:spPr>
        <a:xfrm>
          <a:off x="3267075" y="790574"/>
          <a:ext cx="2333625" cy="8858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1C471E03-837C-428F-934C-942F3772C3C6}" type="TxLink">
            <a:rPr lang="en-US" sz="3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6</a:t>
          </a:fld>
          <a:endParaRPr lang="es-AR" sz="32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2</xdr:col>
      <xdr:colOff>1171576</xdr:colOff>
      <xdr:row>5</xdr:row>
      <xdr:rowOff>19051</xdr:rowOff>
    </xdr:from>
    <xdr:to>
      <xdr:col>3</xdr:col>
      <xdr:colOff>476250</xdr:colOff>
      <xdr:row>7</xdr:row>
      <xdr:rowOff>180975</xdr:rowOff>
    </xdr:to>
    <xdr:pic>
      <xdr:nvPicPr>
        <xdr:cNvPr id="11" name="Gráfico 10" descr="Ciudad con relleno sólido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CBC6E7FC-AF0C-8EF9-51BC-74F5A55FB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3743326" y="971551"/>
          <a:ext cx="542924" cy="542924"/>
        </a:xfrm>
        <a:prstGeom prst="rect">
          <a:avLst/>
        </a:prstGeom>
      </xdr:spPr>
    </xdr:pic>
    <xdr:clientData/>
  </xdr:twoCellAnchor>
  <xdr:oneCellAnchor>
    <xdr:from>
      <xdr:col>2</xdr:col>
      <xdr:colOff>838200</xdr:colOff>
      <xdr:row>4</xdr:row>
      <xdr:rowOff>9525</xdr:rowOff>
    </xdr:from>
    <xdr:ext cx="2095500" cy="311496"/>
    <xdr:sp macro="" textlink="">
      <xdr:nvSpPr>
        <xdr:cNvPr id="12" name="CuadroText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CFC7B43-7652-52FB-4C8D-FB9F0AB7840B}"/>
            </a:ext>
          </a:extLst>
        </xdr:cNvPr>
        <xdr:cNvSpPr txBox="1"/>
      </xdr:nvSpPr>
      <xdr:spPr>
        <a:xfrm>
          <a:off x="3409950" y="771525"/>
          <a:ext cx="2095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AR" sz="1400" b="1">
              <a:solidFill>
                <a:schemeClr val="bg1"/>
              </a:solidFill>
            </a:rPr>
            <a:t>Cantidad de sucursales:</a:t>
          </a:r>
        </a:p>
      </xdr:txBody>
    </xdr:sp>
    <xdr:clientData/>
  </xdr:oneCellAnchor>
  <xdr:twoCellAnchor>
    <xdr:from>
      <xdr:col>0</xdr:col>
      <xdr:colOff>0</xdr:colOff>
      <xdr:row>9</xdr:row>
      <xdr:rowOff>47625</xdr:rowOff>
    </xdr:from>
    <xdr:to>
      <xdr:col>5</xdr:col>
      <xdr:colOff>304800</xdr:colOff>
      <xdr:row>12</xdr:row>
      <xdr:rowOff>47625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0E3486C4-FFF7-A229-A0AB-69E4DC5B5D14}"/>
            </a:ext>
          </a:extLst>
        </xdr:cNvPr>
        <xdr:cNvSpPr/>
      </xdr:nvSpPr>
      <xdr:spPr>
        <a:xfrm>
          <a:off x="0" y="1762125"/>
          <a:ext cx="5638800" cy="5715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oneCellAnchor>
    <xdr:from>
      <xdr:col>0</xdr:col>
      <xdr:colOff>714374</xdr:colOff>
      <xdr:row>9</xdr:row>
      <xdr:rowOff>142875</xdr:rowOff>
    </xdr:from>
    <xdr:ext cx="4162425" cy="405432"/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D5EDB2AE-BFF1-4553-89FD-A348F473DCC5}"/>
            </a:ext>
          </a:extLst>
        </xdr:cNvPr>
        <xdr:cNvSpPr txBox="1"/>
      </xdr:nvSpPr>
      <xdr:spPr>
        <a:xfrm>
          <a:off x="714374" y="1857375"/>
          <a:ext cx="41624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s-AR" sz="2000" b="1">
              <a:solidFill>
                <a:schemeClr val="bg1"/>
              </a:solidFill>
            </a:rPr>
            <a:t>Portafolio de venta</a:t>
          </a:r>
          <a:r>
            <a:rPr lang="es-AR" sz="2000" b="1" baseline="0">
              <a:solidFill>
                <a:schemeClr val="bg1"/>
              </a:solidFill>
            </a:rPr>
            <a:t>:</a:t>
          </a:r>
        </a:p>
      </xdr:txBody>
    </xdr:sp>
    <xdr:clientData/>
  </xdr:oneCellAnchor>
  <xdr:twoCellAnchor>
    <xdr:from>
      <xdr:col>0</xdr:col>
      <xdr:colOff>0</xdr:colOff>
      <xdr:row>12</xdr:row>
      <xdr:rowOff>109535</xdr:rowOff>
    </xdr:from>
    <xdr:to>
      <xdr:col>5</xdr:col>
      <xdr:colOff>314325</xdr:colOff>
      <xdr:row>39</xdr:row>
      <xdr:rowOff>28575</xdr:rowOff>
    </xdr:to>
    <xdr:graphicFrame macro="">
      <xdr:nvGraphicFramePr>
        <xdr:cNvPr id="20" name="Gráfico 5">
          <a:extLst>
            <a:ext uri="{FF2B5EF4-FFF2-40B4-BE49-F238E27FC236}">
              <a16:creationId xmlns:a16="http://schemas.microsoft.com/office/drawing/2014/main" id="{B9D752FC-9922-DD02-A2E6-9C728B9BD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11</xdr:col>
      <xdr:colOff>190500</xdr:colOff>
      <xdr:row>4</xdr:row>
      <xdr:rowOff>28576</xdr:rowOff>
    </xdr:from>
    <xdr:to>
      <xdr:col>15</xdr:col>
      <xdr:colOff>495300</xdr:colOff>
      <xdr:row>7</xdr:row>
      <xdr:rowOff>133350</xdr:rowOff>
    </xdr:to>
    <xdr:sp macro="" textlink="'Preguntas y respuestas'!P14:S15">
      <xdr:nvSpPr>
        <xdr:cNvPr id="21" name="Rectángulo: esquinas redondeadas 2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A97F5DFF-0131-52EE-447A-59D77F59A3B5}"/>
            </a:ext>
          </a:extLst>
        </xdr:cNvPr>
        <xdr:cNvSpPr/>
      </xdr:nvSpPr>
      <xdr:spPr>
        <a:xfrm>
          <a:off x="10096500" y="790576"/>
          <a:ext cx="3352800" cy="67627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F46DEFC9-472A-4EF8-9192-1B7095DAD062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Villa Allende</a:t>
          </a:fld>
          <a:endParaRPr lang="es-AR" sz="2000" b="1">
            <a:solidFill>
              <a:schemeClr val="bg1"/>
            </a:solidFill>
          </a:endParaRPr>
        </a:p>
      </xdr:txBody>
    </xdr:sp>
    <xdr:clientData/>
  </xdr:twoCellAnchor>
  <xdr:oneCellAnchor>
    <xdr:from>
      <xdr:col>11</xdr:col>
      <xdr:colOff>381000</xdr:colOff>
      <xdr:row>4</xdr:row>
      <xdr:rowOff>38101</xdr:rowOff>
    </xdr:from>
    <xdr:ext cx="2905125" cy="323850"/>
    <xdr:sp macro="" textlink="">
      <xdr:nvSpPr>
        <xdr:cNvPr id="22" name="CuadroTexto 21">
          <a:extLst>
            <a:ext uri="{FF2B5EF4-FFF2-40B4-BE49-F238E27FC236}">
              <a16:creationId xmlns:a16="http://schemas.microsoft.com/office/drawing/2014/main" id="{9FE4E828-EE77-401C-AF2F-13F8D04061D6}"/>
            </a:ext>
          </a:extLst>
        </xdr:cNvPr>
        <xdr:cNvSpPr txBox="1"/>
      </xdr:nvSpPr>
      <xdr:spPr>
        <a:xfrm>
          <a:off x="10287000" y="800101"/>
          <a:ext cx="2905125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600" b="1" baseline="0">
              <a:solidFill>
                <a:schemeClr val="bg1"/>
              </a:solidFill>
            </a:rPr>
            <a:t>Sucursal con mayor ventas:</a:t>
          </a:r>
        </a:p>
      </xdr:txBody>
    </xdr:sp>
    <xdr:clientData/>
  </xdr:oneCellAnchor>
  <xdr:twoCellAnchor>
    <xdr:from>
      <xdr:col>16</xdr:col>
      <xdr:colOff>742950</xdr:colOff>
      <xdr:row>4</xdr:row>
      <xdr:rowOff>19050</xdr:rowOff>
    </xdr:from>
    <xdr:to>
      <xdr:col>21</xdr:col>
      <xdr:colOff>133350</xdr:colOff>
      <xdr:row>7</xdr:row>
      <xdr:rowOff>152400</xdr:rowOff>
    </xdr:to>
    <xdr:sp macro="" textlink="'Preguntas y respuestas'!A20:D21">
      <xdr:nvSpPr>
        <xdr:cNvPr id="27" name="Rectángulo: esquinas redondeadas 26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10C6AED-B4EB-5340-000B-7CDBD725740A}"/>
            </a:ext>
          </a:extLst>
        </xdr:cNvPr>
        <xdr:cNvSpPr/>
      </xdr:nvSpPr>
      <xdr:spPr>
        <a:xfrm>
          <a:off x="14458950" y="781050"/>
          <a:ext cx="3352800" cy="7048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CB58E7DF-EEAE-4FF5-B38D-CB61F07591FD}" type="TxLink">
            <a:rPr lang="en-US" sz="2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Luís Chaparro Borja</a:t>
          </a:fld>
          <a:endParaRPr lang="es-AR" sz="2000" b="1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12</xdr:col>
      <xdr:colOff>66675</xdr:colOff>
      <xdr:row>5</xdr:row>
      <xdr:rowOff>95250</xdr:rowOff>
    </xdr:from>
    <xdr:to>
      <xdr:col>12</xdr:col>
      <xdr:colOff>428625</xdr:colOff>
      <xdr:row>7</xdr:row>
      <xdr:rowOff>76200</xdr:rowOff>
    </xdr:to>
    <xdr:pic>
      <xdr:nvPicPr>
        <xdr:cNvPr id="28" name="Gráfico 27" descr="Ciudad con relleno sólido">
          <a:extLst>
            <a:ext uri="{FF2B5EF4-FFF2-40B4-BE49-F238E27FC236}">
              <a16:creationId xmlns:a16="http://schemas.microsoft.com/office/drawing/2014/main" id="{46C590CA-BA3D-40D0-82E9-AA3D6DA83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734675" y="1047750"/>
          <a:ext cx="361950" cy="361950"/>
        </a:xfrm>
        <a:prstGeom prst="rect">
          <a:avLst/>
        </a:prstGeom>
      </xdr:spPr>
    </xdr:pic>
    <xdr:clientData/>
  </xdr:twoCellAnchor>
  <xdr:twoCellAnchor>
    <xdr:from>
      <xdr:col>15</xdr:col>
      <xdr:colOff>552450</xdr:colOff>
      <xdr:row>4</xdr:row>
      <xdr:rowOff>28575</xdr:rowOff>
    </xdr:from>
    <xdr:to>
      <xdr:col>16</xdr:col>
      <xdr:colOff>666750</xdr:colOff>
      <xdr:row>7</xdr:row>
      <xdr:rowOff>133350</xdr:rowOff>
    </xdr:to>
    <xdr:sp macro="" textlink="">
      <xdr:nvSpPr>
        <xdr:cNvPr id="29" name="Flecha: cheurón 28">
          <a:extLst>
            <a:ext uri="{FF2B5EF4-FFF2-40B4-BE49-F238E27FC236}">
              <a16:creationId xmlns:a16="http://schemas.microsoft.com/office/drawing/2014/main" id="{BD5EE26D-543E-4D59-BF78-630442900F40}"/>
            </a:ext>
          </a:extLst>
        </xdr:cNvPr>
        <xdr:cNvSpPr/>
      </xdr:nvSpPr>
      <xdr:spPr>
        <a:xfrm>
          <a:off x="13506450" y="790575"/>
          <a:ext cx="876300" cy="676275"/>
        </a:xfrm>
        <a:prstGeom prst="chevr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>
            <a:solidFill>
              <a:schemeClr val="tx1"/>
            </a:solidFill>
          </a:endParaRPr>
        </a:p>
      </xdr:txBody>
    </xdr:sp>
    <xdr:clientData/>
  </xdr:twoCellAnchor>
  <xdr:oneCellAnchor>
    <xdr:from>
      <xdr:col>16</xdr:col>
      <xdr:colOff>742950</xdr:colOff>
      <xdr:row>4</xdr:row>
      <xdr:rowOff>76200</xdr:rowOff>
    </xdr:from>
    <xdr:ext cx="3238500" cy="323850"/>
    <xdr:sp macro="" textlink="">
      <xdr:nvSpPr>
        <xdr:cNvPr id="32" name="CuadroTexto 31">
          <a:extLst>
            <a:ext uri="{FF2B5EF4-FFF2-40B4-BE49-F238E27FC236}">
              <a16:creationId xmlns:a16="http://schemas.microsoft.com/office/drawing/2014/main" id="{7FBCFC1F-50DE-454B-8C0D-789896206A8E}"/>
            </a:ext>
          </a:extLst>
        </xdr:cNvPr>
        <xdr:cNvSpPr txBox="1"/>
      </xdr:nvSpPr>
      <xdr:spPr>
        <a:xfrm>
          <a:off x="14458950" y="838200"/>
          <a:ext cx="3238500" cy="3238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1400" b="1" baseline="0">
              <a:solidFill>
                <a:schemeClr val="bg1"/>
              </a:solidFill>
            </a:rPr>
            <a:t>Vendedor con la comision mas alta:</a:t>
          </a:r>
        </a:p>
      </xdr:txBody>
    </xdr:sp>
    <xdr:clientData/>
  </xdr:oneCellAnchor>
  <xdr:twoCellAnchor>
    <xdr:from>
      <xdr:col>11</xdr:col>
      <xdr:colOff>209550</xdr:colOff>
      <xdr:row>7</xdr:row>
      <xdr:rowOff>185737</xdr:rowOff>
    </xdr:from>
    <xdr:to>
      <xdr:col>21</xdr:col>
      <xdr:colOff>152400</xdr:colOff>
      <xdr:row>25</xdr:row>
      <xdr:rowOff>19050</xdr:rowOff>
    </xdr:to>
    <xdr:graphicFrame macro="">
      <xdr:nvGraphicFramePr>
        <xdr:cNvPr id="33" name="Gráfico 6">
          <a:extLst>
            <a:ext uri="{FF2B5EF4-FFF2-40B4-BE49-F238E27FC236}">
              <a16:creationId xmlns:a16="http://schemas.microsoft.com/office/drawing/2014/main" id="{E80C329E-B095-5C35-8985-BDBB722709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200025</xdr:colOff>
      <xdr:row>25</xdr:row>
      <xdr:rowOff>4762</xdr:rowOff>
    </xdr:from>
    <xdr:to>
      <xdr:col>21</xdr:col>
      <xdr:colOff>152400</xdr:colOff>
      <xdr:row>37</xdr:row>
      <xdr:rowOff>123825</xdr:rowOff>
    </xdr:to>
    <xdr:graphicFrame macro="">
      <xdr:nvGraphicFramePr>
        <xdr:cNvPr id="34" name="Gráfico 11">
          <a:extLst>
            <a:ext uri="{FF2B5EF4-FFF2-40B4-BE49-F238E27FC236}">
              <a16:creationId xmlns:a16="http://schemas.microsoft.com/office/drawing/2014/main" id="{9D3F08CA-9DE8-4EFF-1662-0B19D25CF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9525</xdr:colOff>
      <xdr:row>4</xdr:row>
      <xdr:rowOff>180975</xdr:rowOff>
    </xdr:from>
    <xdr:to>
      <xdr:col>10</xdr:col>
      <xdr:colOff>504825</xdr:colOff>
      <xdr:row>10</xdr:row>
      <xdr:rowOff>95250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72C2D67F-9207-AFA7-85ED-27794798A65F}"/>
            </a:ext>
          </a:extLst>
        </xdr:cNvPr>
        <xdr:cNvSpPr/>
      </xdr:nvSpPr>
      <xdr:spPr>
        <a:xfrm>
          <a:off x="6105525" y="942975"/>
          <a:ext cx="3543300" cy="10572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oneCellAnchor>
    <xdr:from>
      <xdr:col>6</xdr:col>
      <xdr:colOff>409575</xdr:colOff>
      <xdr:row>6</xdr:row>
      <xdr:rowOff>28575</xdr:rowOff>
    </xdr:from>
    <xdr:ext cx="2905125" cy="533400"/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28778F86-B245-413D-BE01-07574EECD195}"/>
            </a:ext>
          </a:extLst>
        </xdr:cNvPr>
        <xdr:cNvSpPr txBox="1"/>
      </xdr:nvSpPr>
      <xdr:spPr>
        <a:xfrm>
          <a:off x="6505575" y="1171575"/>
          <a:ext cx="2905125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2800" b="1" baseline="0">
              <a:solidFill>
                <a:schemeClr val="bg1"/>
              </a:solidFill>
            </a:rPr>
            <a:t>Menu Interactivo</a:t>
          </a:r>
        </a:p>
        <a:p>
          <a:pPr algn="ctr"/>
          <a:endParaRPr lang="es-AR" sz="1600" b="1" baseline="0">
            <a:solidFill>
              <a:schemeClr val="bg1"/>
            </a:solidFill>
          </a:endParaRPr>
        </a:p>
      </xdr:txBody>
    </xdr:sp>
    <xdr:clientData/>
  </xdr:oneCellAnchor>
  <xdr:twoCellAnchor>
    <xdr:from>
      <xdr:col>6</xdr:col>
      <xdr:colOff>400050</xdr:colOff>
      <xdr:row>13</xdr:row>
      <xdr:rowOff>152400</xdr:rowOff>
    </xdr:from>
    <xdr:to>
      <xdr:col>10</xdr:col>
      <xdr:colOff>209550</xdr:colOff>
      <xdr:row>17</xdr:row>
      <xdr:rowOff>104775</xdr:rowOff>
    </xdr:to>
    <xdr:sp macro="" textlink="">
      <xdr:nvSpPr>
        <xdr:cNvPr id="38" name="Rectángulo: esquinas redondeadas 3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9CA0E85A-B9A1-C804-616A-A9B2489E2CBA}"/>
            </a:ext>
          </a:extLst>
        </xdr:cNvPr>
        <xdr:cNvSpPr/>
      </xdr:nvSpPr>
      <xdr:spPr>
        <a:xfrm>
          <a:off x="6496050" y="2628900"/>
          <a:ext cx="2857500" cy="714375"/>
        </a:xfrm>
        <a:prstGeom prst="roundRect">
          <a:avLst/>
        </a:prstGeom>
        <a:solidFill>
          <a:srgbClr val="00206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400050</xdr:colOff>
      <xdr:row>17</xdr:row>
      <xdr:rowOff>123825</xdr:rowOff>
    </xdr:from>
    <xdr:to>
      <xdr:col>10</xdr:col>
      <xdr:colOff>209550</xdr:colOff>
      <xdr:row>21</xdr:row>
      <xdr:rowOff>76200</xdr:rowOff>
    </xdr:to>
    <xdr:sp macro="" textlink="">
      <xdr:nvSpPr>
        <xdr:cNvPr id="39" name="Rectángulo: esquinas redondeadas 3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8C1244B8-E025-4FBB-99E1-AFD5611A5006}"/>
            </a:ext>
          </a:extLst>
        </xdr:cNvPr>
        <xdr:cNvSpPr/>
      </xdr:nvSpPr>
      <xdr:spPr>
        <a:xfrm>
          <a:off x="6496050" y="3362325"/>
          <a:ext cx="2857500" cy="714375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409575</xdr:colOff>
      <xdr:row>21</xdr:row>
      <xdr:rowOff>95250</xdr:rowOff>
    </xdr:from>
    <xdr:to>
      <xdr:col>10</xdr:col>
      <xdr:colOff>219075</xdr:colOff>
      <xdr:row>25</xdr:row>
      <xdr:rowOff>47625</xdr:rowOff>
    </xdr:to>
    <xdr:sp macro="" textlink="">
      <xdr:nvSpPr>
        <xdr:cNvPr id="40" name="Rectángulo: esquinas redondeadas 3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D01D339F-BC3C-4FD7-87AF-EBB7756A6E3D}"/>
            </a:ext>
          </a:extLst>
        </xdr:cNvPr>
        <xdr:cNvSpPr/>
      </xdr:nvSpPr>
      <xdr:spPr>
        <a:xfrm>
          <a:off x="6505575" y="4095750"/>
          <a:ext cx="2857500" cy="714375"/>
        </a:xfrm>
        <a:prstGeom prst="roundRect">
          <a:avLst/>
        </a:prstGeom>
        <a:solidFill>
          <a:srgbClr val="7030A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428625</xdr:colOff>
      <xdr:row>25</xdr:row>
      <xdr:rowOff>66675</xdr:rowOff>
    </xdr:from>
    <xdr:to>
      <xdr:col>10</xdr:col>
      <xdr:colOff>238125</xdr:colOff>
      <xdr:row>29</xdr:row>
      <xdr:rowOff>19050</xdr:rowOff>
    </xdr:to>
    <xdr:sp macro="" textlink="">
      <xdr:nvSpPr>
        <xdr:cNvPr id="41" name="Rectángulo: esquinas redondeadas 4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5F77A485-A543-4141-A7C4-9EA63CEB1311}"/>
            </a:ext>
          </a:extLst>
        </xdr:cNvPr>
        <xdr:cNvSpPr/>
      </xdr:nvSpPr>
      <xdr:spPr>
        <a:xfrm>
          <a:off x="6524625" y="4829175"/>
          <a:ext cx="2857500" cy="71437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/>
        </a:p>
      </xdr:txBody>
    </xdr:sp>
    <xdr:clientData/>
  </xdr:twoCellAnchor>
  <xdr:twoCellAnchor>
    <xdr:from>
      <xdr:col>6</xdr:col>
      <xdr:colOff>419100</xdr:colOff>
      <xdr:row>29</xdr:row>
      <xdr:rowOff>47625</xdr:rowOff>
    </xdr:from>
    <xdr:to>
      <xdr:col>10</xdr:col>
      <xdr:colOff>228600</xdr:colOff>
      <xdr:row>33</xdr:row>
      <xdr:rowOff>0</xdr:rowOff>
    </xdr:to>
    <xdr:sp macro="" textlink="">
      <xdr:nvSpPr>
        <xdr:cNvPr id="42" name="Rectángulo: esquinas redondeadas 4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3E7FE02-B17D-4FE6-AF96-902464C207F7}"/>
            </a:ext>
          </a:extLst>
        </xdr:cNvPr>
        <xdr:cNvSpPr/>
      </xdr:nvSpPr>
      <xdr:spPr>
        <a:xfrm>
          <a:off x="6515100" y="5572125"/>
          <a:ext cx="2857500" cy="714375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s-AR" sz="1100"/>
        </a:p>
      </xdr:txBody>
    </xdr:sp>
    <xdr:clientData/>
  </xdr:twoCellAnchor>
  <xdr:oneCellAnchor>
    <xdr:from>
      <xdr:col>6</xdr:col>
      <xdr:colOff>390525</xdr:colOff>
      <xdr:row>14</xdr:row>
      <xdr:rowOff>38100</xdr:rowOff>
    </xdr:from>
    <xdr:ext cx="2905125" cy="533400"/>
    <xdr:sp macro="" textlink="">
      <xdr:nvSpPr>
        <xdr:cNvPr id="43" name="CuadroTexto 4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7BE577F0-1625-4206-AD5D-FE8C5F3BE8AC}"/>
            </a:ext>
          </a:extLst>
        </xdr:cNvPr>
        <xdr:cNvSpPr txBox="1"/>
      </xdr:nvSpPr>
      <xdr:spPr>
        <a:xfrm>
          <a:off x="6486525" y="2705100"/>
          <a:ext cx="2905125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2800" b="1" baseline="0">
              <a:solidFill>
                <a:schemeClr val="bg1"/>
              </a:solidFill>
            </a:rPr>
            <a:t>Readme</a:t>
          </a:r>
        </a:p>
        <a:p>
          <a:pPr algn="ctr"/>
          <a:endParaRPr lang="es-AR" sz="1600" b="1" baseline="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390525</xdr:colOff>
      <xdr:row>18</xdr:row>
      <xdr:rowOff>9525</xdr:rowOff>
    </xdr:from>
    <xdr:ext cx="2905125" cy="533400"/>
    <xdr:sp macro="" textlink="">
      <xdr:nvSpPr>
        <xdr:cNvPr id="44" name="CuadroTexto 4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73A0AAB-C2BF-42C5-B3F4-DCBBE4F80C28}"/>
            </a:ext>
          </a:extLst>
        </xdr:cNvPr>
        <xdr:cNvSpPr txBox="1"/>
      </xdr:nvSpPr>
      <xdr:spPr>
        <a:xfrm>
          <a:off x="6486525" y="3438525"/>
          <a:ext cx="2905125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2800" b="1" baseline="0">
              <a:solidFill>
                <a:schemeClr val="bg1"/>
              </a:solidFill>
            </a:rPr>
            <a:t>Archivo en crudo</a:t>
          </a:r>
        </a:p>
        <a:p>
          <a:pPr algn="ctr"/>
          <a:endParaRPr lang="es-AR" sz="1600" b="1" baseline="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400050</xdr:colOff>
      <xdr:row>21</xdr:row>
      <xdr:rowOff>180975</xdr:rowOff>
    </xdr:from>
    <xdr:ext cx="2905125" cy="533400"/>
    <xdr:sp macro="" textlink="">
      <xdr:nvSpPr>
        <xdr:cNvPr id="45" name="CuadroTexto 4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962A4853-365F-4F27-B9DE-8F858EC739B2}"/>
            </a:ext>
          </a:extLst>
        </xdr:cNvPr>
        <xdr:cNvSpPr txBox="1"/>
      </xdr:nvSpPr>
      <xdr:spPr>
        <a:xfrm>
          <a:off x="6496050" y="4181475"/>
          <a:ext cx="2905125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2800" b="1" baseline="0">
              <a:solidFill>
                <a:schemeClr val="bg1"/>
              </a:solidFill>
            </a:rPr>
            <a:t>Hoja auxiliar</a:t>
          </a:r>
        </a:p>
        <a:p>
          <a:pPr algn="ctr"/>
          <a:endParaRPr lang="es-AR" sz="1600" b="1" baseline="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419100</xdr:colOff>
      <xdr:row>25</xdr:row>
      <xdr:rowOff>142875</xdr:rowOff>
    </xdr:from>
    <xdr:ext cx="2905125" cy="533400"/>
    <xdr:sp macro="" textlink="">
      <xdr:nvSpPr>
        <xdr:cNvPr id="46" name="CuadroTexto 4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1923B3D7-599F-4BD7-A405-018E1BDEE123}"/>
            </a:ext>
          </a:extLst>
        </xdr:cNvPr>
        <xdr:cNvSpPr txBox="1"/>
      </xdr:nvSpPr>
      <xdr:spPr>
        <a:xfrm>
          <a:off x="6515100" y="4905375"/>
          <a:ext cx="2905125" cy="533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2800" b="1" baseline="0">
              <a:solidFill>
                <a:schemeClr val="bg1"/>
              </a:solidFill>
            </a:rPr>
            <a:t>Dataset de ventas</a:t>
          </a:r>
        </a:p>
        <a:p>
          <a:pPr algn="ctr"/>
          <a:endParaRPr lang="es-AR" sz="1600" b="1" baseline="0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438151</xdr:colOff>
      <xdr:row>29</xdr:row>
      <xdr:rowOff>180974</xdr:rowOff>
    </xdr:from>
    <xdr:ext cx="2857500" cy="504826"/>
    <xdr:sp macro="" textlink="">
      <xdr:nvSpPr>
        <xdr:cNvPr id="49" name="CuadroTexto 4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195E9904-E91D-4732-97D6-A875228EE4DB}"/>
            </a:ext>
          </a:extLst>
        </xdr:cNvPr>
        <xdr:cNvSpPr txBox="1"/>
      </xdr:nvSpPr>
      <xdr:spPr>
        <a:xfrm>
          <a:off x="6534151" y="5705474"/>
          <a:ext cx="2857500" cy="504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AR" sz="2000" b="1" baseline="0">
              <a:solidFill>
                <a:schemeClr val="bg1"/>
              </a:solidFill>
            </a:rPr>
            <a:t>Preguntas y respuestas</a:t>
          </a:r>
        </a:p>
        <a:p>
          <a:pPr algn="ctr"/>
          <a:endParaRPr lang="es-AR" sz="2000" b="1" baseline="0">
            <a:solidFill>
              <a:schemeClr val="bg1"/>
            </a:solidFill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ysser marrero" refreshedDate="45911.012652777776" createdVersion="8" refreshedVersion="8" minRefreshableVersion="3" recordCount="1498" xr:uid="{C0A5873E-D215-4C26-9E89-A9312D5417C1}">
  <cacheSource type="worksheet">
    <worksheetSource name="Ventas2024a2025"/>
  </cacheSource>
  <cacheFields count="14">
    <cacheField name="Cliente" numFmtId="0">
      <sharedItems count="1497">
        <s v="Calixto Valderrama"/>
        <s v="Jordán Arnaiz"/>
        <s v="Clotilde Baños"/>
        <s v="Rosalina Gallardo"/>
        <s v="Goyo Estévez"/>
        <s v="Ovidio Valenzuela"/>
        <s v="Jose Luis Sierra"/>
        <s v="Tere Villegas"/>
        <s v="Alejandra Villa"/>
        <s v="Loida Priego"/>
        <s v="Felisa Pellicer"/>
        <s v="Josefa Reyes"/>
        <s v="Reinaldo Camps"/>
        <s v="Flora Toledo"/>
        <s v="Álvaro Vallés"/>
        <s v="Néstor Galindo"/>
        <s v="Consuelo Seco"/>
        <s v="Cebrián Cornejo"/>
        <s v="Lope Luque"/>
        <s v="Caridad Ariño"/>
        <s v="Diego Soriano"/>
        <s v="Haydée Sanmiguel"/>
        <s v="Fidela Asenjo"/>
        <s v="Trinidad Neira"/>
        <s v="Luz Mora"/>
        <s v="Humberto Quintana"/>
        <s v="Teófilo Somoza"/>
        <s v="Belén Cabanillas"/>
        <s v="Santos Pinedo"/>
        <s v="Ruben Acevedo"/>
        <s v="Baudelio Ricart"/>
        <s v="Georgina Farré"/>
        <s v="Hilario González"/>
        <s v="Ángela Asensio"/>
        <s v="Ximena Prats"/>
        <s v="Vanesa Zorrilla"/>
        <s v="Inmaculada Gaya"/>
        <s v="Brunilda Cuevas"/>
        <s v="Adolfo Carrasco"/>
        <s v="Julieta Serra"/>
        <s v="Vera Dominguez"/>
        <s v="Eutropio Codina"/>
        <s v="Elena Julián"/>
        <s v="Dimas Gimenez"/>
        <s v="Jacinta Nuñez"/>
        <s v="Noemí Paniagua"/>
        <s v="Jenaro Flores"/>
        <s v="Cesar Jara"/>
        <s v="Alex Campillo"/>
        <s v="Heraclio Carrillo"/>
        <s v="Gabriel Valdés"/>
        <s v="Inmaculada Diéguez"/>
        <s v="Tamara Torre"/>
        <s v="Mamen Barrios"/>
        <s v="Zaira Casas"/>
        <s v="José Ángel Plana"/>
        <s v="Obdulia Peñas"/>
        <s v="Chuy Amo"/>
        <s v="Asdrubal Busquets"/>
        <s v="Maribel Murillo"/>
        <s v="Horacio Villena"/>
        <s v="Jaime Pombo"/>
        <s v="Febe Pineda"/>
        <s v="Fabián Niño"/>
        <s v="Angélica Coronado"/>
        <s v="Cristina Porta"/>
        <s v="Cecilio Flor"/>
        <s v="Chucho Castell"/>
        <s v="Eulalia Ribes"/>
        <s v="Poncio Chaves"/>
        <s v="Haydée Barroso"/>
        <s v="Carlos Estévez"/>
        <s v="Belen Millán"/>
        <s v="Onofre Sanjuan"/>
        <s v="Georgina Espinosa"/>
        <s v="Basilio Luís"/>
        <s v="Obdulia Salcedo"/>
        <s v="Domitila Múñiz"/>
        <s v="Charo Baeza"/>
        <s v="Catalina Vara"/>
        <s v="Nacio Calderón"/>
        <s v="Santiago Santamaria"/>
        <s v="Esperanza Acero"/>
        <s v="Ámbar Albero"/>
        <s v="Alberto Cañas"/>
        <s v="Eliana Trillo"/>
        <s v="Dorotea Piña"/>
        <s v="Montserrat Torrent"/>
        <s v="José Trillo"/>
        <s v="María Luisa Yáñez"/>
        <s v="Victor Lago"/>
        <s v="Jose Antonio Enríquez"/>
        <s v="Carla Zamorano"/>
        <s v="Noé Plana"/>
        <s v="Fátima Amador"/>
        <s v="Vidal Sevillano"/>
        <s v="Federico Hernando"/>
        <s v="Belen Losada"/>
        <s v="Lorenza Agullo"/>
        <s v="Cornelio Antúnez"/>
        <s v="Calista Chaves"/>
        <s v="Samuel Bernal"/>
        <s v="Ricarda Bayón"/>
        <s v="Dani Río"/>
        <s v="Santiago Pastor"/>
        <s v="Juliana Rodriguez"/>
        <s v="Santiago Acosta"/>
        <s v="Jimena Ruano"/>
        <s v="Jordi Trujillo"/>
        <s v="Cloe Arce"/>
        <s v="Rubén Macías"/>
        <s v="Noé Andres"/>
        <s v="Nieves Benito"/>
        <s v="Gisela Amores"/>
        <s v="Antonio Mesa"/>
        <s v="Micaela Viñas"/>
        <s v="María Cristina Daza"/>
        <s v="Maribel Peñalver"/>
        <s v="Ruth Galindo"/>
        <s v="Amalia Herranz"/>
        <s v="Hipólito Bas"/>
        <s v="Leonel Valderrama"/>
        <s v="Roldán Robledo"/>
        <s v="Urbano Ortega"/>
        <s v="Isabel Roldán"/>
        <s v="Irene Jerez"/>
        <s v="Baldomero Otero"/>
        <s v="Fidela Girón"/>
        <s v="Trinidad Ayllón"/>
        <s v="José Amaya"/>
        <s v="Purificación Arribas"/>
        <s v="Adolfo Roman"/>
        <s v="Ambrosio Castrillo"/>
        <s v="Abraham Llanos"/>
        <s v="Julio Valcárcel"/>
        <s v="Rosaura Tomas"/>
        <s v="Pacífica Borrego"/>
        <s v="Silvio Mascaró"/>
        <s v="Víctor Chamorro"/>
        <s v="Marina Gimenez"/>
        <s v="Francisca Narváez"/>
        <s v="Abril Lobato"/>
        <s v="Áurea Quirós"/>
        <s v="Chuy Carrión"/>
        <s v="Hermenegildo Viñas"/>
        <s v="Chelo Ferrero"/>
        <s v="Adelaida Prieto"/>
        <s v="Ignacia Sabater"/>
        <s v="Rebeca Calvet"/>
        <s v="Morena Simó"/>
        <s v="Mamen Manrique"/>
        <s v="Loreto Becerra"/>
        <s v="Ximena Ariño"/>
        <s v="Beatriz Expósito"/>
        <s v="Adán Nogueira"/>
        <s v="Gaspar Giménez"/>
        <s v="Amancio Nogueira"/>
        <s v="Nando Mateo"/>
        <s v="Nico Campo"/>
        <s v="Melania Torrens"/>
        <s v="Rosario Alfonso"/>
        <s v="Eva María Gálvez"/>
        <s v="Aura Armengol"/>
        <s v="Juana Salazar"/>
        <s v="Apolinar Andres"/>
        <s v="Graciano Roldan"/>
        <s v="Ricardo Tomé"/>
        <s v="Valerio Requena"/>
        <s v="Rafaela Amores"/>
        <s v="Jordi Alberdi"/>
        <s v="Charo Puerta"/>
        <s v="Oriana Barragán"/>
        <s v="Gilberto Collado"/>
        <s v="Ester Pino"/>
        <s v="José María Saavedra"/>
        <s v="Salvador Verdú"/>
        <s v="Rocío Méndez"/>
        <s v="Cayetana Madrid"/>
        <s v="Javi Dávila"/>
        <s v="Rufina Ortiz"/>
        <s v="Albert Pujol"/>
        <s v="Jacinta Villar"/>
        <s v="Rosa Aguirre"/>
        <s v="Tatiana Valls"/>
        <s v="Amílcar Prada"/>
        <s v="Mario Chico"/>
        <s v="Maricela Macias"/>
        <s v="Raúl Gargallo"/>
        <s v="Pelayo Cervera"/>
        <s v="Mariano Español"/>
        <s v="Fabián Iglesias"/>
        <s v="Quirino Uribe"/>
        <s v="Pascual Madrigal"/>
        <s v="Nazaret Abellán"/>
        <s v="Ariadna Campo"/>
        <s v="Nidia Monreal"/>
        <s v="Juan Francisco Mínguez"/>
        <s v="Juanita Barrio"/>
        <s v="Ignacio Carrasco"/>
        <s v="Haroldo Oliva"/>
        <s v="Adalberto Canet"/>
        <s v="Camila Sebastián"/>
        <s v="Delfina Saldaña"/>
        <s v="Sandra Bustamante"/>
        <s v="Clara Solera"/>
        <s v="Lino Marí"/>
        <s v="Vilma Contreras"/>
        <s v="Cosme Porcel"/>
        <s v="Mónica Arjona"/>
        <s v="Arcelia Figueroa"/>
        <s v="Fabiola Artigas"/>
        <s v="Danilo Guardia"/>
        <s v="Vera Medina"/>
        <s v="Vidal Bas"/>
        <s v="Concepción Pelayo"/>
        <s v="Abigaíl Zabaleta"/>
        <s v="Adalberto Pintor"/>
        <s v="Regina Jover"/>
        <s v="Luciana Lasa"/>
        <s v="Pepito Pascual"/>
        <s v="Tania Gomila"/>
        <s v="Delfina Giménez"/>
        <s v="Vasco Rosselló"/>
        <s v="Jordán Catalá"/>
        <s v="Valentina Pi"/>
        <s v="Felix Ramos"/>
        <s v="Dan Castellanos"/>
        <s v="Petrona Izquierdo"/>
        <s v="Iván Canales"/>
        <s v="Cintia Montalbán"/>
        <s v="Cristian Roca"/>
        <s v="Bernarda Heras"/>
        <s v="Narcisa Villena"/>
        <s v="Saturnina Ballester"/>
        <s v="Pánfilo Pareja"/>
        <s v="Teresa Peinado"/>
        <s v="Bernardino Cortés"/>
        <s v="Jordi Iborra"/>
        <s v="Xavier Galván"/>
        <s v="Atilio Valenciano"/>
        <s v="Florentino Robledo"/>
        <s v="Macaria Menéndez"/>
        <s v="Juan Bautista Pedrero"/>
        <s v="Onofre Cabañas"/>
        <s v="Violeta Carvajal"/>
        <s v="Sarita Pallarès"/>
        <s v="Rico Collado"/>
        <s v="Modesto Feijoo"/>
        <s v="Jordán Montes"/>
        <s v="Olga Ortuño"/>
        <s v="María Montes"/>
        <s v="Abilio Piquer"/>
        <s v="Bibiana Comas"/>
        <s v="Casemiro Sastre"/>
        <s v="Rafael Redondo"/>
        <s v="Aureliano Alemán"/>
        <s v="Inmaculada Peralta"/>
        <s v="Jenny Llorens"/>
        <s v="Bernardo Domingo"/>
        <s v="Moreno Anaya"/>
        <s v="Georgina Jurado"/>
        <s v="Che Calleja"/>
        <s v="Eladio Bernat"/>
        <s v="Amancio Trillo"/>
        <s v="Luís Roig"/>
        <s v="Silvestre Ribes"/>
        <s v="Adrián Molina"/>
        <s v="Mario Baeza"/>
        <s v="Remedios Rosado"/>
        <s v="Jesusa Terrón"/>
        <s v="Pía Solsona"/>
        <s v="Ceferino Merino"/>
        <s v="Toño Moles"/>
        <s v="Juan Méndez"/>
        <s v="René Ribas"/>
        <s v="Azahar Casares"/>
        <s v="Mohamed Gallo"/>
        <s v="Cintia Baró"/>
        <s v="Nieves Díaz"/>
        <s v="Ángel Dueñas"/>
        <s v="Claudia Reyes"/>
        <s v="Felisa Colomer"/>
        <s v="Heriberto Amo"/>
        <s v="Anacleto Fiol"/>
        <s v="Olimpia Gracia"/>
        <s v="Rafaela Villa"/>
        <s v="Ulises Gisbert"/>
        <s v="Tiburcio Mayo"/>
        <s v="Gastón Vaquero"/>
        <s v="Beatriz Baena"/>
        <s v="Mercedes Galiano"/>
        <s v="Yaiza Molins"/>
        <s v="Adelardo Molina"/>
        <s v="Godofredo Moya"/>
        <s v="Toni Mariño"/>
        <s v="Elodia Espinosa"/>
        <s v="Carmelo Sevilla"/>
        <s v="Juan Manuel Bárcena"/>
        <s v="Agustina Gracia"/>
        <s v="Amancio Pozuelo"/>
        <s v="Sosimo Ropero"/>
        <s v="Tito Batlle"/>
        <s v="Gabriel Cuéllar"/>
        <s v="Wilfredo Lloret"/>
        <s v="Eli Palomo"/>
        <s v="Octavio Enríquez"/>
        <s v="Marcia Córdoba"/>
        <s v="Gonzalo Mesa"/>
        <s v="Macario Nogués"/>
        <s v="Angelita Borrell"/>
        <s v="Felisa Ochoa"/>
        <s v="Abigaíl Cerdán"/>
        <s v="Aránzazu Acevedo"/>
        <s v="Samuel Cornejo"/>
        <s v="Loreto Gomis"/>
        <s v="Blanca Jover"/>
        <s v="Atilio Barbero"/>
        <s v="Sigfrido Dueñas"/>
        <s v="Eliseo Plana"/>
        <s v="Regina Fuster"/>
        <s v="Íngrid Marti"/>
        <s v="Luis Miguel Guerra"/>
        <s v="Marcial Quintanilla"/>
        <s v="Delfina Chamorro"/>
        <s v="Luisina Peláez"/>
        <s v="Antonio Pujadas"/>
        <s v="Anastasio Antúnez"/>
        <s v="Carlos Gallart"/>
        <s v="Norberto Barrios"/>
        <s v="Apolinar Castellanos"/>
        <s v="Patricia Martí"/>
        <s v="Sebastián Ballester"/>
        <s v="Elisa Gomis"/>
        <s v="Donato Llopis"/>
        <s v="Benita Salas"/>
        <s v="Lorenzo Echeverría"/>
        <s v="Jeremías Beltran"/>
        <s v="Elpidio Oliva"/>
        <s v="Eutropio Castrillo"/>
        <s v="Cruz Varela"/>
        <s v="Cristian Palau"/>
        <s v="Verónica Colomer"/>
        <s v="Óscar Céspedes"/>
        <s v="Segismundo Benito"/>
        <s v="Horacio Verdejo"/>
        <s v="Pacífica Ropero"/>
        <s v="Carlos Carretero"/>
        <s v="Xiomara Doménech"/>
        <s v="Nicolasa Buendía"/>
        <s v="Herberto Novoa"/>
        <s v="Angelita Gras"/>
        <s v="Seve Barco"/>
        <s v="Pánfilo Atienza"/>
        <s v="Merche Anguita"/>
        <s v="Adolfo Quevedo"/>
        <s v="Ciriaco Campos"/>
        <s v="Germán Salcedo"/>
        <s v="Natanael Baeza"/>
        <s v="Lidia Bernat"/>
        <s v="Vilma Orozco"/>
        <s v="Brígida Roca"/>
        <s v="Bruno Parra"/>
        <s v="Loreto Miguel"/>
        <s v="Sebastián Palau"/>
        <s v="León Sala"/>
        <s v="Édgar Jimenez"/>
        <s v="José Manuel Valencia"/>
        <s v="Ruperto Nevado"/>
        <s v="Moisés Vilaplana"/>
        <s v="José Hervás"/>
        <s v="Renata Guzmán"/>
        <s v="Balduino Laguna"/>
        <s v="Dani Viana"/>
        <s v="Camilo Pozuelo"/>
        <s v="Enrique Cortina"/>
        <s v="Ruy Olivera"/>
        <s v="Germán Quintana"/>
        <s v="Dionisia Pizarro"/>
        <s v="Malena Villalonga"/>
        <s v="Wálter Roldan"/>
        <s v="Ale Silva"/>
        <s v="Rosalinda Giner"/>
        <s v="Pastora Morera"/>
        <s v="Nazaret Pérez"/>
        <s v="Teodoro Vidal"/>
        <s v="Vilma Castillo"/>
        <s v="Pío Pastor"/>
        <s v="Pastor Ochoa"/>
        <s v="Renato Sánchez"/>
        <s v="Arturo Jaume"/>
        <s v="Gracia Sevillano"/>
        <s v="Simón Palau"/>
        <s v="Liliana Bertrán"/>
        <s v="Moisés Peñalver"/>
        <s v="Ruperta Ledesma"/>
        <s v="Patricia Mariscal"/>
        <s v="Octavio Osorio"/>
        <s v="Fernanda Ríos"/>
        <s v="Edgardo Lamas"/>
        <s v="Evita Tapia"/>
        <s v="Emilio Batlle"/>
        <s v="Tecla Palomino"/>
        <s v="Félix Diaz"/>
        <s v="Amelia Bartolomé"/>
        <s v="Vanesa Bayo"/>
        <s v="Berto Gomila"/>
        <s v="Matilde Galvez"/>
        <s v="Reyna Millán"/>
        <s v="Eladio Valencia"/>
        <s v="Juanito Sanchez"/>
        <s v="Máximo Escalona"/>
        <s v="Cristian Miró"/>
        <s v="José María Camps"/>
        <s v="Segismundo Recio"/>
        <s v="María Belén Baquero"/>
        <s v="Aurelio Cabañas"/>
        <s v="Odalis Valentín"/>
        <s v="Loida Barragán"/>
        <s v="Xiomara Solé"/>
        <s v="Amaya Duque"/>
        <s v="Juan Pablo Lerma"/>
        <s v="Claudio Caparrós"/>
        <s v="Marisela Gordillo"/>
        <s v="Bernardo Escamilla"/>
        <s v="Jose Luis Carretero"/>
        <s v="Nazaret Morales"/>
        <s v="Pepito Iglesia"/>
        <s v="Emma Segovia"/>
        <s v="Florinda Vall"/>
        <s v="Elvira Nebot"/>
        <s v="Vinicio Sebastián"/>
        <s v="Rosa Peinado"/>
        <s v="Mario Anguita"/>
        <s v="Pepita Uría"/>
        <s v="Macario Arana"/>
        <s v="Paca Moliner"/>
        <s v="Dalila Campoy"/>
        <s v="Susana Quintero"/>
        <s v="Glauco Botella"/>
        <s v="Iván Rosselló"/>
        <s v="Albano Solana"/>
        <s v="Carlito Goicoechea"/>
        <s v="Eva María Torre"/>
        <s v="Loreto Izquierdo"/>
        <s v="Alba Guitart"/>
        <s v="Brígida Oliva"/>
        <s v="Damián Pedrero"/>
        <s v="Ignacia Rebollo"/>
        <s v="Dimas Hoz"/>
        <s v="Lázaro Peinado"/>
        <s v="Emiliano Chaparro"/>
        <s v="Prudencia Llabrés"/>
        <s v="Germán Iborra"/>
        <s v="Delfina Ariza"/>
        <s v="Armando Alberola"/>
        <s v="Teo Pedrosa"/>
        <s v="Amado Antúnez"/>
        <s v="Gervasio Palacios"/>
        <s v="Telmo Colomer"/>
        <s v="Samuel Plana"/>
        <s v="Vilma Sáez"/>
        <s v="Sebastian Gonzalez"/>
        <s v="Paloma Escrivá"/>
        <s v="Ariadna Somoza"/>
        <s v="Isabel Noguera"/>
        <s v="Dulce Aliaga"/>
        <s v="Hector Casares"/>
        <s v="Dani Peñas"/>
        <s v="Florentino Vicente"/>
        <s v="Virgilio Márquez"/>
        <s v="Sara Gargallo"/>
        <s v="Hilario Tena"/>
        <s v="Mar Girona"/>
        <s v="Flavia Garmendia"/>
        <s v="Vasco Fortuny"/>
        <s v="Macaria Rey"/>
        <s v="Áurea Vaquero"/>
        <s v="Lope Folch"/>
        <s v="Joan Reyes"/>
        <s v="Corona Merino"/>
        <s v="Gabino Pellicer"/>
        <s v="Calista Clavero"/>
        <s v="Guadalupe Escamilla"/>
        <s v="Félix Pera"/>
        <s v="Nadia Sabater"/>
        <s v="Lino Cortes"/>
        <s v="Rodolfo Gras"/>
        <s v="Tere Álvarez"/>
        <s v="Kike Castell"/>
        <s v="Toño Narváez"/>
        <s v="Eva Correa"/>
        <s v="Leocadia Perera"/>
        <s v="Cristóbal Santamaria"/>
        <s v="Nereida Amigó"/>
        <s v="María Ángeles Conesa"/>
        <s v="Sebastián Tomas"/>
        <s v="Loreto Duque"/>
        <s v="Espiridión Bonet"/>
        <s v="Priscila Gallart"/>
        <s v="Felicidad Carbó"/>
        <s v="Cándido Corbacho"/>
        <s v="Renata Valbuena"/>
        <s v="Ascensión Alemán"/>
        <s v="Olegario Arco"/>
        <s v="Alba Campo"/>
        <s v="Demetrio Cabañas"/>
        <s v="Prudencio Expósito"/>
        <s v="Ceferino Cortes"/>
        <s v="Nilda Cases"/>
        <s v="Maricela Suárez"/>
        <s v="Mercedes Moles"/>
        <s v="Pelayo Carbajo"/>
        <s v="Gastón Noriega"/>
        <s v="Rogelio Ramos"/>
        <s v="Noemí Sotelo"/>
        <s v="Trini Bernat"/>
        <s v="Luisina Oliveras"/>
        <s v="Anselma Viana"/>
        <s v="Samu Giménez"/>
        <s v="Margarita Gilabert"/>
        <s v="Santos Álamo"/>
        <s v="Iker Agudo"/>
        <s v="Rubén Armengol"/>
        <s v="María Ángeles Santiago"/>
        <s v="Emilio Cortina"/>
        <s v="Calista Alvarado"/>
        <s v="Evelia Mancebo"/>
        <s v="Edelmira Gascón"/>
        <s v="Almudena Muro"/>
        <s v="Filomena Vilaplana"/>
        <s v="Tomasa Morante"/>
        <s v="Nazario Mateos"/>
        <s v="Jenaro Benítez"/>
        <s v="Marisa Poza"/>
        <s v="Toño Borrás"/>
        <s v="Alejo Gallo"/>
        <s v="Félix Alarcón"/>
        <s v="Alcides Morata"/>
        <s v="Concha Farré"/>
        <s v="Leire Aragonés"/>
        <s v="Federico Hoyos"/>
        <s v="Leire Miguel"/>
        <s v="Raquel Quintero"/>
        <s v="Martina Pozuelo"/>
        <s v="Feliciano Mayoral"/>
        <s v="Claudia Perales"/>
        <s v="Bernabé Gómez"/>
        <s v="Emperatriz Castro"/>
        <s v="Carmelo Pablo"/>
        <s v="Rocío Calleja"/>
        <s v="Santos Feliu"/>
        <s v="Ofelia Lerma"/>
        <s v="Graciela Baena"/>
        <s v="Pacífica Pintor"/>
        <s v="María Belén Gómez"/>
        <s v="Gustavo Diez"/>
        <s v="Juan Antonio Bru"/>
        <s v="Casandra Calderón"/>
        <s v="María Trillo"/>
        <s v="Valentín Río"/>
        <s v="Narcisa Marco"/>
        <s v="Rodolfo Báez"/>
        <s v="Primitivo Ferrán"/>
        <s v="Valerio Leiva"/>
        <s v="Reina Suárez"/>
        <s v="Felipe Rey"/>
        <s v="Hugo Reyes"/>
        <s v="Eric Roma"/>
        <s v="Mar Riera"/>
        <s v="Ruy Adadia"/>
        <s v="Loreto Romeu"/>
        <s v="Borja Solsona"/>
        <s v="Narcisa Tapia"/>
        <s v="Edu Andres"/>
        <s v="Estrella Molina"/>
        <s v="Lupe Carnero"/>
        <s v="Lucila Izquierdo"/>
        <s v="Jose Miguel Molins"/>
        <s v="Che Carreño"/>
        <s v="Julián Almansa"/>
        <s v="Pánfilo Peiró"/>
        <s v="Noelia Téllez"/>
        <s v="Julio Cárdenas"/>
        <s v="Sara Andreu"/>
        <s v="Plácido Arévalo"/>
        <s v="Socorro Benitez"/>
        <s v="Fernanda Aznar"/>
        <s v="Anastasio Pallarès"/>
        <s v="Mónica Landa"/>
        <s v="Estrella Sabater"/>
        <s v="Jacobo Gómez"/>
        <s v="Emilio Rebollo"/>
        <s v="Cipriano Anaya"/>
        <s v="José Antonio Mayo"/>
        <s v="Sabas Collado"/>
        <s v="Amado Bilbao"/>
        <s v="Elena Aguirre"/>
        <s v="Gaspar Echeverría"/>
        <s v="Roberto Rosales"/>
        <s v="Nadia Fernández"/>
        <s v="Ruy Fernández"/>
        <s v="Aroa Cueto"/>
        <s v="Angelita Palomares"/>
        <s v="Celia Goicoechea"/>
        <s v="Moisés Torre"/>
        <s v="Bárbara Múñiz"/>
        <s v="Alonso Esparza"/>
        <s v="Juan Carlos Velasco"/>
        <s v="Tiburcio Lladó"/>
        <s v="Eloy Lobo"/>
        <s v="Concha Sabater"/>
        <s v="Dani Beltrán"/>
        <s v="Olga Aguiló"/>
        <s v="Bernardo Ros"/>
        <s v="Inmaculada Mur"/>
        <s v="Goyo Bueno"/>
        <s v="Ceferino Manzano"/>
        <s v="Nilda Ruano"/>
        <s v="Coral Lozano"/>
        <s v="Alonso Cabañas"/>
        <s v="Fortunata Canales"/>
        <s v="Bernarda Lerma"/>
        <s v="Quique Herrera"/>
        <s v="Clímaco Mateu"/>
        <s v="Feliciana Sevillano"/>
        <s v="Isa Lozano"/>
        <s v="Sofía Cobo"/>
        <s v="Cayetano Valcárcel"/>
        <s v="Brunilda Llano"/>
        <s v="Patricia Pedro"/>
        <s v="Hortensia Alfaro"/>
        <s v="Zaira Zabaleta"/>
        <s v="Abel Ojeda"/>
        <s v="Odalis Morera"/>
        <s v="Jovita Benito"/>
        <s v="Alex Campos"/>
        <s v="Carmela Vélez"/>
        <s v="Malena Tormo"/>
        <s v="Leandro Barceló"/>
        <s v="Adelardo Miró"/>
        <s v="María Belén Jimenez"/>
        <s v="Nicolasa Aguilera"/>
        <s v="Edelmira Baños"/>
        <s v="David Aliaga"/>
        <s v="Gabriel Urrutia"/>
        <s v="Tania Ruano"/>
        <s v="Joaquina Alvarado"/>
        <s v="Gerónimo Anaya"/>
        <s v="Isaías Sales"/>
        <s v="Isaías Adán"/>
        <s v="Eusebia Echevarría"/>
        <s v="Hernando Aparicio"/>
        <s v="Celia Zamorano"/>
        <s v="Sergio Arcos"/>
        <s v="Valero Clemente"/>
        <s v="Irene Barrera"/>
        <s v="Chus Acuña"/>
        <s v="Luisina Clemente"/>
        <s v="Edgardo Rovira"/>
        <s v="Modesta Mir"/>
        <s v="José Luis Bas"/>
        <s v="Cesar Arnau"/>
        <s v="Jose Manuel Lillo"/>
        <s v="Dimas Costa"/>
        <s v="Flor Briones"/>
        <s v="Dan Pineda"/>
        <s v="Eladio Chamorro"/>
        <s v="Aitor Villanueva"/>
        <s v="María José Guzmán"/>
        <s v="Eusebio Valenciano"/>
        <s v="Eustaquio Mendizábal"/>
        <s v="Yago Viña"/>
        <s v="Pilar Araujo"/>
        <s v="Verónica Anaya"/>
        <s v="Xavier Pi"/>
        <s v="Severino Figueras"/>
        <s v="Fulgencio Egea"/>
        <s v="Rufina Porras"/>
        <s v="Eleuterio Cerdán"/>
        <s v="Emiliana Sainz"/>
        <s v="Albino Alfaro"/>
        <s v="Eugenio Miró"/>
        <s v="Leonardo Gimenez"/>
        <s v="Olegario Pera"/>
        <s v="Brunilda Cadenas"/>
        <s v="Gervasio Canales"/>
        <s v="Marita Bosch"/>
        <s v="Carmelita Guardia"/>
        <s v="Pío Amaya"/>
        <s v="Máxima Granados"/>
        <s v="Cruz Conde"/>
        <s v="Anastasio Bernal"/>
        <s v="José Mari Cueto"/>
        <s v="Palmira Tejedor"/>
        <s v="Mar Hernández"/>
        <s v="Borja Cervera"/>
        <s v="Hermenegildo Galvez"/>
        <s v="Emilia Aroca"/>
        <s v="Curro Campillo"/>
        <s v="Yésica Blasco"/>
        <s v="José Ordóñez"/>
        <s v="Severino Beltrán"/>
        <s v="Antonio Palomo"/>
        <s v="Juan Carlos Guerra"/>
        <s v="Merche Alba"/>
        <s v="Dimas Dávila"/>
        <s v="Luciana Quirós"/>
        <s v="Beatriz Peralta"/>
        <s v="María Teresa Benet"/>
        <s v="Pepe Sanabria"/>
        <s v="Marcela Mora"/>
        <s v="Blas Amaya"/>
        <s v="Gilberto Rios"/>
        <s v="Evaristo Bravo"/>
        <s v="Jorge Pol"/>
        <s v="Tere Alba"/>
        <s v="Macaria Hierro"/>
        <s v="Saturnino Company"/>
        <s v="Osvaldo Berrocal"/>
        <s v="Oriana Ramis"/>
        <s v="Aarón Calvo"/>
        <s v="Susana Ropero"/>
        <s v="Abel Hervás"/>
        <s v="Ceferino Castejón"/>
        <s v="Juan José Montesinos"/>
        <s v="Marina Izquierdo"/>
        <s v="Azahara Saldaña"/>
        <s v="Encarnita Ojeda"/>
        <s v="Paz Palacios"/>
        <s v="Nilo Martínez"/>
        <s v="Eugenia Puig"/>
        <s v="Gerónimo Balaguer"/>
        <s v="Angelita Tomé"/>
        <s v="Inés Briones"/>
        <s v="Mariano Moles"/>
        <s v="Emiliano Blázquez"/>
        <s v="María Luisa Alcaraz"/>
        <s v="Santos Vizcaíno"/>
        <s v="Fabricio Priego"/>
        <s v="Juan Carlos Puerta"/>
        <s v="Trinidad Torrecilla"/>
        <s v="Magdalena Sanjuan"/>
        <s v="Serafina Valle"/>
        <s v="Cristian Mas"/>
        <s v="Angelino Andreu"/>
        <s v="Lilia Polo"/>
        <s v="Óscar Anguita"/>
        <s v="Iris Manzanares"/>
        <s v="Mireia Baena"/>
        <s v="Isidoro Almansa"/>
        <s v="Eutropio Jurado"/>
        <s v="Herminio Alemán"/>
        <s v="Jordana Mateo"/>
        <s v="Narciso Briones"/>
        <s v="Constanza Iñiguez"/>
        <s v="Bautista Sanmartín"/>
        <s v="Elodia Ugarte"/>
        <s v="Néstor Águila"/>
        <s v="Rodolfo Bastida"/>
        <s v="Dolores Querol"/>
        <s v="Concha Marin"/>
        <s v="Amaya Criado"/>
        <s v="Cristóbal Cañizares"/>
        <s v="Jaime Pons"/>
        <s v="Mariano Carrión"/>
        <s v="Maxi Catalán"/>
        <s v="Carolina Acedo"/>
        <s v="René Novoa"/>
        <s v="Ema Moreno"/>
        <s v="Susana Sáez"/>
        <s v="Alfredo Pomares"/>
        <s v="Azahar Arjona"/>
        <s v="Virgilio Solano"/>
        <s v="Luis Ángel Benavent"/>
        <s v="Blanca Ayala"/>
        <s v="Lourdes Sala"/>
        <s v="Raúl Zurita"/>
        <s v="María Fernanda Tomé"/>
        <s v="Pelayo Cerro"/>
        <s v="Piedad Gallo"/>
        <s v="Gil Sola"/>
        <s v="Máximo Hidalgo"/>
        <s v="Celso Viña"/>
        <s v="Roberto Pombo"/>
        <s v="Rico Belda"/>
        <s v="Valentina Pascual"/>
        <s v="Teodosio Cifuentes"/>
        <s v="Pascual Salcedo"/>
        <s v="Miriam Menendez"/>
        <s v="Patricia Gárate"/>
        <s v="Marta Izaguirre"/>
        <s v="Saturnino Mateo"/>
        <s v="Victoria Checa"/>
        <s v="Eugenio Pinto"/>
        <s v="Adrián Piña"/>
        <s v="Dalila Hidalgo"/>
        <s v="Borja Serna"/>
        <s v="Martirio Pelayo"/>
        <s v="Josué Diego"/>
        <s v="Begoña Cabeza"/>
        <s v="Sara Mayoral"/>
        <s v="Chema Arco"/>
        <s v="Guiomar Peiró"/>
        <s v="Nicolasa Ruano"/>
        <s v="Ariel Lillo"/>
        <s v="Marcial Heredia"/>
        <s v="Abril Cañizares"/>
        <s v="Alicia Cadenas"/>
        <s v="Martín Galván"/>
        <s v="Olalla Figuerola"/>
        <s v="Imelda Elías"/>
        <s v="Marcelino Sanabria"/>
        <s v="Febe Lasa"/>
        <s v="Feliciano Nieto"/>
        <s v="Patricio Alcolea"/>
        <s v="Rogelio Fortuny"/>
        <s v="Azucena Cuéllar"/>
        <s v="Ámbar Sanz"/>
        <s v="Alonso Moreno"/>
        <s v="Silvia Rodrigo"/>
        <s v="Amparo Zurita"/>
        <s v="Ainara Peralta"/>
        <s v="Constanza Santana"/>
        <s v="Ángela Barón"/>
        <s v="Amanda Raya"/>
        <s v="Feliciana Guzman"/>
        <s v="Haroldo Castañeda"/>
        <s v="Dimas Miguel"/>
        <s v="Ágata Calzada"/>
        <s v="Dionisio Tapia"/>
        <s v="Roberto Villalonga"/>
        <s v="Aitana Baró"/>
        <s v="Evita Vilar"/>
        <s v="Nazaret Martinez"/>
        <s v="Paulino Cepeda"/>
        <s v="Dominga Flor"/>
        <s v="Angélica Carrasco"/>
        <s v="Pedro Vives"/>
        <s v="Soledad Pla"/>
        <s v="Estela Canet"/>
        <s v="Francisco Jose Alonso"/>
        <s v="Crescencia Rivero"/>
        <s v="Teresita Yuste"/>
        <s v="Teresa Frías"/>
        <s v="Eva María Leon"/>
        <s v="Candelas Riquelme"/>
        <s v="Jaime Camino"/>
        <s v="Florentino Lara"/>
        <s v="Patricio Tello"/>
        <s v="Inés Sastre"/>
        <s v="María Dolores Juliá"/>
        <s v="José Antonio Olivares"/>
        <s v="Custodia Perales"/>
        <s v="Quirino Vargas"/>
        <s v="Samanta Roman"/>
        <s v="Ruth Berrocal"/>
        <s v="María Puga"/>
        <s v="José Mari Noguera"/>
        <s v="Melisa Galan"/>
        <s v="Dulce Perera"/>
        <s v="Fidel Sánchez"/>
        <s v="Guillermo Borrego"/>
        <s v="Victoriano Pinto"/>
        <s v="Anunciación Gallardo"/>
        <s v="Alba Rojas"/>
        <s v="Melisa Arellano"/>
        <s v="Venceslás Carrera"/>
        <s v="Cecilio Casal"/>
        <s v="Iván Alonso"/>
        <s v="Eli Camps"/>
        <s v="Noé Font"/>
        <s v="Octavio Pla"/>
        <s v="Dorotea Gargallo"/>
        <s v="Flavio Arribas"/>
        <s v="Anselma Canales"/>
        <s v="Godofredo Bertrán"/>
        <s v="Lucio Ferrándiz"/>
        <s v="Luciano Figuerola"/>
        <s v="Javiera Acosta"/>
        <s v="Lázaro Fortuny"/>
        <s v="Gabriela Murillo"/>
        <s v="Alejandro Merino"/>
        <s v="María Luisa Gelabert"/>
        <s v="Selena Ledesma"/>
        <s v="Cayetana Pineda"/>
        <s v="Ricarda Tenorio"/>
        <s v="Raúl Solera"/>
        <s v="Jordana Aramburu"/>
        <s v="Angelita Múñiz"/>
        <s v="Ángela Samper"/>
        <s v="Almudena Uribe"/>
        <s v="Ulises Torres"/>
        <s v="Pelayo Pagès"/>
        <s v="Melania Dueñas"/>
        <s v="Rico Soriano"/>
        <s v="Araceli Jaume"/>
        <s v="Luna Montes"/>
        <s v="Jose Ramón Agustí"/>
        <s v="Desiderio Quintanilla"/>
        <s v="Carmina Mate"/>
        <s v="Severo Ariño"/>
        <s v="Rubén Abad"/>
        <s v="Cecilia Almagro"/>
        <s v="Gisela Araujo"/>
        <s v="Elvira Quiroga"/>
        <s v="Ramón Acero"/>
        <s v="Isaac Mosquera"/>
        <s v="Nico Bayo"/>
        <s v="Bárbara Ferrera"/>
        <s v="Amaya Mesa"/>
        <s v="Gabino Nebot"/>
        <s v="Raquel Castells"/>
        <s v="María José Azcona"/>
        <s v="Cesar Sabater"/>
        <s v="Dionisio Nieto"/>
        <s v="Amaro Simó"/>
        <s v="Joel Barceló"/>
        <s v="David Cisneros"/>
        <s v="Luciana Alemán"/>
        <s v="Balduino Coca"/>
        <s v="Clemente Ramis"/>
        <s v="Loida Ibarra"/>
        <s v="Sabina Solano"/>
        <s v="Flavia Donaire"/>
        <s v="Pancho Zurita"/>
        <s v="Alma Rosselló"/>
        <s v="Montserrat Trujillo"/>
        <s v="Tiburcio Girón"/>
        <s v="Claudia Montalbán"/>
        <s v="Lupita Sanabria"/>
        <s v="Modesta Manso"/>
        <s v="Sonia Mayo"/>
        <s v="Amancio Canet"/>
        <s v="Gerardo Mendizábal"/>
        <s v="José Ángel Cánovas"/>
        <s v="Felicia Casas"/>
        <s v="Abilio Serrano"/>
        <s v="Lilia Sotelo"/>
        <s v="Teófilo Mateu"/>
        <s v="Jose Miguel Blanes"/>
        <s v="Juan Manuel Landa"/>
        <s v="Rafaela Cepeda"/>
        <s v="Ligia Sáez"/>
        <s v="María José Céspedes"/>
        <s v="Dimas Burgos"/>
        <s v="Amalia Badía"/>
        <s v="Eloy Diez"/>
        <s v="Hernando Alemany"/>
        <s v="Albina Hidalgo"/>
        <s v="Odalis Marco"/>
        <s v="Jonatan Navas"/>
        <s v="Rosalía Agustín"/>
        <s v="Vanesa Sureda"/>
        <s v="Sigfrido Duque"/>
        <s v="Pacífica Escudero"/>
        <s v="Dulce Sobrino"/>
        <s v="Aureliano Rueda"/>
        <s v="Antonio Arce"/>
        <s v="Andrés Felipe Tejedor"/>
        <s v="Obdulia Jurado"/>
        <s v="Rodolfo Fuster"/>
        <s v="Fabiola Vara"/>
        <s v="Noemí Cózar"/>
        <s v="Francisco Cal"/>
        <s v="Febe Hidalgo"/>
        <s v="Cristina Canet"/>
        <s v="Delia Julián"/>
        <s v="Inocencio Luna"/>
        <s v="Ramón Valle"/>
        <s v="Verónica Uribe"/>
        <s v="Norberto Seco"/>
        <s v="Ámbar Roman"/>
        <s v="Wálter Cabañas"/>
        <s v="Renato Casas"/>
        <s v="Yago Pintor"/>
        <s v="Etelvina Escrivá"/>
        <s v="Hernán Moliner"/>
        <s v="Ainara Izaguirre"/>
        <s v="Abigaíl Pareja"/>
        <s v="Raúl Figuerola"/>
        <s v="Martirio Villena"/>
        <s v="Malena Águila"/>
        <s v="Adán Piñeiro"/>
        <s v="Rosalina Tejera"/>
        <s v="Rosalva Morera"/>
        <s v="Rufina Saldaña"/>
        <s v="Pepito Cabanillas"/>
        <s v="Trini Carpio"/>
        <s v="José Arco"/>
        <s v="Crescencia Baena"/>
        <s v="Cándido Bautista"/>
        <s v="Zoraida Amigó"/>
        <s v="Verónica Vazquez"/>
        <s v="Sabas Guillén"/>
        <s v="Lucio Milla"/>
        <s v="Maricela Castells"/>
        <s v="Juan Luis Figueras"/>
        <s v="Lucio Uribe"/>
        <s v="Rosario Olivera"/>
        <s v="Roque Martinez"/>
        <s v="Hernando Palau"/>
        <s v="Begoña Blanco"/>
        <s v="Eladio Reguera"/>
        <s v="Úrsula Portillo"/>
        <s v="Elena Hervia"/>
        <s v="Pío Haro"/>
        <s v="Borja Aguilera"/>
        <s v="Nicodemo Madrigal"/>
        <s v="Humberto Miró"/>
        <s v="Angelita Araujo"/>
        <s v="Dafne Requena"/>
        <s v="Lino Pareja"/>
        <s v="Ovidio Cáceres"/>
        <s v="Angelita Feijoo"/>
        <s v="Pepito Madrigal"/>
        <s v="Susana Esteban"/>
        <s v="Beatriz Sancho"/>
        <s v="Ciriaco Cuéllar"/>
        <s v="Héctor Carbó"/>
        <s v="Hernán Ordóñez"/>
        <s v="Fausto Serrano"/>
        <s v="Bernardo Ramirez"/>
        <s v="Teodoro Lladó"/>
        <s v="Alfredo Palacios"/>
        <s v="Duilio Antón"/>
        <s v="Mateo Matas"/>
        <s v="Luisa Manjón"/>
        <s v="Melisa Blanca"/>
        <s v="Rosenda Cuervo"/>
        <s v="Pelayo Caparrós"/>
        <s v="Fabricio Tejada"/>
        <s v="Diana Lastra"/>
        <s v="Rocío Gárate"/>
        <s v="Pío Somoza"/>
        <s v="Gabriel Rivera"/>
        <s v="Bibiana Ruano"/>
        <s v="Pío Ortuño"/>
        <s v="Tere Mas"/>
        <s v="María Teresa Sandoval"/>
        <s v="Reynaldo Montoya"/>
        <s v="Silvio Zabaleta"/>
        <s v="Lope Galan"/>
        <s v="Jose Antonio Valverde"/>
        <s v="Bienvenida Garrido"/>
        <s v="Alex Zapata"/>
        <s v="Silvio Sans"/>
        <s v="Benigna Ayllón"/>
        <s v="Arturo Narváez"/>
        <s v="Adriana Escrivá"/>
        <s v="Ani Clavero"/>
        <s v="Anastasio Izquierdo"/>
        <s v="Malena Aparicio"/>
        <s v="Vito Fabra"/>
        <s v="Abilio Gaya"/>
        <s v="Lisandro Polo"/>
        <s v="Jacobo Albero"/>
        <s v="Silvia Escalona"/>
        <s v="Araceli Doménech"/>
        <s v="Constanza Nieto"/>
        <s v="Marita Bayona"/>
        <s v="Jordi Alba"/>
        <s v="Toni Moraleda"/>
        <s v="Loreto Galán"/>
        <s v="Perla Perea"/>
        <s v="Poncio Lerma"/>
        <s v="Imelda Carranza"/>
        <s v="Carla Albero"/>
        <s v="Magdalena Sastre"/>
        <s v="Edu Ferrández"/>
        <s v="Francisco Jose Arrieta"/>
        <s v="Rufina Ayuso"/>
        <s v="Raimundo Llobet"/>
        <s v="Evangelina Guijarro"/>
        <s v="Abilio Bermejo"/>
        <s v="Adela Ayala"/>
        <s v="Tomasa Pelayo"/>
        <s v="Juan Bautista Santos"/>
        <s v="Emma Martí"/>
        <s v="Fidela Macías"/>
        <s v="Adela Llorente"/>
        <s v="Guiomar Nogueira"/>
        <s v="Bartolomé Diéguez"/>
        <s v="Duilio Larrañaga"/>
        <s v="Charo Fortuny"/>
        <s v="Olimpia Blazquez"/>
        <s v="Elías Barberá"/>
        <s v="Ruy Bárcena"/>
        <s v="Manu Pastor"/>
        <s v="Gil Muñoz"/>
        <s v="Brunilda Sales"/>
        <s v="Herberto Tomás"/>
        <s v="Juan Luis Torrent"/>
        <s v="Plinio Sosa"/>
        <s v="Rosendo Delgado"/>
        <s v="Quique Lara"/>
        <s v="Chus Burgos"/>
        <s v="Rosaura Frutos"/>
        <s v="Esteban Expósito"/>
        <s v="Miriam Núñez"/>
        <s v="Abril Macías"/>
        <s v="Cristóbal García"/>
        <s v="Ovidio Costa"/>
        <s v="Erasmo Seco"/>
        <s v="Encarnita Llopis"/>
        <s v="Régulo Daza"/>
        <s v="Simón Ibarra"/>
        <s v="Ema Perelló"/>
        <s v="Cosme Valcárcel"/>
        <s v="Geraldo Luna"/>
        <s v="Cirino Salom"/>
        <s v="Nicolasa Anaya"/>
        <s v="Fernando Segovia"/>
        <s v="Piedad Esteban"/>
        <s v="Rafa Rey"/>
        <s v="Ángeles Neira"/>
        <s v="Marcos Flor"/>
        <s v="Amando Montes"/>
        <s v="Perlita Doménech"/>
        <s v="Marta Villaverde"/>
        <s v="Eugenio Mínguez"/>
        <s v="Rosario Comas"/>
        <s v="Diana Perera"/>
        <s v="Gonzalo Milla"/>
        <s v="Domingo Lladó"/>
        <s v="Julia Galvez"/>
        <s v="Tomás Bou"/>
        <s v="Cruz Guardiola"/>
        <s v="Concha Colom"/>
        <s v="Ana Sofía Botella"/>
        <s v="Benita Bello"/>
        <s v="Eulalia Millán"/>
        <s v="Marcio Carrillo"/>
        <s v="Armando Canales"/>
        <s v="Ruy Redondo"/>
        <s v="Marcia Acero"/>
        <s v="Vito Marquez"/>
        <s v="Jesusa Abellán"/>
        <s v="Florina Gascón"/>
        <s v="Edelmira Ferrera"/>
        <s v="Clara Jordá"/>
        <s v="Jose Ignacio Ribes"/>
        <s v="Bernardo Blanes"/>
        <s v="Carmina Calvet"/>
        <s v="Soraya Mir"/>
        <s v="Paz Nebot"/>
        <s v="Jeremías Saavedra"/>
        <s v="Angélica Ledesma"/>
        <s v="Domingo Iglesias"/>
        <s v="Natanael Pereira"/>
        <s v="Alicia Aroca"/>
        <s v="Etelvina Marqués"/>
        <s v="Felicia Botella"/>
        <s v="Enrique Hernández"/>
        <s v="Elena Gutiérrez"/>
        <s v="Alejo Carrasco"/>
        <s v="Cristian García"/>
        <s v="Aura Roma"/>
        <s v="África Fonseca"/>
        <s v="María Botella"/>
        <s v="Cándida Santana"/>
        <s v="Nerea Nicolau"/>
        <s v="Ignacia Rosell"/>
        <s v="Patricia Quesada"/>
        <s v="Curro Rodríguez"/>
        <s v="Amor Figueroa"/>
        <s v="Marciano Laguna"/>
        <s v="Prudencia Manzano"/>
        <s v="Carmela Pou"/>
        <s v="Jesusa Adadia"/>
        <s v="Flor Vergara"/>
        <s v="Raúl Bautista"/>
        <s v="Mayte Espinosa"/>
        <s v="Alba Guillen"/>
        <s v="Arsenio Pera"/>
        <s v="Marciano Jaume"/>
        <s v="Carmelo Torrijos"/>
        <s v="Sonia Heras"/>
        <s v="Gustavo Alberola"/>
        <s v="Fanny Arévalo"/>
        <s v="Ani Abascal"/>
        <s v="Inocencio Querol"/>
        <s v="María Manuela Cuesta"/>
        <s v="Herberto Ripoll"/>
        <s v="Jose Ramón Díez"/>
        <s v="Amada Moya"/>
        <s v="Aníbal Marí"/>
        <s v="Susanita Luís"/>
        <s v="Paloma Tejedor"/>
        <s v="Victorino Nicolás"/>
        <s v="Dorita Verdugo"/>
        <s v="Natalio Gálvez"/>
        <s v="Delia Uribe"/>
        <s v="María Mesa"/>
        <s v="Teresita Fuentes"/>
        <s v="Héctor Pedrosa"/>
        <s v="Marciano Noriega"/>
        <s v="José Antonio Olivera"/>
        <s v="Mohamed Rojas"/>
        <s v="Paco Piñol"/>
        <s v="Matías Tello"/>
        <s v="Isidora Zorrilla"/>
        <s v="Leopoldo Girona"/>
        <s v="Marina Andrés"/>
        <s v="Piedad Fabregat"/>
        <s v="Abril Cuesta"/>
        <s v="Reyna Lopez"/>
        <s v="Leopoldo Barba"/>
        <s v="Cayetana Alegria"/>
        <s v="Ruth Mesa"/>
        <s v="Jenny Franch"/>
        <s v="Íngrid Urrutia"/>
        <s v="Encarnita Tirado"/>
        <s v="Ligia Pablo"/>
        <s v="Florina Ibarra"/>
        <s v="Jose Francisco Lasa"/>
        <s v="Nicolás Moliner"/>
        <s v="Ofelia Aroca"/>
        <s v="Pepe Fernandez"/>
        <s v="Jorge Donoso"/>
        <s v="Macario Molins"/>
        <s v="Rita Carro"/>
        <s v="Maxi Hoz"/>
        <s v="Octavio Vega"/>
        <s v="Adoración Alcázar"/>
        <s v="Genoveva Larrea"/>
        <s v="Samanta Duque"/>
        <s v="Mateo Nogueira"/>
        <s v="Víctor Díez"/>
        <s v="Anacleto Garay"/>
        <s v="Roberto Alberola"/>
        <s v="Fernando Valle"/>
        <s v="Bienvenida Alemany"/>
        <s v="Eleuterio Pinto"/>
        <s v="Ofelia Bayo"/>
        <s v="Azahar Benavides"/>
        <s v="Toni Morcillo"/>
        <s v="Leocadio Blanes"/>
        <s v="Anselmo Bermudez"/>
        <s v="Amelia Bernad"/>
        <s v="Ani Hoz"/>
        <s v="Lázaro Soria"/>
        <s v="Isaac Torrents"/>
        <s v="Alma Macías"/>
        <s v="Magdalena Cabo"/>
        <s v="Verónica Cózar"/>
        <s v="Gisela Tomas"/>
        <s v="Heriberto Pereira"/>
        <s v="Donato Gonzalo"/>
        <s v="Guiomar Múñiz"/>
        <s v="Isaías Morcillo"/>
        <s v="Casandra Rocamora"/>
        <s v="Visitación Alcaraz"/>
        <s v="Antonia Pintor"/>
        <s v="Lucas Campoy"/>
        <s v="Gilberto Isern"/>
        <s v="Vasco Bas"/>
        <s v="Tatiana Prieto"/>
        <s v="Celso Vaquero"/>
        <s v="Jonatan Espinosa"/>
        <s v="Octavia Benítez"/>
        <s v="Ligia Carlos"/>
        <s v="Rafaela Ferrández"/>
        <s v="Feliciano Gargallo"/>
        <s v="Amelia Sales"/>
        <s v="Natanael Alcolea"/>
        <s v="Lilia Vilalta"/>
        <s v="Sara Moya"/>
        <s v="Pablo Pulido"/>
        <s v="Serafina Camacho"/>
        <s v="Jenaro Díaz"/>
        <s v="Renato Macias"/>
        <s v="Adán Lamas"/>
        <s v="Isidro Pavón"/>
        <s v="Vidal Roig"/>
        <s v="Feliciano Huerta"/>
        <s v="Raúl Alonso"/>
        <s v="Sergio Sebastián"/>
        <s v="Herberto Raya"/>
        <s v="Carmela Cerezo"/>
        <s v="Felicidad Campo"/>
        <s v="Elba Yuste"/>
        <s v="Feliciana Aller"/>
        <s v="Samu Lozano"/>
        <s v="Marita Castell"/>
        <s v="Fito Vilanova"/>
        <s v="Ester Campo"/>
        <s v="Mónica Ferrero"/>
        <s v="Bernardo Arranz"/>
        <s v="Manu Barros"/>
        <s v="Lina Amorós"/>
        <s v="Domitila Romeu"/>
        <s v="Rodolfo Santamaría"/>
        <s v="Macario Dueñas"/>
        <s v="Cloe Beltran"/>
        <s v="Blanca Sarmiento"/>
        <s v="Almudena Sancho"/>
        <s v="Áurea Morante"/>
        <s v="Teodoro Doménech"/>
        <s v="Adriana Riba"/>
        <s v="Bárbara Iriarte"/>
        <s v="Marta Bolaños"/>
        <s v="Celestino Collado"/>
        <s v="Lourdes Cañas"/>
        <s v="Rolando Belda"/>
        <s v="Manu Rodriguez"/>
        <s v="África Escamilla"/>
        <s v="Griselda Domingo"/>
        <s v="Darío Jiménez"/>
        <s v="Rolando Cal"/>
        <s v="Patricio Alegria"/>
        <s v="Carlota Piña"/>
        <s v="Andrea Mayo"/>
        <s v="Abel Cano"/>
        <s v="Mar Tomas"/>
        <s v="Primitiva Rivas"/>
        <s v="Primitiva Solé"/>
        <s v="Petrona Piñeiro"/>
        <s v="Belen Marin"/>
        <s v="Goyo Molins"/>
        <s v="Nuria Cánovas"/>
        <s v="Seve Gracia"/>
        <s v="Tatiana Viñas"/>
        <s v="Graciano Céspedes"/>
        <s v="Víctor Castrillo"/>
        <s v="Diego Alcázar"/>
        <s v="Apolinar Páez"/>
        <s v="Octavia Salinas"/>
        <s v="Paulina Macías"/>
        <s v="Jesús Fiol"/>
        <s v="Lourdes Mínguez"/>
        <s v="Vasco Perez"/>
        <s v="Marcial Saura"/>
        <s v="Bernabé Mercader"/>
        <s v="David Donoso"/>
        <s v="Eloy Rey"/>
        <s v="Teófila Rozas"/>
        <s v="Montserrat Jara"/>
        <s v="Rodolfo Pedraza"/>
        <s v="María Del Carmen Cardona"/>
        <s v="Rolando Arjona"/>
        <s v="Jordi Ropero"/>
        <s v="Inmaculada Múñiz"/>
        <s v="Brunilda Sancho"/>
        <s v="Liliana Lluch"/>
        <s v="Jose Ignacio Luján"/>
        <s v="Esperanza Ruiz"/>
        <s v="Irma Jara"/>
        <s v="Almudena Seco"/>
        <s v="Griselda Heredia"/>
        <s v="Francisco Galán"/>
        <s v="Esperanza Samper"/>
        <s v="Isabel Tudela"/>
        <s v="Aurelio Ferrera"/>
        <s v="Félix Carro"/>
        <s v="Rosa Baena"/>
        <s v="Godofredo Cánovas"/>
        <s v="Domitila Echeverría"/>
        <s v="Amado Vega"/>
        <s v="Amor Zamora"/>
        <s v="Aristides Ángel"/>
        <s v="Pastora Benavente"/>
        <s v="Mariano Zorrilla"/>
        <s v="Mariano Tello"/>
        <s v="Jose Ramón España"/>
        <s v="Leoncio Mascaró"/>
        <s v="Conrado Montes"/>
        <s v="Ruperto Elías"/>
        <s v="Valentín Sola"/>
        <s v="Néstor Galvez"/>
        <s v="Simón Morales"/>
        <s v="Rosa María Estevez"/>
        <s v="Félix Amador"/>
        <s v="Celia Zapata"/>
        <s v="Ulises Vizcaíno"/>
        <s v="Sonia Vara"/>
        <s v="Coral Varela"/>
        <s v="Teófila Segovia"/>
        <s v="Aurora Tena"/>
        <s v="Elisa Nogueira"/>
        <s v="Guadalupe Cid"/>
        <s v="Victor Solís"/>
        <s v="Joaquina Villena"/>
        <s v="Cloe Falcón"/>
        <s v="Nilo Mir"/>
        <s v="Paz Botella"/>
        <s v="Simón Amo"/>
        <s v="Miguela Ródenas"/>
        <s v="Beatriz Gimeno"/>
        <s v="Jacinta Díaz"/>
        <s v="Renato Suarez"/>
        <s v="Cayetano Colomer"/>
        <s v="Odalis Arias"/>
        <s v="Arcelia Trillo"/>
        <s v="Andrés Felipe Rivera"/>
        <s v="Augusto Nicolau"/>
        <s v="Noé Riera"/>
        <s v="Concepción Jáuregui"/>
        <s v="Cosme Gual"/>
        <s v="Galo Vallés"/>
        <s v="Reina Cerro"/>
        <s v="Rosario Salazar"/>
        <s v="Galo Talavera"/>
        <s v="Graciano Barbero"/>
        <s v="Haroldo Carreras"/>
        <s v="Valentina Cueto"/>
        <s v="Jose Luis Martinez"/>
        <s v="Javi Oliver"/>
        <s v="Benjamín Nogués"/>
        <s v="Judith Marquez"/>
        <s v="Sonia Carmona"/>
        <s v="Sigfrido Pablo"/>
        <s v="Brígida Espejo"/>
        <s v="Natividad Llorente"/>
        <s v="Hernando Robledo"/>
        <s v="Nélida Quiroga"/>
        <s v="Daniela Cabezas"/>
        <s v="Benigna Recio"/>
        <s v="Feliciano Gracia"/>
        <s v="Cruz Reguera"/>
        <s v="Sigfrido Gelabert"/>
        <s v="Luisa Frutos"/>
        <s v="Delfina Arnau"/>
        <s v="Victor Manuel Vives"/>
        <s v="Hernando Fajardo"/>
        <s v="Isaac Moll"/>
        <s v="Casandra Salcedo"/>
        <s v="Alfredo Almeida"/>
        <s v="Lucas Sáez"/>
        <s v="Marciano Juárez"/>
        <s v="Beatriz Campoy"/>
        <s v="Rafaela Anglada"/>
        <s v="Julia Luna"/>
        <s v="Isidoro Arrieta"/>
        <s v="Moreno Castro"/>
        <s v="Alex Herrero"/>
        <s v="Diego Gisbert"/>
        <s v="Vito Jover"/>
        <s v="Miguel Ángel Aroca"/>
        <s v="Albina Soler"/>
        <s v="Chus Guitart"/>
        <s v="Cruz Oller"/>
        <s v="Nico Torrents"/>
        <s v="Marcial Plaza"/>
        <s v="Jafet Girón"/>
        <s v="Jesusa Cid"/>
        <s v="Teresa Bonilla"/>
        <s v="Hernán Zabaleta"/>
        <s v="Lucía Arana"/>
        <s v="Erasmo Caballero"/>
        <s v="Mohamed Jara"/>
        <s v="Joel Pino"/>
        <s v="Amador Pintor"/>
        <s v="Serafina Villalobos"/>
        <s v="Paz Chamorro"/>
        <s v="Mireia Almagro"/>
        <s v="Ruth Domingo"/>
        <s v="Cloe Mariño"/>
        <s v="Isabel Morillo"/>
        <s v="Febe Taboada"/>
        <s v="Pánfilo Adán"/>
        <s v="Piedad Ferrera"/>
        <s v="Hugo Carpio"/>
        <s v="Abril Amat"/>
        <s v="Salvador Sala"/>
        <s v="Pepito Barriga"/>
        <s v="María Ángeles Ferreras"/>
        <s v="Azahar Barrera"/>
        <s v="Encarnacion Gual"/>
        <s v="Purificación Garcés"/>
        <s v="Albino Viana"/>
        <s v="Reina Garzón"/>
        <s v="Pancho Alcalde"/>
        <s v="Candelario Terrón"/>
        <s v="Roxana Infante"/>
        <s v="Jose Ramón Prat"/>
        <s v="Noemí Español"/>
        <s v="Elías Mayoral"/>
        <s v="Remedios Alvarez"/>
        <s v="Lucas Fernandez"/>
        <s v="Lope Calzada"/>
        <s v="Leandro Iglesias"/>
        <s v="Eliana Figuerola"/>
        <s v="Soraya Mora"/>
        <s v="Ernesto Larrañaga"/>
        <s v="Iris Villar"/>
        <s v="Lorenzo Marquez"/>
        <s v="Maximino Palacios"/>
        <s v="Rafael Díez"/>
        <s v="Armida Criado"/>
        <s v="Ricarda Pedraza"/>
        <s v="Guiomar Pou"/>
        <s v="Porfirio Sancho"/>
        <s v="Aureliano Pardo"/>
        <s v="Lupita Murcia"/>
        <s v="Aurelio Peña"/>
        <s v="Liliana Guardiola"/>
        <s v="Candela Carrera"/>
      </sharedItems>
    </cacheField>
    <cacheField name="Producto" numFmtId="0">
      <sharedItems count="10">
        <s v="Mouse Logitech"/>
        <s v="Placa de Video Nvidia"/>
        <s v="Tablet Samsung"/>
        <s v="Notebook Lenovo"/>
        <s v="Memoria RAM Corsair"/>
        <s v="Monitor Samsung"/>
        <s v="Disco SSD Kingston"/>
        <s v="PC Gamer"/>
        <s v="Teclado Redragon"/>
        <s v="Auriculares JBL"/>
      </sharedItems>
    </cacheField>
    <cacheField name="Cantidad" numFmtId="3">
      <sharedItems containsSemiMixedTypes="0" containsString="0" containsNumber="1" containsInteger="1" minValue="1" maxValue="5" count="5">
        <n v="1"/>
        <n v="4"/>
        <n v="3"/>
        <n v="5"/>
        <n v="2"/>
      </sharedItems>
    </cacheField>
    <cacheField name="Precio" numFmtId="164">
      <sharedItems containsSemiMixedTypes="0" containsString="0" containsNumber="1" containsInteger="1" minValue="100846" maxValue="49958799"/>
    </cacheField>
    <cacheField name="MetodoPago" numFmtId="0">
      <sharedItems/>
    </cacheField>
    <cacheField name="Descuento" numFmtId="164">
      <sharedItems containsSemiMixedTypes="0" containsString="0" containsNumber="1" containsInteger="1" minValue="2639" maxValue="12338821"/>
    </cacheField>
    <cacheField name="Fecha" numFmtId="14">
      <sharedItems containsSemiMixedTypes="0" containsNonDate="0" containsDate="1" containsString="0" minDate="2024-07-24T00:00:00" maxDate="2025-07-25T00:00:00" count="364">
        <d v="2024-12-13T00:00:00"/>
        <d v="2025-06-22T00:00:00"/>
        <d v="2025-05-07T00:00:00"/>
        <d v="2025-03-09T00:00:00"/>
        <d v="2025-02-04T00:00:00"/>
        <d v="2025-04-20T00:00:00"/>
        <d v="2025-03-17T00:00:00"/>
        <d v="2024-08-25T00:00:00"/>
        <d v="2025-02-23T00:00:00"/>
        <d v="2024-08-03T00:00:00"/>
        <d v="2024-08-12T00:00:00"/>
        <d v="2025-02-12T00:00:00"/>
        <d v="2024-08-17T00:00:00"/>
        <d v="2025-04-26T00:00:00"/>
        <d v="2025-06-29T00:00:00"/>
        <d v="2025-05-18T00:00:00"/>
        <d v="2025-07-12T00:00:00"/>
        <d v="2024-09-28T00:00:00"/>
        <d v="2025-01-21T00:00:00"/>
        <d v="2024-11-20T00:00:00"/>
        <d v="2025-01-10T00:00:00"/>
        <d v="2024-09-10T00:00:00"/>
        <d v="2024-12-11T00:00:00"/>
        <d v="2024-11-21T00:00:00"/>
        <d v="2024-10-10T00:00:00"/>
        <d v="2025-07-16T00:00:00"/>
        <d v="2025-03-24T00:00:00"/>
        <d v="2025-01-18T00:00:00"/>
        <d v="2025-06-23T00:00:00"/>
        <d v="2025-04-07T00:00:00"/>
        <d v="2025-06-26T00:00:00"/>
        <d v="2024-10-16T00:00:00"/>
        <d v="2025-01-15T00:00:00"/>
        <d v="2025-02-10T00:00:00"/>
        <d v="2025-02-27T00:00:00"/>
        <d v="2024-08-06T00:00:00"/>
        <d v="2024-12-23T00:00:00"/>
        <d v="2025-03-27T00:00:00"/>
        <d v="2024-10-09T00:00:00"/>
        <d v="2025-01-23T00:00:00"/>
        <d v="2024-08-20T00:00:00"/>
        <d v="2025-06-04T00:00:00"/>
        <d v="2025-01-30T00:00:00"/>
        <d v="2025-03-13T00:00:00"/>
        <d v="2025-03-06T00:00:00"/>
        <d v="2024-10-07T00:00:00"/>
        <d v="2025-03-21T00:00:00"/>
        <d v="2024-09-22T00:00:00"/>
        <d v="2025-03-26T00:00:00"/>
        <d v="2025-04-01T00:00:00"/>
        <d v="2025-01-05T00:00:00"/>
        <d v="2024-11-01T00:00:00"/>
        <d v="2025-03-03T00:00:00"/>
        <d v="2024-08-16T00:00:00"/>
        <d v="2025-06-16T00:00:00"/>
        <d v="2024-08-29T00:00:00"/>
        <d v="2025-03-07T00:00:00"/>
        <d v="2024-09-02T00:00:00"/>
        <d v="2025-04-25T00:00:00"/>
        <d v="2024-12-15T00:00:00"/>
        <d v="2025-05-02T00:00:00"/>
        <d v="2024-10-28T00:00:00"/>
        <d v="2025-02-06T00:00:00"/>
        <d v="2025-04-30T00:00:00"/>
        <d v="2025-01-28T00:00:00"/>
        <d v="2025-05-01T00:00:00"/>
        <d v="2025-06-12T00:00:00"/>
        <d v="2024-08-26T00:00:00"/>
        <d v="2024-11-12T00:00:00"/>
        <d v="2025-07-21T00:00:00"/>
        <d v="2025-06-06T00:00:00"/>
        <d v="2024-08-18T00:00:00"/>
        <d v="2024-07-29T00:00:00"/>
        <d v="2025-05-30T00:00:00"/>
        <d v="2024-11-16T00:00:00"/>
        <d v="2024-11-06T00:00:00"/>
        <d v="2025-01-20T00:00:00"/>
        <d v="2025-05-05T00:00:00"/>
        <d v="2024-12-05T00:00:00"/>
        <d v="2024-09-04T00:00:00"/>
        <d v="2025-06-19T00:00:00"/>
        <d v="2024-12-10T00:00:00"/>
        <d v="2024-11-24T00:00:00"/>
        <d v="2024-09-16T00:00:00"/>
        <d v="2025-07-09T00:00:00"/>
        <d v="2024-11-26T00:00:00"/>
        <d v="2025-03-02T00:00:00"/>
        <d v="2025-02-17T00:00:00"/>
        <d v="2024-10-21T00:00:00"/>
        <d v="2025-06-18T00:00:00"/>
        <d v="2025-05-21T00:00:00"/>
        <d v="2024-11-04T00:00:00"/>
        <d v="2025-05-29T00:00:00"/>
        <d v="2025-01-16T00:00:00"/>
        <d v="2024-09-12T00:00:00"/>
        <d v="2024-09-19T00:00:00"/>
        <d v="2024-12-22T00:00:00"/>
        <d v="2024-08-21T00:00:00"/>
        <d v="2024-11-05T00:00:00"/>
        <d v="2025-03-31T00:00:00"/>
        <d v="2024-10-20T00:00:00"/>
        <d v="2024-10-26T00:00:00"/>
        <d v="2024-08-14T00:00:00"/>
        <d v="2024-08-07T00:00:00"/>
        <d v="2025-04-22T00:00:00"/>
        <d v="2025-06-24T00:00:00"/>
        <d v="2025-02-13T00:00:00"/>
        <d v="2024-10-02T00:00:00"/>
        <d v="2024-12-06T00:00:00"/>
        <d v="2025-01-07T00:00:00"/>
        <d v="2024-09-14T00:00:00"/>
        <d v="2024-11-15T00:00:00"/>
        <d v="2024-10-29T00:00:00"/>
        <d v="2024-12-07T00:00:00"/>
        <d v="2024-12-01T00:00:00"/>
        <d v="2025-07-22T00:00:00"/>
        <d v="2025-07-14T00:00:00"/>
        <d v="2024-11-03T00:00:00"/>
        <d v="2024-10-23T00:00:00"/>
        <d v="2024-12-28T00:00:00"/>
        <d v="2025-04-09T00:00:00"/>
        <d v="2024-08-19T00:00:00"/>
        <d v="2025-07-04T00:00:00"/>
        <d v="2024-09-08T00:00:00"/>
        <d v="2025-04-15T00:00:00"/>
        <d v="2024-09-17T00:00:00"/>
        <d v="2025-03-25T00:00:00"/>
        <d v="2024-11-08T00:00:00"/>
        <d v="2024-08-27T00:00:00"/>
        <d v="2025-01-12T00:00:00"/>
        <d v="2024-08-11T00:00:00"/>
        <d v="2025-02-22T00:00:00"/>
        <d v="2025-07-02T00:00:00"/>
        <d v="2025-01-02T00:00:00"/>
        <d v="2024-12-18T00:00:00"/>
        <d v="2025-05-26T00:00:00"/>
        <d v="2025-07-11T00:00:00"/>
        <d v="2025-02-25T00:00:00"/>
        <d v="2025-01-11T00:00:00"/>
        <d v="2025-03-05T00:00:00"/>
        <d v="2024-11-30T00:00:00"/>
        <d v="2024-07-30T00:00:00"/>
        <d v="2024-11-18T00:00:00"/>
        <d v="2025-02-16T00:00:00"/>
        <d v="2024-12-16T00:00:00"/>
        <d v="2024-11-17T00:00:00"/>
        <d v="2024-08-23T00:00:00"/>
        <d v="2024-07-24T00:00:00"/>
        <d v="2024-12-19T00:00:00"/>
        <d v="2025-05-15T00:00:00"/>
        <d v="2024-12-31T00:00:00"/>
        <d v="2024-12-04T00:00:00"/>
        <d v="2025-02-15T00:00:00"/>
        <d v="2024-11-11T00:00:00"/>
        <d v="2024-11-28T00:00:00"/>
        <d v="2024-10-25T00:00:00"/>
        <d v="2025-06-09T00:00:00"/>
        <d v="2024-08-15T00:00:00"/>
        <d v="2024-11-09T00:00:00"/>
        <d v="2025-07-13T00:00:00"/>
        <d v="2024-09-05T00:00:00"/>
        <d v="2025-01-26T00:00:00"/>
        <d v="2024-10-30T00:00:00"/>
        <d v="2025-07-18T00:00:00"/>
        <d v="2025-04-04T00:00:00"/>
        <d v="2024-10-17T00:00:00"/>
        <d v="2024-07-28T00:00:00"/>
        <d v="2025-01-17T00:00:00"/>
        <d v="2024-07-25T00:00:00"/>
        <d v="2025-04-03T00:00:00"/>
        <d v="2025-06-17T00:00:00"/>
        <d v="2025-05-31T00:00:00"/>
        <d v="2025-03-14T00:00:00"/>
        <d v="2025-03-11T00:00:00"/>
        <d v="2024-10-13T00:00:00"/>
        <d v="2024-12-17T00:00:00"/>
        <d v="2024-10-08T00:00:00"/>
        <d v="2025-01-25T00:00:00"/>
        <d v="2025-01-24T00:00:00"/>
        <d v="2024-11-10T00:00:00"/>
        <d v="2025-04-10T00:00:00"/>
        <d v="2024-08-22T00:00:00"/>
        <d v="2025-02-01T00:00:00"/>
        <d v="2024-11-19T00:00:00"/>
        <d v="2025-03-22T00:00:00"/>
        <d v="2024-11-07T00:00:00"/>
        <d v="2025-06-30T00:00:00"/>
        <d v="2025-01-22T00:00:00"/>
        <d v="2025-04-17T00:00:00"/>
        <d v="2024-12-20T00:00:00"/>
        <d v="2025-01-03T00:00:00"/>
        <d v="2024-09-25T00:00:00"/>
        <d v="2025-01-13T00:00:00"/>
        <d v="2024-10-22T00:00:00"/>
        <d v="2025-06-28T00:00:00"/>
        <d v="2025-04-24T00:00:00"/>
        <d v="2025-02-08T00:00:00"/>
        <d v="2024-09-30T00:00:00"/>
        <d v="2024-12-24T00:00:00"/>
        <d v="2025-02-19T00:00:00"/>
        <d v="2024-09-18T00:00:00"/>
        <d v="2024-08-09T00:00:00"/>
        <d v="2025-04-21T00:00:00"/>
        <d v="2025-04-11T00:00:00"/>
        <d v="2025-05-08T00:00:00"/>
        <d v="2025-01-09T00:00:00"/>
        <d v="2025-05-23T00:00:00"/>
        <d v="2024-08-04T00:00:00"/>
        <d v="2025-03-10T00:00:00"/>
        <d v="2024-08-30T00:00:00"/>
        <d v="2024-10-05T00:00:00"/>
        <d v="2024-12-21T00:00:00"/>
        <d v="2025-06-25T00:00:00"/>
        <d v="2025-05-25T00:00:00"/>
        <d v="2024-08-02T00:00:00"/>
        <d v="2025-07-07T00:00:00"/>
        <d v="2025-02-20T00:00:00"/>
        <d v="2025-03-28T00:00:00"/>
        <d v="2024-11-25T00:00:00"/>
        <d v="2025-06-11T00:00:00"/>
        <d v="2024-10-31T00:00:00"/>
        <d v="2025-05-10T00:00:00"/>
        <d v="2024-08-13T00:00:00"/>
        <d v="2025-05-09T00:00:00"/>
        <d v="2024-11-22T00:00:00"/>
        <d v="2025-03-30T00:00:00"/>
        <d v="2025-01-06T00:00:00"/>
        <d v="2025-06-21T00:00:00"/>
        <d v="2025-06-03T00:00:00"/>
        <d v="2024-10-04T00:00:00"/>
        <d v="2024-08-31T00:00:00"/>
        <d v="2025-05-06T00:00:00"/>
        <d v="2025-05-20T00:00:00"/>
        <d v="2024-08-05T00:00:00"/>
        <d v="2025-06-10T00:00:00"/>
        <d v="2025-05-14T00:00:00"/>
        <d v="2024-10-11T00:00:00"/>
        <d v="2024-09-29T00:00:00"/>
        <d v="2024-11-02T00:00:00"/>
        <d v="2024-11-13T00:00:00"/>
        <d v="2024-10-03T00:00:00"/>
        <d v="2025-05-03T00:00:00"/>
        <d v="2024-08-24T00:00:00"/>
        <d v="2024-09-24T00:00:00"/>
        <d v="2025-05-12T00:00:00"/>
        <d v="2025-02-07T00:00:00"/>
        <d v="2024-09-15T00:00:00"/>
        <d v="2025-05-16T00:00:00"/>
        <d v="2025-03-08T00:00:00"/>
        <d v="2024-10-14T00:00:00"/>
        <d v="2025-06-02T00:00:00"/>
        <d v="2025-03-20T00:00:00"/>
        <d v="2025-05-27T00:00:00"/>
        <d v="2024-12-14T00:00:00"/>
        <d v="2024-12-26T00:00:00"/>
        <d v="2024-09-20T00:00:00"/>
        <d v="2024-07-31T00:00:00"/>
        <d v="2024-10-15T00:00:00"/>
        <d v="2025-04-08T00:00:00"/>
        <d v="2025-06-15T00:00:00"/>
        <d v="2024-10-19T00:00:00"/>
        <d v="2025-03-15T00:00:00"/>
        <d v="2024-08-01T00:00:00"/>
        <d v="2025-07-23T00:00:00"/>
        <d v="2025-07-20T00:00:00"/>
        <d v="2025-02-18T00:00:00"/>
        <d v="2025-06-05T00:00:00"/>
        <d v="2024-09-27T00:00:00"/>
        <d v="2025-05-11T00:00:00"/>
        <d v="2024-10-27T00:00:00"/>
        <d v="2025-06-14T00:00:00"/>
        <d v="2024-08-28T00:00:00"/>
        <d v="2024-09-03T00:00:00"/>
        <d v="2025-05-04T00:00:00"/>
        <d v="2024-09-07T00:00:00"/>
        <d v="2025-04-12T00:00:00"/>
        <d v="2024-12-30T00:00:00"/>
        <d v="2025-01-27T00:00:00"/>
        <d v="2024-09-13T00:00:00"/>
        <d v="2025-05-28T00:00:00"/>
        <d v="2025-03-29T00:00:00"/>
        <d v="2025-07-24T00:00:00"/>
        <d v="2025-06-08T00:00:00"/>
        <d v="2025-04-23T00:00:00"/>
        <d v="2025-05-17T00:00:00"/>
        <d v="2024-12-29T00:00:00"/>
        <d v="2024-10-06T00:00:00"/>
        <d v="2025-02-09T00:00:00"/>
        <d v="2025-01-08T00:00:00"/>
        <d v="2025-01-14T00:00:00"/>
        <d v="2025-01-01T00:00:00"/>
        <d v="2025-02-26T00:00:00"/>
        <d v="2024-11-23T00:00:00"/>
        <d v="2024-09-26T00:00:00"/>
        <d v="2024-11-27T00:00:00"/>
        <d v="2025-04-16T00:00:00"/>
        <d v="2024-09-23T00:00:00"/>
        <d v="2025-04-13T00:00:00"/>
        <d v="2025-02-21T00:00:00"/>
        <d v="2025-03-04T00:00:00"/>
        <d v="2025-05-13T00:00:00"/>
        <d v="2025-04-28T00:00:00"/>
        <d v="2025-03-16T00:00:00"/>
        <d v="2025-06-07T00:00:00"/>
        <d v="2025-02-14T00:00:00"/>
        <d v="2024-12-03T00:00:00"/>
        <d v="2025-02-03T00:00:00"/>
        <d v="2024-12-02T00:00:00"/>
        <d v="2025-01-31T00:00:00"/>
        <d v="2024-12-09T00:00:00"/>
        <d v="2025-04-19T00:00:00"/>
        <d v="2025-05-22T00:00:00"/>
        <d v="2024-09-06T00:00:00"/>
        <d v="2025-07-08T00:00:00"/>
        <d v="2025-07-17T00:00:00"/>
        <d v="2025-04-14T00:00:00"/>
        <d v="2025-07-05T00:00:00"/>
        <d v="2025-04-06T00:00:00"/>
        <d v="2025-03-01T00:00:00"/>
        <d v="2024-08-10T00:00:00"/>
        <d v="2024-08-08T00:00:00"/>
        <d v="2024-12-27T00:00:00"/>
        <d v="2025-04-27T00:00:00"/>
        <d v="2025-07-10T00:00:00"/>
        <d v="2025-03-12T00:00:00"/>
        <d v="2025-02-05T00:00:00"/>
        <d v="2025-02-24T00:00:00"/>
        <d v="2025-05-24T00:00:00"/>
        <d v="2025-07-15T00:00:00"/>
        <d v="2024-07-26T00:00:00"/>
        <d v="2024-09-11T00:00:00"/>
        <d v="2024-09-21T00:00:00"/>
        <d v="2024-12-08T00:00:00"/>
        <d v="2024-07-27T00:00:00"/>
        <d v="2024-12-25T00:00:00"/>
        <d v="2024-10-18T00:00:00"/>
        <d v="2025-07-01T00:00:00"/>
        <d v="2024-12-12T00:00:00"/>
        <d v="2024-11-29T00:00:00"/>
        <d v="2025-01-04T00:00:00"/>
        <d v="2025-04-02T00:00:00"/>
        <d v="2024-11-14T00:00:00"/>
        <d v="2025-06-20T00:00:00"/>
        <d v="2025-02-28T00:00:00"/>
        <d v="2025-03-18T00:00:00"/>
        <d v="2025-03-19T00:00:00"/>
        <d v="2024-10-12T00:00:00"/>
        <d v="2025-07-19T00:00:00"/>
        <d v="2025-06-13T00:00:00"/>
        <d v="2025-02-11T00:00:00"/>
        <d v="2025-01-29T00:00:00"/>
        <d v="2025-02-02T00:00:00"/>
        <d v="2025-04-18T00:00:00"/>
        <d v="2025-06-01T00:00:00"/>
        <d v="2025-07-03T00:00:00"/>
        <d v="2024-09-09T00:00:00"/>
        <d v="2025-07-06T00:00:00"/>
        <d v="2025-03-23T00:00:00"/>
        <d v="2025-05-19T00:00:00"/>
        <d v="2025-04-29T00:00:00"/>
        <d v="2025-01-19T00:00:00"/>
        <d v="2024-09-01T00:00:00"/>
        <d v="2025-06-27T00:00:00"/>
        <d v="2025-04-05T00:00:00"/>
      </sharedItems>
      <fieldGroup par="13"/>
    </cacheField>
    <cacheField name="Vendedor" numFmtId="0">
      <sharedItems count="10">
        <s v="Rosa de Bou"/>
        <s v="Edelmiro Valenciano-Ojeda"/>
        <s v="Calixta del Lago"/>
        <s v="Nieves del Ortega"/>
        <s v="Pánfilo Montenegro Alba"/>
        <s v="Dorita Abad Luján"/>
        <s v="Luís Chaparro Borja"/>
        <s v="Inés Campo Pont"/>
        <s v="Paca Aramburu Luz"/>
        <s v="Baldomero Ramón"/>
      </sharedItems>
    </cacheField>
    <cacheField name="Sucursal" numFmtId="0">
      <sharedItems count="6">
        <s v="General Paz"/>
        <s v="San Vicente"/>
        <s v="Villa Allende"/>
        <s v="Córdoba Centro"/>
        <s v="Alta Córdoba"/>
        <s v="Nueva Córdoba"/>
      </sharedItems>
    </cacheField>
    <cacheField name="Comision" numFmtId="164">
      <sharedItems containsSemiMixedTypes="0" containsString="0" containsNumber="1" containsInteger="1" minValue="2114" maxValue="984597"/>
    </cacheField>
    <cacheField name="Sueldo" numFmtId="164">
      <sharedItems containsSemiMixedTypes="0" containsString="0" containsNumber="1" containsInteger="1" minValue="1502114" maxValue="15984597"/>
    </cacheField>
    <cacheField name="Meses (Fecha)" numFmtId="0" databaseField="0">
      <fieldGroup base="6">
        <rangePr groupBy="months" startDate="2024-07-24T00:00:00" endDate="2025-07-25T00:00:00"/>
        <groupItems count="14">
          <s v="&lt;24/7/2024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25/7/2025"/>
        </groupItems>
      </fieldGroup>
    </cacheField>
    <cacheField name="Trimestres (Fecha)" numFmtId="0" databaseField="0">
      <fieldGroup base="6">
        <rangePr groupBy="quarters" startDate="2024-07-24T00:00:00" endDate="2025-07-25T00:00:00"/>
        <groupItems count="6">
          <s v="&lt;24/7/2024"/>
          <s v="Trim.1"/>
          <s v="Trim.2"/>
          <s v="Trim.3"/>
          <s v="Trim.4"/>
          <s v="&gt;25/7/2025"/>
        </groupItems>
      </fieldGroup>
    </cacheField>
    <cacheField name="Años (Fecha)" numFmtId="0" databaseField="0">
      <fieldGroup base="6">
        <rangePr groupBy="years" startDate="2024-07-24T00:00:00" endDate="2025-07-25T00:00:00"/>
        <groupItems count="4">
          <s v="&lt;24/7/2024"/>
          <s v="2024"/>
          <s v="2025"/>
          <s v="&gt;25/7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8">
  <r>
    <x v="0"/>
    <x v="0"/>
    <x v="0"/>
    <n v="7028246"/>
    <s v="Transferencia"/>
    <n v="1349415"/>
    <x v="0"/>
    <x v="0"/>
    <x v="0"/>
    <n v="113577"/>
    <n v="15113577"/>
  </r>
  <r>
    <x v="1"/>
    <x v="1"/>
    <x v="1"/>
    <n v="3335749"/>
    <s v="Crédito"/>
    <n v="2660449"/>
    <x v="1"/>
    <x v="1"/>
    <x v="0"/>
    <n v="613941"/>
    <n v="15613941"/>
  </r>
  <r>
    <x v="2"/>
    <x v="0"/>
    <x v="2"/>
    <n v="17544528"/>
    <s v="Transferencia"/>
    <n v="1610744"/>
    <x v="2"/>
    <x v="2"/>
    <x v="1"/>
    <n v="318676"/>
    <n v="15318676"/>
  </r>
  <r>
    <x v="3"/>
    <x v="2"/>
    <x v="0"/>
    <n v="23941347"/>
    <s v="Crédito"/>
    <n v="2028633"/>
    <x v="3"/>
    <x v="3"/>
    <x v="2"/>
    <n v="438254"/>
    <n v="15438254"/>
  </r>
  <r>
    <x v="4"/>
    <x v="0"/>
    <x v="0"/>
    <n v="34804794"/>
    <s v="Transferencia"/>
    <n v="8329084"/>
    <x v="4"/>
    <x v="4"/>
    <x v="3"/>
    <n v="529514"/>
    <n v="15529514"/>
  </r>
  <r>
    <x v="5"/>
    <x v="3"/>
    <x v="3"/>
    <n v="13555456"/>
    <s v="Crédito"/>
    <n v="1825914"/>
    <x v="5"/>
    <x v="1"/>
    <x v="2"/>
    <n v="234591"/>
    <n v="15234591"/>
  </r>
  <r>
    <x v="6"/>
    <x v="4"/>
    <x v="1"/>
    <n v="42548636"/>
    <s v="Transferencia"/>
    <n v="690336"/>
    <x v="6"/>
    <x v="5"/>
    <x v="4"/>
    <n v="712906"/>
    <n v="15712906"/>
  </r>
  <r>
    <x v="7"/>
    <x v="4"/>
    <x v="1"/>
    <n v="2594346"/>
    <s v="Crédito"/>
    <n v="24521"/>
    <x v="7"/>
    <x v="0"/>
    <x v="3"/>
    <n v="46983"/>
    <n v="15046983"/>
  </r>
  <r>
    <x v="8"/>
    <x v="1"/>
    <x v="0"/>
    <n v="37703722"/>
    <s v="Transferencia"/>
    <n v="8324192"/>
    <x v="8"/>
    <x v="0"/>
    <x v="5"/>
    <n v="587591"/>
    <n v="15587591"/>
  </r>
  <r>
    <x v="9"/>
    <x v="4"/>
    <x v="4"/>
    <n v="10722765"/>
    <s v="Crédito"/>
    <n v="1741786"/>
    <x v="9"/>
    <x v="4"/>
    <x v="3"/>
    <n v="17962"/>
    <n v="1517962"/>
  </r>
  <r>
    <x v="10"/>
    <x v="5"/>
    <x v="2"/>
    <n v="14148496"/>
    <s v="Transferencia"/>
    <n v="418264"/>
    <x v="10"/>
    <x v="2"/>
    <x v="5"/>
    <n v="274605"/>
    <n v="15274605"/>
  </r>
  <r>
    <x v="11"/>
    <x v="6"/>
    <x v="1"/>
    <n v="46592255"/>
    <s v="Transferencia"/>
    <n v="402228"/>
    <x v="11"/>
    <x v="6"/>
    <x v="2"/>
    <n v="923801"/>
    <n v="15923801"/>
  </r>
  <r>
    <x v="12"/>
    <x v="7"/>
    <x v="4"/>
    <n v="31170051"/>
    <s v="Transferencia"/>
    <n v="4134447"/>
    <x v="12"/>
    <x v="0"/>
    <x v="1"/>
    <n v="540712"/>
    <n v="15540712"/>
  </r>
  <r>
    <x v="13"/>
    <x v="3"/>
    <x v="0"/>
    <n v="19846754"/>
    <s v="Efectivo"/>
    <n v="4482452"/>
    <x v="13"/>
    <x v="1"/>
    <x v="4"/>
    <n v="307286"/>
    <n v="15307286"/>
  </r>
  <r>
    <x v="14"/>
    <x v="5"/>
    <x v="3"/>
    <n v="12150377"/>
    <s v="Transferencia"/>
    <n v="1657372"/>
    <x v="14"/>
    <x v="0"/>
    <x v="0"/>
    <n v="20986"/>
    <n v="1520986"/>
  </r>
  <r>
    <x v="15"/>
    <x v="3"/>
    <x v="0"/>
    <n v="3223777"/>
    <s v="Transferencia"/>
    <n v="564231"/>
    <x v="15"/>
    <x v="7"/>
    <x v="2"/>
    <n v="531909"/>
    <n v="15531909"/>
  </r>
  <r>
    <x v="16"/>
    <x v="6"/>
    <x v="4"/>
    <n v="34498495"/>
    <s v="Transferencia"/>
    <n v="26128"/>
    <x v="16"/>
    <x v="5"/>
    <x v="5"/>
    <n v="684744"/>
    <n v="15684744"/>
  </r>
  <r>
    <x v="17"/>
    <x v="8"/>
    <x v="4"/>
    <n v="27912332"/>
    <s v="Crédito"/>
    <n v="5343589"/>
    <x v="17"/>
    <x v="6"/>
    <x v="1"/>
    <n v="451375"/>
    <n v="15451375"/>
  </r>
  <r>
    <x v="18"/>
    <x v="6"/>
    <x v="0"/>
    <n v="26441953"/>
    <s v="Efectivo"/>
    <n v="5100423"/>
    <x v="18"/>
    <x v="5"/>
    <x v="3"/>
    <n v="426831"/>
    <n v="15426831"/>
  </r>
  <r>
    <x v="19"/>
    <x v="4"/>
    <x v="2"/>
    <n v="21416691"/>
    <s v="Transferencia"/>
    <n v="623409"/>
    <x v="19"/>
    <x v="3"/>
    <x v="3"/>
    <n v="415866"/>
    <n v="15415866"/>
  </r>
  <r>
    <x v="20"/>
    <x v="0"/>
    <x v="1"/>
    <n v="3764506"/>
    <s v="Transferencia"/>
    <n v="60753"/>
    <x v="20"/>
    <x v="8"/>
    <x v="0"/>
    <n v="6314"/>
    <n v="1506314"/>
  </r>
  <r>
    <x v="21"/>
    <x v="5"/>
    <x v="4"/>
    <n v="1559018"/>
    <s v="Efectivo"/>
    <n v="1987623"/>
    <x v="21"/>
    <x v="3"/>
    <x v="2"/>
    <n v="272051"/>
    <n v="15272051"/>
  </r>
  <r>
    <x v="22"/>
    <x v="9"/>
    <x v="3"/>
    <n v="36716058"/>
    <s v="Efectivo"/>
    <n v="8017718"/>
    <x v="22"/>
    <x v="2"/>
    <x v="4"/>
    <n v="573967"/>
    <n v="15573967"/>
  </r>
  <r>
    <x v="23"/>
    <x v="6"/>
    <x v="4"/>
    <n v="46645162"/>
    <s v="Crédito"/>
    <n v="1159619"/>
    <x v="17"/>
    <x v="2"/>
    <x v="3"/>
    <n v="700979"/>
    <n v="15700979"/>
  </r>
  <r>
    <x v="24"/>
    <x v="1"/>
    <x v="3"/>
    <n v="2349818"/>
    <s v="Crédito"/>
    <n v="547287"/>
    <x v="23"/>
    <x v="4"/>
    <x v="2"/>
    <n v="36051"/>
    <n v="15036051"/>
  </r>
  <r>
    <x v="25"/>
    <x v="0"/>
    <x v="1"/>
    <n v="43451569"/>
    <s v="Transferencia"/>
    <n v="3841983"/>
    <x v="24"/>
    <x v="9"/>
    <x v="4"/>
    <n v="792192"/>
    <n v="15792192"/>
  </r>
  <r>
    <x v="26"/>
    <x v="7"/>
    <x v="4"/>
    <n v="22555262"/>
    <s v="Efectivo"/>
    <n v="826421"/>
    <x v="25"/>
    <x v="4"/>
    <x v="4"/>
    <n v="434577"/>
    <n v="15434577"/>
  </r>
  <r>
    <x v="27"/>
    <x v="4"/>
    <x v="4"/>
    <n v="3753229"/>
    <s v="Efectivo"/>
    <n v="281541"/>
    <x v="26"/>
    <x v="0"/>
    <x v="0"/>
    <n v="69434"/>
    <n v="15069434"/>
  </r>
  <r>
    <x v="28"/>
    <x v="9"/>
    <x v="1"/>
    <n v="31433701"/>
    <s v="Crédito"/>
    <n v="5264216"/>
    <x v="27"/>
    <x v="5"/>
    <x v="3"/>
    <n v="52339"/>
    <n v="1552339"/>
  </r>
  <r>
    <x v="29"/>
    <x v="4"/>
    <x v="4"/>
    <n v="23009277"/>
    <s v="Efectivo"/>
    <n v="31730"/>
    <x v="28"/>
    <x v="7"/>
    <x v="2"/>
    <n v="45384"/>
    <n v="1545384"/>
  </r>
  <r>
    <x v="30"/>
    <x v="1"/>
    <x v="2"/>
    <n v="12260517"/>
    <s v="Transferencia"/>
    <n v="2391884"/>
    <x v="29"/>
    <x v="8"/>
    <x v="4"/>
    <n v="197373"/>
    <n v="15197373"/>
  </r>
  <r>
    <x v="31"/>
    <x v="8"/>
    <x v="1"/>
    <n v="6425612"/>
    <s v="Efectivo"/>
    <n v="1555887"/>
    <x v="30"/>
    <x v="7"/>
    <x v="1"/>
    <n v="97395"/>
    <n v="15097395"/>
  </r>
  <r>
    <x v="32"/>
    <x v="7"/>
    <x v="0"/>
    <n v="4003982"/>
    <s v="Crédito"/>
    <n v="824112"/>
    <x v="31"/>
    <x v="7"/>
    <x v="3"/>
    <n v="63597"/>
    <n v="15063597"/>
  </r>
  <r>
    <x v="33"/>
    <x v="2"/>
    <x v="0"/>
    <n v="40591406"/>
    <s v="Crédito"/>
    <n v="351461"/>
    <x v="32"/>
    <x v="8"/>
    <x v="5"/>
    <n v="741536"/>
    <n v="15741536"/>
  </r>
  <r>
    <x v="34"/>
    <x v="7"/>
    <x v="1"/>
    <n v="22208452"/>
    <s v="Efectivo"/>
    <n v="3080056"/>
    <x v="33"/>
    <x v="0"/>
    <x v="1"/>
    <n v="382568"/>
    <n v="15382568"/>
  </r>
  <r>
    <x v="35"/>
    <x v="6"/>
    <x v="2"/>
    <n v="12904703"/>
    <s v="Transferencia"/>
    <n v="244802"/>
    <x v="34"/>
    <x v="6"/>
    <x v="1"/>
    <n v="209134"/>
    <n v="15209134"/>
  </r>
  <r>
    <x v="36"/>
    <x v="0"/>
    <x v="4"/>
    <n v="36792261"/>
    <s v="Crédito"/>
    <n v="5251323"/>
    <x v="35"/>
    <x v="5"/>
    <x v="3"/>
    <n v="630819"/>
    <n v="15630819"/>
  </r>
  <r>
    <x v="37"/>
    <x v="4"/>
    <x v="0"/>
    <n v="33471915"/>
    <s v="Efectivo"/>
    <n v="3924471"/>
    <x v="36"/>
    <x v="1"/>
    <x v="0"/>
    <n v="590949"/>
    <n v="15590949"/>
  </r>
  <r>
    <x v="38"/>
    <x v="0"/>
    <x v="1"/>
    <n v="48527841"/>
    <s v="Efectivo"/>
    <n v="961380"/>
    <x v="37"/>
    <x v="7"/>
    <x v="1"/>
    <n v="778281"/>
    <n v="15778281"/>
  </r>
  <r>
    <x v="39"/>
    <x v="0"/>
    <x v="4"/>
    <n v="661908"/>
    <s v="Crédito"/>
    <n v="932615"/>
    <x v="38"/>
    <x v="2"/>
    <x v="4"/>
    <n v="113729"/>
    <n v="15113729"/>
  </r>
  <r>
    <x v="40"/>
    <x v="4"/>
    <x v="4"/>
    <n v="2008269"/>
    <s v="Transferencia"/>
    <n v="326042"/>
    <x v="39"/>
    <x v="2"/>
    <x v="1"/>
    <n v="33645"/>
    <n v="15033645"/>
  </r>
  <r>
    <x v="41"/>
    <x v="7"/>
    <x v="4"/>
    <n v="7402533"/>
    <s v="Transferencia"/>
    <n v="369231"/>
    <x v="40"/>
    <x v="7"/>
    <x v="1"/>
    <n v="140666"/>
    <n v="15140666"/>
  </r>
  <r>
    <x v="42"/>
    <x v="5"/>
    <x v="2"/>
    <n v="25620241"/>
    <s v="Crédito"/>
    <n v="2818664"/>
    <x v="41"/>
    <x v="7"/>
    <x v="3"/>
    <n v="456032"/>
    <n v="15456032"/>
  </r>
  <r>
    <x v="43"/>
    <x v="4"/>
    <x v="0"/>
    <n v="29550583"/>
    <s v="Transferencia"/>
    <n v="7126721"/>
    <x v="42"/>
    <x v="0"/>
    <x v="3"/>
    <n v="448477"/>
    <n v="15448477"/>
  </r>
  <r>
    <x v="44"/>
    <x v="8"/>
    <x v="0"/>
    <n v="24063535"/>
    <s v="Transferencia"/>
    <n v="141233"/>
    <x v="43"/>
    <x v="1"/>
    <x v="2"/>
    <n v="478446"/>
    <n v="15478446"/>
  </r>
  <r>
    <x v="45"/>
    <x v="2"/>
    <x v="2"/>
    <n v="12805702"/>
    <s v="Efectivo"/>
    <n v="1281421"/>
    <x v="27"/>
    <x v="7"/>
    <x v="4"/>
    <n v="230486"/>
    <n v="15230486"/>
  </r>
  <r>
    <x v="46"/>
    <x v="4"/>
    <x v="2"/>
    <n v="29716268"/>
    <s v="Efectivo"/>
    <n v="6147159"/>
    <x v="44"/>
    <x v="2"/>
    <x v="2"/>
    <n v="471382"/>
    <n v="15471382"/>
  </r>
  <r>
    <x v="47"/>
    <x v="4"/>
    <x v="0"/>
    <n v="1960641"/>
    <s v="Efectivo"/>
    <n v="166639"/>
    <x v="45"/>
    <x v="0"/>
    <x v="3"/>
    <n v="388795"/>
    <n v="15388795"/>
  </r>
  <r>
    <x v="48"/>
    <x v="7"/>
    <x v="2"/>
    <n v="47056451"/>
    <s v="Transferencia"/>
    <n v="2386526"/>
    <x v="46"/>
    <x v="6"/>
    <x v="5"/>
    <n v="893399"/>
    <n v="15893399"/>
  </r>
  <r>
    <x v="49"/>
    <x v="8"/>
    <x v="2"/>
    <n v="2011788"/>
    <s v="Crédito"/>
    <n v="1300479"/>
    <x v="47"/>
    <x v="4"/>
    <x v="4"/>
    <n v="376348"/>
    <n v="15376348"/>
  </r>
  <r>
    <x v="50"/>
    <x v="7"/>
    <x v="2"/>
    <n v="29024138"/>
    <s v="Efectivo"/>
    <n v="1079241"/>
    <x v="48"/>
    <x v="6"/>
    <x v="2"/>
    <n v="558898"/>
    <n v="15558898"/>
  </r>
  <r>
    <x v="51"/>
    <x v="6"/>
    <x v="4"/>
    <n v="43031024"/>
    <s v="Transferencia"/>
    <n v="10109564"/>
    <x v="49"/>
    <x v="0"/>
    <x v="2"/>
    <n v="658429"/>
    <n v="15658429"/>
  </r>
  <r>
    <x v="52"/>
    <x v="8"/>
    <x v="1"/>
    <n v="5280179"/>
    <s v="Crédito"/>
    <n v="1036767"/>
    <x v="50"/>
    <x v="5"/>
    <x v="1"/>
    <n v="84868"/>
    <n v="15084868"/>
  </r>
  <r>
    <x v="53"/>
    <x v="3"/>
    <x v="2"/>
    <n v="23441593"/>
    <s v="Transferencia"/>
    <n v="455538"/>
    <x v="51"/>
    <x v="5"/>
    <x v="0"/>
    <n v="377724"/>
    <n v="15377724"/>
  </r>
  <r>
    <x v="54"/>
    <x v="1"/>
    <x v="2"/>
    <n v="9742708"/>
    <s v="Efectivo"/>
    <n v="1304639"/>
    <x v="37"/>
    <x v="4"/>
    <x v="2"/>
    <n v="168761"/>
    <n v="15168761"/>
  </r>
  <r>
    <x v="55"/>
    <x v="3"/>
    <x v="3"/>
    <n v="3950388"/>
    <s v="Transferencia"/>
    <n v="76978"/>
    <x v="52"/>
    <x v="2"/>
    <x v="1"/>
    <n v="77468"/>
    <n v="15077468"/>
  </r>
  <r>
    <x v="56"/>
    <x v="3"/>
    <x v="2"/>
    <n v="3145434"/>
    <s v="Crédito"/>
    <n v="4632348"/>
    <x v="53"/>
    <x v="1"/>
    <x v="2"/>
    <n v="53644"/>
    <n v="1553644"/>
  </r>
  <r>
    <x v="57"/>
    <x v="1"/>
    <x v="1"/>
    <n v="48110033"/>
    <s v="Crédito"/>
    <n v="5735445"/>
    <x v="54"/>
    <x v="5"/>
    <x v="5"/>
    <n v="847492"/>
    <n v="15847492"/>
  </r>
  <r>
    <x v="58"/>
    <x v="6"/>
    <x v="4"/>
    <n v="45249698"/>
    <s v="Crédito"/>
    <n v="3634438"/>
    <x v="47"/>
    <x v="8"/>
    <x v="1"/>
    <n v="832305"/>
    <n v="15832305"/>
  </r>
  <r>
    <x v="59"/>
    <x v="5"/>
    <x v="3"/>
    <n v="3877660"/>
    <s v="Crédito"/>
    <n v="5670114"/>
    <x v="55"/>
    <x v="4"/>
    <x v="5"/>
    <n v="66213"/>
    <n v="1566213"/>
  </r>
  <r>
    <x v="60"/>
    <x v="9"/>
    <x v="1"/>
    <n v="17216935"/>
    <s v="Crédito"/>
    <n v="302897"/>
    <x v="56"/>
    <x v="4"/>
    <x v="5"/>
    <n v="338281"/>
    <n v="15338281"/>
  </r>
  <r>
    <x v="61"/>
    <x v="2"/>
    <x v="0"/>
    <n v="20529285"/>
    <s v="Crédito"/>
    <n v="3026701"/>
    <x v="57"/>
    <x v="9"/>
    <x v="3"/>
    <n v="350052"/>
    <n v="15350052"/>
  </r>
  <r>
    <x v="62"/>
    <x v="0"/>
    <x v="3"/>
    <n v="47253322"/>
    <s v="Crédito"/>
    <n v="10416887"/>
    <x v="58"/>
    <x v="0"/>
    <x v="5"/>
    <n v="736729"/>
    <n v="15736729"/>
  </r>
  <r>
    <x v="63"/>
    <x v="8"/>
    <x v="3"/>
    <n v="36456413"/>
    <s v="Efectivo"/>
    <n v="8895486"/>
    <x v="59"/>
    <x v="7"/>
    <x v="2"/>
    <n v="551219"/>
    <n v="15551219"/>
  </r>
  <r>
    <x v="64"/>
    <x v="9"/>
    <x v="0"/>
    <n v="34372474"/>
    <s v="Efectivo"/>
    <n v="4373643"/>
    <x v="60"/>
    <x v="5"/>
    <x v="5"/>
    <n v="599977"/>
    <n v="15599977"/>
  </r>
  <r>
    <x v="65"/>
    <x v="5"/>
    <x v="2"/>
    <n v="49140072"/>
    <s v="Transferencia"/>
    <n v="139970"/>
    <x v="61"/>
    <x v="7"/>
    <x v="4"/>
    <n v="954807"/>
    <n v="15954807"/>
  </r>
  <r>
    <x v="66"/>
    <x v="5"/>
    <x v="2"/>
    <n v="6260226"/>
    <s v="Transferencia"/>
    <n v="112317"/>
    <x v="16"/>
    <x v="0"/>
    <x v="4"/>
    <n v="102741"/>
    <n v="15102741"/>
  </r>
  <r>
    <x v="67"/>
    <x v="2"/>
    <x v="1"/>
    <n v="48023534"/>
    <s v="Transferencia"/>
    <n v="8299608"/>
    <x v="62"/>
    <x v="1"/>
    <x v="2"/>
    <n v="794479"/>
    <n v="15794479"/>
  </r>
  <r>
    <x v="68"/>
    <x v="2"/>
    <x v="4"/>
    <n v="49958799"/>
    <s v="Crédito"/>
    <n v="1923684"/>
    <x v="63"/>
    <x v="8"/>
    <x v="0"/>
    <n v="960702"/>
    <n v="15960702"/>
  </r>
  <r>
    <x v="69"/>
    <x v="8"/>
    <x v="3"/>
    <n v="1481490"/>
    <s v="Transferencia"/>
    <n v="1575873"/>
    <x v="64"/>
    <x v="5"/>
    <x v="5"/>
    <n v="264781"/>
    <n v="15264781"/>
  </r>
  <r>
    <x v="70"/>
    <x v="2"/>
    <x v="1"/>
    <n v="1605591"/>
    <s v="Crédito"/>
    <n v="3707196"/>
    <x v="65"/>
    <x v="5"/>
    <x v="5"/>
    <n v="246974"/>
    <n v="15246974"/>
  </r>
  <r>
    <x v="71"/>
    <x v="0"/>
    <x v="2"/>
    <n v="35142452"/>
    <s v="Crédito"/>
    <n v="7845888"/>
    <x v="66"/>
    <x v="0"/>
    <x v="2"/>
    <n v="545931"/>
    <n v="15545931"/>
  </r>
  <r>
    <x v="72"/>
    <x v="6"/>
    <x v="0"/>
    <n v="43746579"/>
    <s v="Crédito"/>
    <n v="8778749"/>
    <x v="67"/>
    <x v="3"/>
    <x v="3"/>
    <n v="699357"/>
    <n v="15699357"/>
  </r>
  <r>
    <x v="73"/>
    <x v="7"/>
    <x v="4"/>
    <n v="19994413"/>
    <s v="Efectivo"/>
    <n v="3986469"/>
    <x v="68"/>
    <x v="4"/>
    <x v="1"/>
    <n v="320159"/>
    <n v="15320159"/>
  </r>
  <r>
    <x v="74"/>
    <x v="0"/>
    <x v="1"/>
    <n v="46343668"/>
    <s v="Crédito"/>
    <n v="3653919"/>
    <x v="69"/>
    <x v="1"/>
    <x v="3"/>
    <n v="853795"/>
    <n v="15853795"/>
  </r>
  <r>
    <x v="75"/>
    <x v="0"/>
    <x v="1"/>
    <n v="12278122"/>
    <s v="Crédito"/>
    <n v="2797098"/>
    <x v="43"/>
    <x v="8"/>
    <x v="1"/>
    <n v="18962"/>
    <n v="1518962"/>
  </r>
  <r>
    <x v="76"/>
    <x v="9"/>
    <x v="3"/>
    <n v="5633482"/>
    <s v="Transferencia"/>
    <n v="49697"/>
    <x v="70"/>
    <x v="3"/>
    <x v="3"/>
    <n v="111676"/>
    <n v="15111676"/>
  </r>
  <r>
    <x v="77"/>
    <x v="0"/>
    <x v="3"/>
    <n v="49883931"/>
    <s v="Transferencia"/>
    <n v="11306924"/>
    <x v="71"/>
    <x v="7"/>
    <x v="3"/>
    <n v="77154"/>
    <n v="1577154"/>
  </r>
  <r>
    <x v="78"/>
    <x v="2"/>
    <x v="2"/>
    <n v="3032027"/>
    <s v="Crédito"/>
    <n v="73795"/>
    <x v="72"/>
    <x v="8"/>
    <x v="1"/>
    <n v="45882"/>
    <n v="15045882"/>
  </r>
  <r>
    <x v="79"/>
    <x v="7"/>
    <x v="0"/>
    <n v="880770"/>
    <s v="Efectivo"/>
    <n v="2139692"/>
    <x v="73"/>
    <x v="5"/>
    <x v="2"/>
    <n v="13336"/>
    <n v="1513336"/>
  </r>
  <r>
    <x v="80"/>
    <x v="8"/>
    <x v="3"/>
    <n v="33423829"/>
    <s v="Efectivo"/>
    <n v="4438191"/>
    <x v="74"/>
    <x v="0"/>
    <x v="3"/>
    <n v="579713"/>
    <n v="15579713"/>
  </r>
  <r>
    <x v="81"/>
    <x v="9"/>
    <x v="3"/>
    <n v="20102812"/>
    <s v="Efectivo"/>
    <n v="2948746"/>
    <x v="75"/>
    <x v="9"/>
    <x v="2"/>
    <n v="343081"/>
    <n v="15343081"/>
  </r>
  <r>
    <x v="82"/>
    <x v="1"/>
    <x v="1"/>
    <n v="4202195"/>
    <s v="Crédito"/>
    <n v="6035632"/>
    <x v="76"/>
    <x v="1"/>
    <x v="2"/>
    <n v="719726"/>
    <n v="15719726"/>
  </r>
  <r>
    <x v="83"/>
    <x v="3"/>
    <x v="1"/>
    <n v="2004624"/>
    <s v="Crédito"/>
    <n v="409656"/>
    <x v="77"/>
    <x v="9"/>
    <x v="4"/>
    <n v="31899"/>
    <n v="15031899"/>
  </r>
  <r>
    <x v="84"/>
    <x v="6"/>
    <x v="3"/>
    <n v="28462984"/>
    <s v="Transferencia"/>
    <n v="6560088"/>
    <x v="23"/>
    <x v="5"/>
    <x v="4"/>
    <n v="438058"/>
    <n v="15438058"/>
  </r>
  <r>
    <x v="85"/>
    <x v="9"/>
    <x v="2"/>
    <n v="1658840"/>
    <s v="Efectivo"/>
    <n v="3104009"/>
    <x v="78"/>
    <x v="7"/>
    <x v="5"/>
    <n v="269688"/>
    <n v="15269688"/>
  </r>
  <r>
    <x v="86"/>
    <x v="4"/>
    <x v="2"/>
    <n v="17396161"/>
    <s v="Transferencia"/>
    <n v="1549442"/>
    <x v="79"/>
    <x v="0"/>
    <x v="4"/>
    <n v="316934"/>
    <n v="15316934"/>
  </r>
  <r>
    <x v="87"/>
    <x v="7"/>
    <x v="1"/>
    <n v="442202"/>
    <s v="Crédito"/>
    <n v="431752"/>
    <x v="80"/>
    <x v="2"/>
    <x v="1"/>
    <n v="79805"/>
    <n v="15079805"/>
  </r>
  <r>
    <x v="88"/>
    <x v="8"/>
    <x v="2"/>
    <n v="32813996"/>
    <s v="Crédito"/>
    <n v="4752169"/>
    <x v="81"/>
    <x v="8"/>
    <x v="2"/>
    <n v="561237"/>
    <n v="15561237"/>
  </r>
  <r>
    <x v="89"/>
    <x v="0"/>
    <x v="4"/>
    <n v="19006492"/>
    <s v="Crédito"/>
    <n v="3131138"/>
    <x v="82"/>
    <x v="4"/>
    <x v="1"/>
    <n v="317507"/>
    <n v="15317507"/>
  </r>
  <r>
    <x v="90"/>
    <x v="5"/>
    <x v="3"/>
    <n v="35257457"/>
    <s v="Crédito"/>
    <n v="620532"/>
    <x v="83"/>
    <x v="1"/>
    <x v="5"/>
    <n v="692739"/>
    <n v="15692739"/>
  </r>
  <r>
    <x v="91"/>
    <x v="7"/>
    <x v="2"/>
    <n v="26656913"/>
    <s v="Crédito"/>
    <n v="5059458"/>
    <x v="84"/>
    <x v="4"/>
    <x v="5"/>
    <n v="431949"/>
    <n v="15431949"/>
  </r>
  <r>
    <x v="92"/>
    <x v="9"/>
    <x v="3"/>
    <n v="15516819"/>
    <s v="Efectivo"/>
    <n v="2658194"/>
    <x v="30"/>
    <x v="9"/>
    <x v="0"/>
    <n v="257172"/>
    <n v="15257172"/>
  </r>
  <r>
    <x v="93"/>
    <x v="4"/>
    <x v="3"/>
    <n v="17056688"/>
    <s v="Crédito"/>
    <n v="944204"/>
    <x v="85"/>
    <x v="5"/>
    <x v="5"/>
    <n v="32225"/>
    <n v="1532225"/>
  </r>
  <r>
    <x v="94"/>
    <x v="1"/>
    <x v="2"/>
    <n v="42059708"/>
    <s v="Transferencia"/>
    <n v="1962996"/>
    <x v="16"/>
    <x v="5"/>
    <x v="3"/>
    <n v="801934"/>
    <n v="15801934"/>
  </r>
  <r>
    <x v="95"/>
    <x v="8"/>
    <x v="4"/>
    <n v="7337838"/>
    <s v="Efectivo"/>
    <n v="5412"/>
    <x v="86"/>
    <x v="0"/>
    <x v="3"/>
    <n v="145674"/>
    <n v="15145674"/>
  </r>
  <r>
    <x v="96"/>
    <x v="8"/>
    <x v="3"/>
    <n v="3483031"/>
    <s v="Transferencia"/>
    <n v="20931"/>
    <x v="87"/>
    <x v="4"/>
    <x v="0"/>
    <n v="65474"/>
    <n v="15065474"/>
  </r>
  <r>
    <x v="97"/>
    <x v="3"/>
    <x v="1"/>
    <n v="2128975"/>
    <s v="Efectivo"/>
    <n v="4097828"/>
    <x v="88"/>
    <x v="5"/>
    <x v="4"/>
    <n v="343838"/>
    <n v="15343838"/>
  </r>
  <r>
    <x v="98"/>
    <x v="5"/>
    <x v="3"/>
    <n v="6992227"/>
    <s v="Transferencia"/>
    <n v="249424"/>
    <x v="54"/>
    <x v="9"/>
    <x v="5"/>
    <n v="134856"/>
    <n v="15134856"/>
  </r>
  <r>
    <x v="99"/>
    <x v="8"/>
    <x v="3"/>
    <n v="17633314"/>
    <s v="Transferencia"/>
    <n v="1022987"/>
    <x v="89"/>
    <x v="1"/>
    <x v="1"/>
    <n v="332207"/>
    <n v="15332207"/>
  </r>
  <r>
    <x v="100"/>
    <x v="0"/>
    <x v="4"/>
    <n v="4679569"/>
    <s v="Crédito"/>
    <n v="803792"/>
    <x v="90"/>
    <x v="1"/>
    <x v="5"/>
    <n v="77516"/>
    <n v="15077516"/>
  </r>
  <r>
    <x v="101"/>
    <x v="4"/>
    <x v="1"/>
    <n v="4436669"/>
    <s v="Efectivo"/>
    <n v="3639427"/>
    <x v="3"/>
    <x v="5"/>
    <x v="0"/>
    <n v="814545"/>
    <n v="15814545"/>
  </r>
  <r>
    <x v="102"/>
    <x v="4"/>
    <x v="4"/>
    <n v="41879307"/>
    <s v="Efectivo"/>
    <n v="2243369"/>
    <x v="11"/>
    <x v="7"/>
    <x v="4"/>
    <n v="792719"/>
    <n v="15792719"/>
  </r>
  <r>
    <x v="103"/>
    <x v="2"/>
    <x v="0"/>
    <n v="21720221"/>
    <s v="Efectivo"/>
    <n v="305823"/>
    <x v="91"/>
    <x v="8"/>
    <x v="3"/>
    <n v="37324"/>
    <n v="1537324"/>
  </r>
  <r>
    <x v="104"/>
    <x v="5"/>
    <x v="4"/>
    <n v="49220167"/>
    <s v="Efectivo"/>
    <n v="786004"/>
    <x v="92"/>
    <x v="7"/>
    <x v="3"/>
    <n v="827203"/>
    <n v="15827203"/>
  </r>
  <r>
    <x v="105"/>
    <x v="1"/>
    <x v="2"/>
    <n v="49058673"/>
    <s v="Crédito"/>
    <n v="8113079"/>
    <x v="91"/>
    <x v="9"/>
    <x v="0"/>
    <n v="818912"/>
    <n v="15818912"/>
  </r>
  <r>
    <x v="106"/>
    <x v="2"/>
    <x v="1"/>
    <n v="15334665"/>
    <s v="Transferencia"/>
    <n v="2500961"/>
    <x v="33"/>
    <x v="9"/>
    <x v="2"/>
    <n v="256674"/>
    <n v="15256674"/>
  </r>
  <r>
    <x v="107"/>
    <x v="6"/>
    <x v="4"/>
    <n v="7047464"/>
    <s v="Transferencia"/>
    <n v="1336997"/>
    <x v="93"/>
    <x v="9"/>
    <x v="3"/>
    <n v="114209"/>
    <n v="15114209"/>
  </r>
  <r>
    <x v="108"/>
    <x v="1"/>
    <x v="1"/>
    <n v="10007401"/>
    <s v="Transferencia"/>
    <n v="1246352"/>
    <x v="27"/>
    <x v="9"/>
    <x v="1"/>
    <n v="175221"/>
    <n v="15175221"/>
  </r>
  <r>
    <x v="109"/>
    <x v="2"/>
    <x v="2"/>
    <n v="23409737"/>
    <s v="Crédito"/>
    <n v="26125"/>
    <x v="94"/>
    <x v="6"/>
    <x v="0"/>
    <n v="467672"/>
    <n v="15467672"/>
  </r>
  <r>
    <x v="110"/>
    <x v="6"/>
    <x v="1"/>
    <n v="33687364"/>
    <s v="Efectivo"/>
    <n v="5797761"/>
    <x v="38"/>
    <x v="9"/>
    <x v="1"/>
    <n v="557792"/>
    <n v="15557792"/>
  </r>
  <r>
    <x v="111"/>
    <x v="4"/>
    <x v="4"/>
    <n v="1626680"/>
    <s v="Efectivo"/>
    <n v="1097357"/>
    <x v="95"/>
    <x v="4"/>
    <x v="4"/>
    <n v="303389"/>
    <n v="15303389"/>
  </r>
  <r>
    <x v="112"/>
    <x v="8"/>
    <x v="4"/>
    <n v="825650"/>
    <s v="Efectivo"/>
    <n v="146945"/>
    <x v="96"/>
    <x v="4"/>
    <x v="3"/>
    <n v="135741"/>
    <n v="15135741"/>
  </r>
  <r>
    <x v="113"/>
    <x v="7"/>
    <x v="0"/>
    <n v="27649269"/>
    <s v="Transferencia"/>
    <n v="6720369"/>
    <x v="97"/>
    <x v="7"/>
    <x v="1"/>
    <n v="418578"/>
    <n v="15418578"/>
  </r>
  <r>
    <x v="114"/>
    <x v="4"/>
    <x v="1"/>
    <n v="42871577"/>
    <s v="Transferencia"/>
    <n v="4812605"/>
    <x v="98"/>
    <x v="2"/>
    <x v="4"/>
    <n v="761179"/>
    <n v="15761179"/>
  </r>
  <r>
    <x v="115"/>
    <x v="4"/>
    <x v="0"/>
    <n v="19654054"/>
    <s v="Transferencia"/>
    <n v="1957756"/>
    <x v="41"/>
    <x v="3"/>
    <x v="2"/>
    <n v="353926"/>
    <n v="15353926"/>
  </r>
  <r>
    <x v="116"/>
    <x v="9"/>
    <x v="4"/>
    <n v="2997909"/>
    <s v="Crédito"/>
    <n v="484608"/>
    <x v="99"/>
    <x v="5"/>
    <x v="5"/>
    <n v="50266"/>
    <n v="15050266"/>
  </r>
  <r>
    <x v="117"/>
    <x v="7"/>
    <x v="4"/>
    <n v="14943625"/>
    <s v="Efectivo"/>
    <n v="299220"/>
    <x v="64"/>
    <x v="8"/>
    <x v="4"/>
    <n v="239028"/>
    <n v="15239028"/>
  </r>
  <r>
    <x v="118"/>
    <x v="0"/>
    <x v="4"/>
    <n v="36809536"/>
    <s v="Transferencia"/>
    <n v="5288292"/>
    <x v="81"/>
    <x v="5"/>
    <x v="5"/>
    <n v="630425"/>
    <n v="15630425"/>
  </r>
  <r>
    <x v="119"/>
    <x v="6"/>
    <x v="2"/>
    <n v="28403553"/>
    <s v="Efectivo"/>
    <n v="4056401"/>
    <x v="59"/>
    <x v="8"/>
    <x v="3"/>
    <n v="486943"/>
    <n v="15486943"/>
  </r>
  <r>
    <x v="120"/>
    <x v="1"/>
    <x v="3"/>
    <n v="18085617"/>
    <s v="Efectivo"/>
    <n v="3159214"/>
    <x v="100"/>
    <x v="0"/>
    <x v="4"/>
    <n v="298528"/>
    <n v="15298528"/>
  </r>
  <r>
    <x v="121"/>
    <x v="4"/>
    <x v="2"/>
    <n v="14522397"/>
    <s v="Transferencia"/>
    <n v="2061827"/>
    <x v="101"/>
    <x v="1"/>
    <x v="1"/>
    <n v="249211"/>
    <n v="15249211"/>
  </r>
  <r>
    <x v="122"/>
    <x v="7"/>
    <x v="1"/>
    <n v="19004187"/>
    <s v="Crédito"/>
    <n v="4240162"/>
    <x v="88"/>
    <x v="6"/>
    <x v="3"/>
    <n v="29528"/>
    <n v="1529528"/>
  </r>
  <r>
    <x v="123"/>
    <x v="6"/>
    <x v="3"/>
    <n v="31083606"/>
    <s v="Crédito"/>
    <n v="3334711"/>
    <x v="102"/>
    <x v="2"/>
    <x v="4"/>
    <n v="554978"/>
    <n v="15554978"/>
  </r>
  <r>
    <x v="124"/>
    <x v="9"/>
    <x v="4"/>
    <n v="34380733"/>
    <s v="Transferencia"/>
    <n v="8256033"/>
    <x v="103"/>
    <x v="4"/>
    <x v="5"/>
    <n v="522494"/>
    <n v="15522494"/>
  </r>
  <r>
    <x v="125"/>
    <x v="5"/>
    <x v="3"/>
    <n v="32690023"/>
    <s v="Crédito"/>
    <n v="3527896"/>
    <x v="42"/>
    <x v="6"/>
    <x v="2"/>
    <n v="583243"/>
    <n v="15583243"/>
  </r>
  <r>
    <x v="126"/>
    <x v="3"/>
    <x v="2"/>
    <n v="37783293"/>
    <s v="Transferencia"/>
    <n v="85134"/>
    <x v="96"/>
    <x v="3"/>
    <x v="0"/>
    <n v="738639"/>
    <n v="15738639"/>
  </r>
  <r>
    <x v="127"/>
    <x v="7"/>
    <x v="4"/>
    <n v="30704231"/>
    <s v="Efectivo"/>
    <n v="5942536"/>
    <x v="104"/>
    <x v="2"/>
    <x v="1"/>
    <n v="495234"/>
    <n v="15495234"/>
  </r>
  <r>
    <x v="128"/>
    <x v="8"/>
    <x v="3"/>
    <n v="25490812"/>
    <s v="Efectivo"/>
    <n v="1768931"/>
    <x v="61"/>
    <x v="0"/>
    <x v="1"/>
    <n v="474438"/>
    <n v="15474438"/>
  </r>
  <r>
    <x v="129"/>
    <x v="1"/>
    <x v="0"/>
    <n v="27257644"/>
    <s v="Efectivo"/>
    <n v="596584"/>
    <x v="105"/>
    <x v="4"/>
    <x v="2"/>
    <n v="425836"/>
    <n v="15425836"/>
  </r>
  <r>
    <x v="130"/>
    <x v="8"/>
    <x v="3"/>
    <n v="25413693"/>
    <s v="Transferencia"/>
    <n v="1024111"/>
    <x v="106"/>
    <x v="0"/>
    <x v="4"/>
    <n v="487792"/>
    <n v="15487792"/>
  </r>
  <r>
    <x v="131"/>
    <x v="5"/>
    <x v="1"/>
    <n v="24971904"/>
    <s v="Crédito"/>
    <n v="74897"/>
    <x v="107"/>
    <x v="7"/>
    <x v="0"/>
    <n v="484459"/>
    <n v="15484459"/>
  </r>
  <r>
    <x v="132"/>
    <x v="4"/>
    <x v="3"/>
    <n v="40708685"/>
    <s v="Transferencia"/>
    <n v="5224845"/>
    <x v="108"/>
    <x v="8"/>
    <x v="2"/>
    <n v="709677"/>
    <n v="15709677"/>
  </r>
  <r>
    <x v="133"/>
    <x v="4"/>
    <x v="1"/>
    <n v="15043405"/>
    <s v="Efectivo"/>
    <n v="2401578"/>
    <x v="43"/>
    <x v="9"/>
    <x v="1"/>
    <n v="252837"/>
    <n v="15252837"/>
  </r>
  <r>
    <x v="134"/>
    <x v="0"/>
    <x v="2"/>
    <n v="23489783"/>
    <s v="Crédito"/>
    <n v="5642187"/>
    <x v="109"/>
    <x v="1"/>
    <x v="5"/>
    <n v="356952"/>
    <n v="15356952"/>
  </r>
  <r>
    <x v="135"/>
    <x v="0"/>
    <x v="2"/>
    <n v="4420141"/>
    <s v="Crédito"/>
    <n v="3259"/>
    <x v="84"/>
    <x v="7"/>
    <x v="2"/>
    <n v="88338"/>
    <n v="15088338"/>
  </r>
  <r>
    <x v="136"/>
    <x v="3"/>
    <x v="0"/>
    <n v="25446246"/>
    <s v="Crédito"/>
    <n v="1005424"/>
    <x v="110"/>
    <x v="0"/>
    <x v="3"/>
    <n v="488816"/>
    <n v="15488816"/>
  </r>
  <r>
    <x v="137"/>
    <x v="7"/>
    <x v="1"/>
    <n v="40746128"/>
    <s v="Transferencia"/>
    <n v="7046213"/>
    <x v="111"/>
    <x v="8"/>
    <x v="3"/>
    <n v="673998"/>
    <n v="15673998"/>
  </r>
  <r>
    <x v="138"/>
    <x v="2"/>
    <x v="3"/>
    <n v="32789003"/>
    <s v="Efectivo"/>
    <n v="7489415"/>
    <x v="112"/>
    <x v="9"/>
    <x v="3"/>
    <n v="505992"/>
    <n v="15505992"/>
  </r>
  <r>
    <x v="139"/>
    <x v="6"/>
    <x v="0"/>
    <n v="26104297"/>
    <s v="Efectivo"/>
    <n v="506122"/>
    <x v="112"/>
    <x v="3"/>
    <x v="2"/>
    <n v="511964"/>
    <n v="15511964"/>
  </r>
  <r>
    <x v="140"/>
    <x v="7"/>
    <x v="3"/>
    <n v="26398484"/>
    <s v="Crédito"/>
    <n v="3532061"/>
    <x v="55"/>
    <x v="4"/>
    <x v="1"/>
    <n v="457328"/>
    <n v="15457328"/>
  </r>
  <r>
    <x v="141"/>
    <x v="8"/>
    <x v="1"/>
    <n v="48781326"/>
    <s v="Crédito"/>
    <n v="5229513"/>
    <x v="106"/>
    <x v="8"/>
    <x v="0"/>
    <n v="871036"/>
    <n v="15871036"/>
  </r>
  <r>
    <x v="142"/>
    <x v="7"/>
    <x v="1"/>
    <n v="8968804"/>
    <s v="Transferencia"/>
    <n v="665961"/>
    <x v="113"/>
    <x v="0"/>
    <x v="5"/>
    <n v="166057"/>
    <n v="15166057"/>
  </r>
  <r>
    <x v="143"/>
    <x v="8"/>
    <x v="1"/>
    <n v="40816357"/>
    <s v="Transferencia"/>
    <n v="9547486"/>
    <x v="114"/>
    <x v="3"/>
    <x v="5"/>
    <n v="625377"/>
    <n v="15625377"/>
  </r>
  <r>
    <x v="144"/>
    <x v="7"/>
    <x v="3"/>
    <n v="23769784"/>
    <s v="Transferencia"/>
    <n v="4777585"/>
    <x v="62"/>
    <x v="6"/>
    <x v="1"/>
    <n v="379844"/>
    <n v="15379844"/>
  </r>
  <r>
    <x v="145"/>
    <x v="4"/>
    <x v="0"/>
    <n v="49519315"/>
    <s v="Crédito"/>
    <n v="6168781"/>
    <x v="115"/>
    <x v="2"/>
    <x v="0"/>
    <n v="867011"/>
    <n v="15867011"/>
  </r>
  <r>
    <x v="146"/>
    <x v="1"/>
    <x v="3"/>
    <n v="27661621"/>
    <s v="Crédito"/>
    <n v="2528684"/>
    <x v="116"/>
    <x v="5"/>
    <x v="1"/>
    <n v="502659"/>
    <n v="15502659"/>
  </r>
  <r>
    <x v="147"/>
    <x v="2"/>
    <x v="0"/>
    <n v="37465975"/>
    <s v="Transferencia"/>
    <n v="8861813"/>
    <x v="117"/>
    <x v="2"/>
    <x v="3"/>
    <n v="572083"/>
    <n v="15572083"/>
  </r>
  <r>
    <x v="148"/>
    <x v="3"/>
    <x v="0"/>
    <n v="3527264"/>
    <s v="Transferencia"/>
    <n v="809403"/>
    <x v="118"/>
    <x v="4"/>
    <x v="2"/>
    <n v="54357"/>
    <n v="15054357"/>
  </r>
  <r>
    <x v="149"/>
    <x v="4"/>
    <x v="3"/>
    <n v="15759419"/>
    <s v="Transferencia"/>
    <n v="430334"/>
    <x v="39"/>
    <x v="3"/>
    <x v="2"/>
    <n v="306582"/>
    <n v="15306582"/>
  </r>
  <r>
    <x v="150"/>
    <x v="2"/>
    <x v="2"/>
    <n v="2654008"/>
    <s v="Crédito"/>
    <n v="3487624"/>
    <x v="119"/>
    <x v="7"/>
    <x v="5"/>
    <n v="461049"/>
    <n v="15461049"/>
  </r>
  <r>
    <x v="151"/>
    <x v="4"/>
    <x v="2"/>
    <n v="21927926"/>
    <s v="Transferencia"/>
    <n v="662978"/>
    <x v="120"/>
    <x v="0"/>
    <x v="1"/>
    <n v="425299"/>
    <n v="15425299"/>
  </r>
  <r>
    <x v="152"/>
    <x v="6"/>
    <x v="3"/>
    <n v="30859846"/>
    <s v="Crédito"/>
    <n v="802202"/>
    <x v="121"/>
    <x v="2"/>
    <x v="2"/>
    <n v="601153"/>
    <n v="15601153"/>
  </r>
  <r>
    <x v="153"/>
    <x v="1"/>
    <x v="2"/>
    <n v="12639999"/>
    <s v="Transferencia"/>
    <n v="2358006"/>
    <x v="102"/>
    <x v="1"/>
    <x v="0"/>
    <n v="20564"/>
    <n v="1520564"/>
  </r>
  <r>
    <x v="154"/>
    <x v="0"/>
    <x v="2"/>
    <n v="36543019"/>
    <s v="Transferencia"/>
    <n v="2892786"/>
    <x v="122"/>
    <x v="5"/>
    <x v="4"/>
    <n v="673005"/>
    <n v="15673005"/>
  </r>
  <r>
    <x v="155"/>
    <x v="8"/>
    <x v="3"/>
    <n v="45151902"/>
    <s v="Crédito"/>
    <n v="7599899"/>
    <x v="99"/>
    <x v="6"/>
    <x v="1"/>
    <n v="75104"/>
    <n v="1575104"/>
  </r>
  <r>
    <x v="156"/>
    <x v="2"/>
    <x v="3"/>
    <n v="23975413"/>
    <s v="Transferencia"/>
    <n v="38945"/>
    <x v="123"/>
    <x v="4"/>
    <x v="0"/>
    <n v="478729"/>
    <n v="15478729"/>
  </r>
  <r>
    <x v="157"/>
    <x v="2"/>
    <x v="2"/>
    <n v="40554251"/>
    <s v="Crédito"/>
    <n v="177721"/>
    <x v="124"/>
    <x v="5"/>
    <x v="4"/>
    <n v="807531"/>
    <n v="15807531"/>
  </r>
  <r>
    <x v="158"/>
    <x v="6"/>
    <x v="4"/>
    <n v="35299046"/>
    <s v="Crédito"/>
    <n v="6899844"/>
    <x v="25"/>
    <x v="8"/>
    <x v="2"/>
    <n v="567984"/>
    <n v="15567984"/>
  </r>
  <r>
    <x v="159"/>
    <x v="9"/>
    <x v="2"/>
    <n v="32843166"/>
    <s v="Crédito"/>
    <n v="5752281"/>
    <x v="125"/>
    <x v="2"/>
    <x v="1"/>
    <n v="541818"/>
    <n v="15541818"/>
  </r>
  <r>
    <x v="160"/>
    <x v="3"/>
    <x v="3"/>
    <n v="3830995"/>
    <s v="Transferencia"/>
    <n v="376326"/>
    <x v="126"/>
    <x v="0"/>
    <x v="1"/>
    <n v="69093"/>
    <n v="15069093"/>
  </r>
  <r>
    <x v="161"/>
    <x v="1"/>
    <x v="4"/>
    <n v="9287637"/>
    <s v="Crédito"/>
    <n v="14335"/>
    <x v="127"/>
    <x v="9"/>
    <x v="0"/>
    <n v="185466"/>
    <n v="15185466"/>
  </r>
  <r>
    <x v="162"/>
    <x v="2"/>
    <x v="4"/>
    <n v="40156235"/>
    <s v="Efectivo"/>
    <n v="634624"/>
    <x v="128"/>
    <x v="5"/>
    <x v="2"/>
    <n v="67620"/>
    <n v="1567620"/>
  </r>
  <r>
    <x v="163"/>
    <x v="6"/>
    <x v="1"/>
    <n v="38389118"/>
    <s v="Crédito"/>
    <n v="1723605"/>
    <x v="57"/>
    <x v="0"/>
    <x v="0"/>
    <n v="73331"/>
    <n v="1573331"/>
  </r>
  <r>
    <x v="164"/>
    <x v="8"/>
    <x v="3"/>
    <n v="36960253"/>
    <s v="Crédito"/>
    <n v="174537"/>
    <x v="129"/>
    <x v="4"/>
    <x v="5"/>
    <n v="735714"/>
    <n v="15735714"/>
  </r>
  <r>
    <x v="165"/>
    <x v="4"/>
    <x v="4"/>
    <n v="2216055"/>
    <s v="Transferencia"/>
    <n v="3665494"/>
    <x v="6"/>
    <x v="8"/>
    <x v="0"/>
    <n v="369901"/>
    <n v="15369901"/>
  </r>
  <r>
    <x v="166"/>
    <x v="4"/>
    <x v="4"/>
    <n v="36425628"/>
    <s v="Crédito"/>
    <n v="8088949"/>
    <x v="130"/>
    <x v="8"/>
    <x v="4"/>
    <n v="566734"/>
    <n v="15566734"/>
  </r>
  <r>
    <x v="167"/>
    <x v="6"/>
    <x v="1"/>
    <n v="28970033"/>
    <s v="Efectivo"/>
    <n v="3101603"/>
    <x v="131"/>
    <x v="6"/>
    <x v="0"/>
    <n v="517369"/>
    <n v="15517369"/>
  </r>
  <r>
    <x v="168"/>
    <x v="6"/>
    <x v="3"/>
    <n v="8160817"/>
    <s v="Transferencia"/>
    <n v="1391231"/>
    <x v="132"/>
    <x v="6"/>
    <x v="3"/>
    <n v="135392"/>
    <n v="15135392"/>
  </r>
  <r>
    <x v="169"/>
    <x v="3"/>
    <x v="2"/>
    <n v="12413422"/>
    <s v="Transferencia"/>
    <n v="479053"/>
    <x v="28"/>
    <x v="5"/>
    <x v="4"/>
    <n v="238687"/>
    <n v="15238687"/>
  </r>
  <r>
    <x v="170"/>
    <x v="2"/>
    <x v="1"/>
    <n v="7945334"/>
    <s v="Efectivo"/>
    <n v="1183579"/>
    <x v="52"/>
    <x v="9"/>
    <x v="2"/>
    <n v="135235"/>
    <n v="15135235"/>
  </r>
  <r>
    <x v="171"/>
    <x v="2"/>
    <x v="2"/>
    <n v="5285255"/>
    <s v="Transferencia"/>
    <n v="485839"/>
    <x v="133"/>
    <x v="6"/>
    <x v="1"/>
    <n v="95988"/>
    <n v="15095988"/>
  </r>
  <r>
    <x v="172"/>
    <x v="7"/>
    <x v="3"/>
    <n v="36035823"/>
    <s v="Efectivo"/>
    <n v="5811199"/>
    <x v="129"/>
    <x v="6"/>
    <x v="1"/>
    <n v="604492"/>
    <n v="15604492"/>
  </r>
  <r>
    <x v="173"/>
    <x v="6"/>
    <x v="4"/>
    <n v="27177801"/>
    <s v="Transferencia"/>
    <n v="5288168"/>
    <x v="134"/>
    <x v="1"/>
    <x v="2"/>
    <n v="437793"/>
    <n v="15437793"/>
  </r>
  <r>
    <x v="174"/>
    <x v="8"/>
    <x v="3"/>
    <n v="38275231"/>
    <s v="Crédito"/>
    <n v="4263529"/>
    <x v="135"/>
    <x v="1"/>
    <x v="4"/>
    <n v="680234"/>
    <n v="15680234"/>
  </r>
  <r>
    <x v="175"/>
    <x v="1"/>
    <x v="1"/>
    <n v="45855153"/>
    <s v="Transferencia"/>
    <n v="1973588"/>
    <x v="136"/>
    <x v="9"/>
    <x v="1"/>
    <n v="877631"/>
    <n v="15877631"/>
  </r>
  <r>
    <x v="176"/>
    <x v="9"/>
    <x v="3"/>
    <n v="32839879"/>
    <s v="Transferencia"/>
    <n v="5083464"/>
    <x v="137"/>
    <x v="8"/>
    <x v="5"/>
    <n v="555128"/>
    <n v="15555128"/>
  </r>
  <r>
    <x v="177"/>
    <x v="9"/>
    <x v="0"/>
    <n v="41125641"/>
    <s v="Transferencia"/>
    <n v="9673798"/>
    <x v="138"/>
    <x v="2"/>
    <x v="3"/>
    <n v="629037"/>
    <n v="15629037"/>
  </r>
  <r>
    <x v="178"/>
    <x v="2"/>
    <x v="4"/>
    <n v="47060366"/>
    <s v="Crédito"/>
    <n v="9706059"/>
    <x v="139"/>
    <x v="4"/>
    <x v="2"/>
    <n v="747086"/>
    <n v="15747086"/>
  </r>
  <r>
    <x v="179"/>
    <x v="4"/>
    <x v="4"/>
    <n v="14902759"/>
    <s v="Efectivo"/>
    <n v="1945893"/>
    <x v="140"/>
    <x v="5"/>
    <x v="0"/>
    <n v="259137"/>
    <n v="15259137"/>
  </r>
  <r>
    <x v="180"/>
    <x v="3"/>
    <x v="4"/>
    <n v="30079652"/>
    <s v="Transferencia"/>
    <n v="3250296"/>
    <x v="141"/>
    <x v="6"/>
    <x v="2"/>
    <n v="536587"/>
    <n v="15536587"/>
  </r>
  <r>
    <x v="181"/>
    <x v="5"/>
    <x v="2"/>
    <n v="14170784"/>
    <s v="Crédito"/>
    <n v="3112182"/>
    <x v="142"/>
    <x v="4"/>
    <x v="2"/>
    <n v="221172"/>
    <n v="15221172"/>
  </r>
  <r>
    <x v="182"/>
    <x v="3"/>
    <x v="3"/>
    <n v="18476725"/>
    <s v="Crédito"/>
    <n v="93127"/>
    <x v="143"/>
    <x v="4"/>
    <x v="2"/>
    <n v="350909"/>
    <n v="15350909"/>
  </r>
  <r>
    <x v="183"/>
    <x v="6"/>
    <x v="1"/>
    <n v="10094328"/>
    <s v="Crédito"/>
    <n v="1215444"/>
    <x v="144"/>
    <x v="7"/>
    <x v="0"/>
    <n v="177578"/>
    <n v="15177578"/>
  </r>
  <r>
    <x v="184"/>
    <x v="1"/>
    <x v="2"/>
    <n v="24328044"/>
    <s v="Efectivo"/>
    <n v="229009"/>
    <x v="145"/>
    <x v="4"/>
    <x v="2"/>
    <n v="440759"/>
    <n v="15440759"/>
  </r>
  <r>
    <x v="185"/>
    <x v="3"/>
    <x v="2"/>
    <n v="42277612"/>
    <s v="Crédito"/>
    <n v="5393886"/>
    <x v="50"/>
    <x v="6"/>
    <x v="3"/>
    <n v="737675"/>
    <n v="15737675"/>
  </r>
  <r>
    <x v="186"/>
    <x v="0"/>
    <x v="1"/>
    <n v="20288837"/>
    <s v="Efectivo"/>
    <n v="4385424"/>
    <x v="146"/>
    <x v="7"/>
    <x v="0"/>
    <n v="318068"/>
    <n v="15318068"/>
  </r>
  <r>
    <x v="187"/>
    <x v="1"/>
    <x v="4"/>
    <n v="21739785"/>
    <s v="Transferencia"/>
    <n v="910335"/>
    <x v="126"/>
    <x v="1"/>
    <x v="5"/>
    <n v="416589"/>
    <n v="15416589"/>
  </r>
  <r>
    <x v="188"/>
    <x v="1"/>
    <x v="3"/>
    <n v="39832579"/>
    <s v="Transferencia"/>
    <n v="4266084"/>
    <x v="110"/>
    <x v="0"/>
    <x v="5"/>
    <n v="71133"/>
    <n v="1571133"/>
  </r>
  <r>
    <x v="189"/>
    <x v="0"/>
    <x v="3"/>
    <n v="34766057"/>
    <s v="Transferencia"/>
    <n v="3791485"/>
    <x v="25"/>
    <x v="5"/>
    <x v="2"/>
    <n v="619491"/>
    <n v="15619491"/>
  </r>
  <r>
    <x v="190"/>
    <x v="8"/>
    <x v="2"/>
    <n v="29157547"/>
    <s v="Crédito"/>
    <n v="4346456"/>
    <x v="123"/>
    <x v="2"/>
    <x v="5"/>
    <n v="496222"/>
    <n v="15496222"/>
  </r>
  <r>
    <x v="191"/>
    <x v="8"/>
    <x v="4"/>
    <n v="38059648"/>
    <s v="Efectivo"/>
    <n v="552738"/>
    <x v="13"/>
    <x v="8"/>
    <x v="1"/>
    <n v="750138"/>
    <n v="15750138"/>
  </r>
  <r>
    <x v="192"/>
    <x v="6"/>
    <x v="3"/>
    <n v="28795267"/>
    <s v="Crédito"/>
    <n v="44754"/>
    <x v="147"/>
    <x v="7"/>
    <x v="1"/>
    <n v="57501"/>
    <n v="1557501"/>
  </r>
  <r>
    <x v="193"/>
    <x v="2"/>
    <x v="0"/>
    <n v="2980768"/>
    <s v="Efectivo"/>
    <n v="212152"/>
    <x v="148"/>
    <x v="0"/>
    <x v="5"/>
    <n v="55372"/>
    <n v="15055372"/>
  </r>
  <r>
    <x v="194"/>
    <x v="0"/>
    <x v="4"/>
    <n v="20309037"/>
    <s v="Crédito"/>
    <n v="45851"/>
    <x v="38"/>
    <x v="7"/>
    <x v="3"/>
    <n v="397011"/>
    <n v="15397011"/>
  </r>
  <r>
    <x v="195"/>
    <x v="0"/>
    <x v="4"/>
    <n v="268392"/>
    <s v="Efectivo"/>
    <n v="451802"/>
    <x v="117"/>
    <x v="8"/>
    <x v="1"/>
    <n v="44642"/>
    <n v="15044642"/>
  </r>
  <r>
    <x v="196"/>
    <x v="3"/>
    <x v="2"/>
    <n v="34644202"/>
    <s v="Transferencia"/>
    <n v="3108311"/>
    <x v="149"/>
    <x v="5"/>
    <x v="1"/>
    <n v="630718"/>
    <n v="15630718"/>
  </r>
  <r>
    <x v="197"/>
    <x v="6"/>
    <x v="1"/>
    <n v="41343699"/>
    <s v="Crédito"/>
    <n v="2187017"/>
    <x v="150"/>
    <x v="6"/>
    <x v="1"/>
    <n v="783134"/>
    <n v="15783134"/>
  </r>
  <r>
    <x v="198"/>
    <x v="6"/>
    <x v="3"/>
    <n v="11384071"/>
    <s v="Crédito"/>
    <n v="1825203"/>
    <x v="151"/>
    <x v="6"/>
    <x v="5"/>
    <n v="191177"/>
    <n v="15191177"/>
  </r>
  <r>
    <x v="199"/>
    <x v="0"/>
    <x v="0"/>
    <n v="3044149"/>
    <s v="Efectivo"/>
    <n v="53567"/>
    <x v="152"/>
    <x v="3"/>
    <x v="4"/>
    <n v="59812"/>
    <n v="15059812"/>
  </r>
  <r>
    <x v="200"/>
    <x v="6"/>
    <x v="3"/>
    <n v="5014294"/>
    <s v="Transferencia"/>
    <n v="1157436"/>
    <x v="153"/>
    <x v="6"/>
    <x v="1"/>
    <n v="77137"/>
    <n v="15077137"/>
  </r>
  <r>
    <x v="201"/>
    <x v="2"/>
    <x v="3"/>
    <n v="10190217"/>
    <s v="Crédito"/>
    <n v="1617366"/>
    <x v="154"/>
    <x v="2"/>
    <x v="1"/>
    <n v="171457"/>
    <n v="15171457"/>
  </r>
  <r>
    <x v="202"/>
    <x v="2"/>
    <x v="2"/>
    <n v="20333789"/>
    <s v="Efectivo"/>
    <n v="176155"/>
    <x v="67"/>
    <x v="5"/>
    <x v="4"/>
    <n v="403153"/>
    <n v="15403153"/>
  </r>
  <r>
    <x v="203"/>
    <x v="1"/>
    <x v="2"/>
    <n v="35504693"/>
    <s v="Efectivo"/>
    <n v="1205387"/>
    <x v="33"/>
    <x v="5"/>
    <x v="3"/>
    <n v="685986"/>
    <n v="15685986"/>
  </r>
  <r>
    <x v="204"/>
    <x v="0"/>
    <x v="3"/>
    <n v="34186754"/>
    <s v="Transferencia"/>
    <n v="4297435"/>
    <x v="73"/>
    <x v="7"/>
    <x v="1"/>
    <n v="597786"/>
    <n v="15597786"/>
  </r>
  <r>
    <x v="205"/>
    <x v="7"/>
    <x v="0"/>
    <n v="3813170"/>
    <s v="Crédito"/>
    <n v="9137728"/>
    <x v="95"/>
    <x v="0"/>
    <x v="4"/>
    <n v="579879"/>
    <n v="15579879"/>
  </r>
  <r>
    <x v="206"/>
    <x v="9"/>
    <x v="2"/>
    <n v="3407983"/>
    <s v="Crédito"/>
    <n v="1408841"/>
    <x v="155"/>
    <x v="3"/>
    <x v="0"/>
    <n v="65342"/>
    <n v="1565342"/>
  </r>
  <r>
    <x v="207"/>
    <x v="3"/>
    <x v="3"/>
    <n v="26525599"/>
    <s v="Transferencia"/>
    <n v="5660519"/>
    <x v="2"/>
    <x v="6"/>
    <x v="0"/>
    <n v="417302"/>
    <n v="15417302"/>
  </r>
  <r>
    <x v="208"/>
    <x v="3"/>
    <x v="4"/>
    <n v="39959021"/>
    <s v="Transferencia"/>
    <n v="1581513"/>
    <x v="156"/>
    <x v="0"/>
    <x v="4"/>
    <n v="76755"/>
    <n v="1576755"/>
  </r>
  <r>
    <x v="209"/>
    <x v="5"/>
    <x v="2"/>
    <n v="1736958"/>
    <s v="Transferencia"/>
    <n v="36162"/>
    <x v="47"/>
    <x v="9"/>
    <x v="3"/>
    <n v="346668"/>
    <n v="15346668"/>
  </r>
  <r>
    <x v="210"/>
    <x v="2"/>
    <x v="2"/>
    <n v="2133563"/>
    <s v="Crédito"/>
    <n v="344402"/>
    <x v="157"/>
    <x v="7"/>
    <x v="1"/>
    <n v="35783"/>
    <n v="15035783"/>
  </r>
  <r>
    <x v="211"/>
    <x v="5"/>
    <x v="1"/>
    <n v="7789251"/>
    <s v="Crédito"/>
    <n v="1911896"/>
    <x v="158"/>
    <x v="0"/>
    <x v="2"/>
    <n v="117547"/>
    <n v="15117547"/>
  </r>
  <r>
    <x v="212"/>
    <x v="1"/>
    <x v="0"/>
    <n v="23527392"/>
    <s v="Efectivo"/>
    <n v="5662097"/>
    <x v="49"/>
    <x v="1"/>
    <x v="5"/>
    <n v="357306"/>
    <n v="15357306"/>
  </r>
  <r>
    <x v="213"/>
    <x v="3"/>
    <x v="3"/>
    <n v="25431181"/>
    <s v="Transferencia"/>
    <n v="729971"/>
    <x v="159"/>
    <x v="0"/>
    <x v="3"/>
    <n v="494024"/>
    <n v="15494024"/>
  </r>
  <r>
    <x v="214"/>
    <x v="2"/>
    <x v="3"/>
    <n v="7412176"/>
    <s v="Efectivo"/>
    <n v="1665125"/>
    <x v="148"/>
    <x v="6"/>
    <x v="2"/>
    <n v="114941"/>
    <n v="15114941"/>
  </r>
  <r>
    <x v="215"/>
    <x v="7"/>
    <x v="1"/>
    <n v="41817038"/>
    <s v="Crédito"/>
    <n v="8590425"/>
    <x v="160"/>
    <x v="7"/>
    <x v="4"/>
    <n v="664532"/>
    <n v="15664532"/>
  </r>
  <r>
    <x v="216"/>
    <x v="4"/>
    <x v="3"/>
    <n v="45135166"/>
    <s v="Efectivo"/>
    <n v="10778205"/>
    <x v="57"/>
    <x v="2"/>
    <x v="5"/>
    <n v="687139"/>
    <n v="15687139"/>
  </r>
  <r>
    <x v="217"/>
    <x v="8"/>
    <x v="4"/>
    <n v="31063565"/>
    <s v="Efectivo"/>
    <n v="2386759"/>
    <x v="160"/>
    <x v="0"/>
    <x v="1"/>
    <n v="573536"/>
    <n v="15573536"/>
  </r>
  <r>
    <x v="218"/>
    <x v="8"/>
    <x v="4"/>
    <n v="2527365"/>
    <s v="Crédito"/>
    <n v="535647"/>
    <x v="8"/>
    <x v="2"/>
    <x v="1"/>
    <n v="39834"/>
    <n v="15039834"/>
  </r>
  <r>
    <x v="219"/>
    <x v="4"/>
    <x v="0"/>
    <n v="22477045"/>
    <s v="Crédito"/>
    <n v="5444454"/>
    <x v="21"/>
    <x v="0"/>
    <x v="2"/>
    <n v="340652"/>
    <n v="15340652"/>
  </r>
  <r>
    <x v="220"/>
    <x v="1"/>
    <x v="2"/>
    <n v="33382168"/>
    <s v="Efectivo"/>
    <n v="7690183"/>
    <x v="91"/>
    <x v="3"/>
    <x v="3"/>
    <n v="51384"/>
    <n v="1551384"/>
  </r>
  <r>
    <x v="221"/>
    <x v="4"/>
    <x v="1"/>
    <n v="21359197"/>
    <s v="Crédito"/>
    <n v="2515518"/>
    <x v="161"/>
    <x v="7"/>
    <x v="4"/>
    <n v="376874"/>
    <n v="15376874"/>
  </r>
  <r>
    <x v="222"/>
    <x v="3"/>
    <x v="0"/>
    <n v="19449408"/>
    <s v="Efectivo"/>
    <n v="257259"/>
    <x v="162"/>
    <x v="8"/>
    <x v="4"/>
    <n v="383843"/>
    <n v="15383843"/>
  </r>
  <r>
    <x v="223"/>
    <x v="2"/>
    <x v="1"/>
    <n v="15422761"/>
    <s v="Efectivo"/>
    <n v="3419802"/>
    <x v="163"/>
    <x v="3"/>
    <x v="3"/>
    <n v="240059"/>
    <n v="15240059"/>
  </r>
  <r>
    <x v="224"/>
    <x v="0"/>
    <x v="2"/>
    <n v="15705431"/>
    <s v="Efectivo"/>
    <n v="133499"/>
    <x v="116"/>
    <x v="7"/>
    <x v="0"/>
    <n v="287409"/>
    <n v="15287409"/>
  </r>
  <r>
    <x v="225"/>
    <x v="9"/>
    <x v="1"/>
    <n v="26201673"/>
    <s v="Crédito"/>
    <n v="3977646"/>
    <x v="134"/>
    <x v="7"/>
    <x v="1"/>
    <n v="444481"/>
    <n v="15444481"/>
  </r>
  <r>
    <x v="226"/>
    <x v="9"/>
    <x v="1"/>
    <n v="48375865"/>
    <s v="Efectivo"/>
    <n v="9554773"/>
    <x v="164"/>
    <x v="3"/>
    <x v="5"/>
    <n v="776422"/>
    <n v="15776422"/>
  </r>
  <r>
    <x v="227"/>
    <x v="0"/>
    <x v="0"/>
    <n v="21244463"/>
    <s v="Crédito"/>
    <n v="996074"/>
    <x v="63"/>
    <x v="1"/>
    <x v="0"/>
    <n v="404968"/>
    <n v="15404968"/>
  </r>
  <r>
    <x v="228"/>
    <x v="4"/>
    <x v="2"/>
    <n v="21075946"/>
    <s v="Transferencia"/>
    <n v="467222"/>
    <x v="165"/>
    <x v="4"/>
    <x v="3"/>
    <n v="412174"/>
    <n v="15412174"/>
  </r>
  <r>
    <x v="229"/>
    <x v="6"/>
    <x v="4"/>
    <n v="34088597"/>
    <s v="Efectivo"/>
    <n v="5910065"/>
    <x v="12"/>
    <x v="4"/>
    <x v="1"/>
    <n v="563571"/>
    <n v="15563571"/>
  </r>
  <r>
    <x v="230"/>
    <x v="5"/>
    <x v="1"/>
    <n v="43967554"/>
    <s v="Efectivo"/>
    <n v="685882"/>
    <x v="156"/>
    <x v="7"/>
    <x v="0"/>
    <n v="742175"/>
    <n v="15742175"/>
  </r>
  <r>
    <x v="231"/>
    <x v="9"/>
    <x v="4"/>
    <n v="40733967"/>
    <s v="Efectivo"/>
    <n v="7936691"/>
    <x v="166"/>
    <x v="3"/>
    <x v="5"/>
    <n v="655946"/>
    <n v="15655946"/>
  </r>
  <r>
    <x v="232"/>
    <x v="2"/>
    <x v="2"/>
    <n v="42481129"/>
    <s v="Transferencia"/>
    <n v="5464092"/>
    <x v="167"/>
    <x v="9"/>
    <x v="1"/>
    <n v="740341"/>
    <n v="15740341"/>
  </r>
  <r>
    <x v="233"/>
    <x v="3"/>
    <x v="2"/>
    <n v="12268886"/>
    <s v="Efectivo"/>
    <n v="1816602"/>
    <x v="135"/>
    <x v="7"/>
    <x v="5"/>
    <n v="209046"/>
    <n v="15209046"/>
  </r>
  <r>
    <x v="234"/>
    <x v="4"/>
    <x v="3"/>
    <n v="41254906"/>
    <s v="Crédito"/>
    <n v="1738367"/>
    <x v="90"/>
    <x v="1"/>
    <x v="5"/>
    <n v="790331"/>
    <n v="15790331"/>
  </r>
  <r>
    <x v="235"/>
    <x v="1"/>
    <x v="0"/>
    <n v="6080084"/>
    <s v="Transferencia"/>
    <n v="972585"/>
    <x v="168"/>
    <x v="9"/>
    <x v="5"/>
    <n v="10215"/>
    <n v="1510215"/>
  </r>
  <r>
    <x v="236"/>
    <x v="1"/>
    <x v="3"/>
    <n v="14415342"/>
    <s v="Transferencia"/>
    <n v="3476392"/>
    <x v="169"/>
    <x v="7"/>
    <x v="2"/>
    <n v="218779"/>
    <n v="15218779"/>
  </r>
  <r>
    <x v="237"/>
    <x v="9"/>
    <x v="4"/>
    <n v="46308511"/>
    <s v="Crédito"/>
    <n v="8580247"/>
    <x v="14"/>
    <x v="3"/>
    <x v="5"/>
    <n v="754565"/>
    <n v="15754565"/>
  </r>
  <r>
    <x v="238"/>
    <x v="0"/>
    <x v="3"/>
    <n v="2024694"/>
    <s v="Efectivo"/>
    <n v="443984"/>
    <x v="170"/>
    <x v="9"/>
    <x v="2"/>
    <n v="31614"/>
    <n v="15031614"/>
  </r>
  <r>
    <x v="239"/>
    <x v="4"/>
    <x v="3"/>
    <n v="22187546"/>
    <s v="Efectivo"/>
    <n v="1131226"/>
    <x v="47"/>
    <x v="7"/>
    <x v="1"/>
    <n v="421126"/>
    <n v="15421126"/>
  </r>
  <r>
    <x v="240"/>
    <x v="1"/>
    <x v="3"/>
    <n v="23932233"/>
    <s v="Transferencia"/>
    <n v="3065764"/>
    <x v="90"/>
    <x v="4"/>
    <x v="4"/>
    <n v="417329"/>
    <n v="15417329"/>
  </r>
  <r>
    <x v="241"/>
    <x v="9"/>
    <x v="4"/>
    <n v="19418805"/>
    <s v="Efectivo"/>
    <n v="4194367"/>
    <x v="167"/>
    <x v="6"/>
    <x v="2"/>
    <n v="304489"/>
    <n v="15304489"/>
  </r>
  <r>
    <x v="242"/>
    <x v="6"/>
    <x v="4"/>
    <n v="33551813"/>
    <s v="Crédito"/>
    <n v="1622653"/>
    <x v="66"/>
    <x v="8"/>
    <x v="0"/>
    <n v="638583"/>
    <n v="15638583"/>
  </r>
  <r>
    <x v="243"/>
    <x v="1"/>
    <x v="4"/>
    <n v="38632182"/>
    <s v="Efectivo"/>
    <n v="8700718"/>
    <x v="160"/>
    <x v="9"/>
    <x v="3"/>
    <n v="598629"/>
    <n v="15598629"/>
  </r>
  <r>
    <x v="244"/>
    <x v="0"/>
    <x v="4"/>
    <n v="24482784"/>
    <s v="Efectivo"/>
    <n v="1778241"/>
    <x v="171"/>
    <x v="9"/>
    <x v="3"/>
    <n v="454091"/>
    <n v="15454091"/>
  </r>
  <r>
    <x v="245"/>
    <x v="6"/>
    <x v="1"/>
    <n v="2793377"/>
    <s v="Transferencia"/>
    <n v="2497802"/>
    <x v="172"/>
    <x v="5"/>
    <x v="4"/>
    <n v="508719"/>
    <n v="15508719"/>
  </r>
  <r>
    <x v="246"/>
    <x v="2"/>
    <x v="1"/>
    <n v="585018"/>
    <s v="Efectivo"/>
    <n v="678298"/>
    <x v="109"/>
    <x v="4"/>
    <x v="1"/>
    <n v="103438"/>
    <n v="15103438"/>
  </r>
  <r>
    <x v="247"/>
    <x v="0"/>
    <x v="4"/>
    <n v="7005647"/>
    <s v="Crédito"/>
    <n v="66903"/>
    <x v="173"/>
    <x v="3"/>
    <x v="4"/>
    <n v="138775"/>
    <n v="15138775"/>
  </r>
  <r>
    <x v="248"/>
    <x v="0"/>
    <x v="3"/>
    <n v="30829991"/>
    <s v="Crédito"/>
    <n v="4648537"/>
    <x v="174"/>
    <x v="1"/>
    <x v="2"/>
    <n v="523629"/>
    <n v="15523629"/>
  </r>
  <r>
    <x v="249"/>
    <x v="1"/>
    <x v="0"/>
    <n v="1613003"/>
    <s v="Crédito"/>
    <n v="1171244"/>
    <x v="152"/>
    <x v="0"/>
    <x v="0"/>
    <n v="299176"/>
    <n v="15299176"/>
  </r>
  <r>
    <x v="250"/>
    <x v="4"/>
    <x v="3"/>
    <n v="14645084"/>
    <s v="Transferencia"/>
    <n v="1467065"/>
    <x v="21"/>
    <x v="9"/>
    <x v="3"/>
    <n v="26356"/>
    <n v="1526356"/>
  </r>
  <r>
    <x v="251"/>
    <x v="1"/>
    <x v="3"/>
    <n v="33087535"/>
    <s v="Crédito"/>
    <n v="4931545"/>
    <x v="175"/>
    <x v="0"/>
    <x v="4"/>
    <n v="56312"/>
    <n v="1556312"/>
  </r>
  <r>
    <x v="252"/>
    <x v="1"/>
    <x v="2"/>
    <n v="27481701"/>
    <s v="Transferencia"/>
    <n v="489714"/>
    <x v="176"/>
    <x v="8"/>
    <x v="5"/>
    <n v="53984"/>
    <n v="1553984"/>
  </r>
  <r>
    <x v="253"/>
    <x v="5"/>
    <x v="0"/>
    <n v="14544449"/>
    <s v="Efectivo"/>
    <n v="187228"/>
    <x v="154"/>
    <x v="1"/>
    <x v="3"/>
    <n v="253443"/>
    <n v="15253443"/>
  </r>
  <r>
    <x v="254"/>
    <x v="1"/>
    <x v="2"/>
    <n v="46156855"/>
    <s v="Efectivo"/>
    <n v="7937371"/>
    <x v="177"/>
    <x v="6"/>
    <x v="2"/>
    <n v="76439"/>
    <n v="1576439"/>
  </r>
  <r>
    <x v="255"/>
    <x v="6"/>
    <x v="3"/>
    <n v="9510711"/>
    <s v="Crédito"/>
    <n v="1849092"/>
    <x v="178"/>
    <x v="3"/>
    <x v="0"/>
    <n v="153232"/>
    <n v="15153232"/>
  </r>
  <r>
    <x v="256"/>
    <x v="3"/>
    <x v="1"/>
    <n v="1926798"/>
    <s v="Efectivo"/>
    <n v="61378"/>
    <x v="86"/>
    <x v="1"/>
    <x v="4"/>
    <n v="37308"/>
    <n v="15037308"/>
  </r>
  <r>
    <x v="257"/>
    <x v="4"/>
    <x v="1"/>
    <n v="12129427"/>
    <s v="Crédito"/>
    <n v="2659678"/>
    <x v="179"/>
    <x v="2"/>
    <x v="0"/>
    <n v="189395"/>
    <n v="15189395"/>
  </r>
  <r>
    <x v="258"/>
    <x v="5"/>
    <x v="3"/>
    <n v="6213416"/>
    <s v="Efectivo"/>
    <n v="1061547"/>
    <x v="180"/>
    <x v="6"/>
    <x v="0"/>
    <n v="103037"/>
    <n v="15103037"/>
  </r>
  <r>
    <x v="259"/>
    <x v="2"/>
    <x v="3"/>
    <n v="17739812"/>
    <s v="Crédito"/>
    <n v="4341445"/>
    <x v="117"/>
    <x v="5"/>
    <x v="1"/>
    <n v="267967"/>
    <n v="15267967"/>
  </r>
  <r>
    <x v="260"/>
    <x v="4"/>
    <x v="1"/>
    <n v="8703547"/>
    <s v="Efectivo"/>
    <n v="199171"/>
    <x v="181"/>
    <x v="8"/>
    <x v="3"/>
    <n v="170088"/>
    <n v="15170088"/>
  </r>
  <r>
    <x v="261"/>
    <x v="7"/>
    <x v="2"/>
    <n v="32866493"/>
    <s v="Transferencia"/>
    <n v="5030724"/>
    <x v="82"/>
    <x v="7"/>
    <x v="4"/>
    <n v="556715"/>
    <n v="15556715"/>
  </r>
  <r>
    <x v="262"/>
    <x v="3"/>
    <x v="2"/>
    <n v="40668259"/>
    <s v="Efectivo"/>
    <n v="5340169"/>
    <x v="182"/>
    <x v="0"/>
    <x v="5"/>
    <n v="706562"/>
    <n v="15706562"/>
  </r>
  <r>
    <x v="263"/>
    <x v="5"/>
    <x v="2"/>
    <n v="34382808"/>
    <s v="Transferencia"/>
    <n v="4446701"/>
    <x v="183"/>
    <x v="9"/>
    <x v="1"/>
    <n v="598722"/>
    <n v="15598722"/>
  </r>
  <r>
    <x v="264"/>
    <x v="4"/>
    <x v="2"/>
    <n v="29608725"/>
    <s v="Crédito"/>
    <n v="3015202"/>
    <x v="155"/>
    <x v="7"/>
    <x v="3"/>
    <n v="53187"/>
    <n v="1553187"/>
  </r>
  <r>
    <x v="265"/>
    <x v="3"/>
    <x v="2"/>
    <n v="6534607"/>
    <s v="Efectivo"/>
    <n v="961943"/>
    <x v="107"/>
    <x v="3"/>
    <x v="3"/>
    <n v="111453"/>
    <n v="15111453"/>
  </r>
  <r>
    <x v="266"/>
    <x v="5"/>
    <x v="0"/>
    <n v="26896105"/>
    <s v="Crédito"/>
    <n v="3148608"/>
    <x v="118"/>
    <x v="6"/>
    <x v="2"/>
    <n v="47495"/>
    <n v="1547495"/>
  </r>
  <r>
    <x v="267"/>
    <x v="6"/>
    <x v="3"/>
    <n v="18993559"/>
    <s v="Transferencia"/>
    <n v="318044"/>
    <x v="184"/>
    <x v="0"/>
    <x v="4"/>
    <n v="37351"/>
    <n v="1537351"/>
  </r>
  <r>
    <x v="268"/>
    <x v="9"/>
    <x v="0"/>
    <n v="29130052"/>
    <s v="Crédito"/>
    <n v="81414"/>
    <x v="115"/>
    <x v="4"/>
    <x v="2"/>
    <n v="566318"/>
    <n v="15566318"/>
  </r>
  <r>
    <x v="269"/>
    <x v="0"/>
    <x v="4"/>
    <n v="5497404"/>
    <s v="Transferencia"/>
    <n v="418365"/>
    <x v="128"/>
    <x v="8"/>
    <x v="3"/>
    <n v="101581"/>
    <n v="15101581"/>
  </r>
  <r>
    <x v="270"/>
    <x v="4"/>
    <x v="3"/>
    <n v="11794202"/>
    <s v="Efectivo"/>
    <n v="41695"/>
    <x v="98"/>
    <x v="7"/>
    <x v="4"/>
    <n v="23505"/>
    <n v="1523505"/>
  </r>
  <r>
    <x v="271"/>
    <x v="7"/>
    <x v="1"/>
    <n v="15186151"/>
    <s v="Crédito"/>
    <n v="885357"/>
    <x v="37"/>
    <x v="9"/>
    <x v="4"/>
    <n v="286016"/>
    <n v="15286016"/>
  </r>
  <r>
    <x v="272"/>
    <x v="5"/>
    <x v="1"/>
    <n v="33406863"/>
    <s v="Transferencia"/>
    <n v="650062"/>
    <x v="59"/>
    <x v="0"/>
    <x v="0"/>
    <n v="655136"/>
    <n v="15655136"/>
  </r>
  <r>
    <x v="273"/>
    <x v="2"/>
    <x v="3"/>
    <n v="25001676"/>
    <s v="Efectivo"/>
    <n v="5770489"/>
    <x v="137"/>
    <x v="0"/>
    <x v="5"/>
    <n v="384624"/>
    <n v="15384624"/>
  </r>
  <r>
    <x v="274"/>
    <x v="3"/>
    <x v="0"/>
    <n v="47295479"/>
    <s v="Efectivo"/>
    <n v="1132947"/>
    <x v="5"/>
    <x v="9"/>
    <x v="3"/>
    <n v="923251"/>
    <n v="15923251"/>
  </r>
  <r>
    <x v="275"/>
    <x v="9"/>
    <x v="0"/>
    <n v="12029269"/>
    <s v="Efectivo"/>
    <n v="150344"/>
    <x v="93"/>
    <x v="9"/>
    <x v="2"/>
    <n v="237578"/>
    <n v="15237578"/>
  </r>
  <r>
    <x v="276"/>
    <x v="4"/>
    <x v="1"/>
    <n v="47820196"/>
    <s v="Transferencia"/>
    <n v="264717"/>
    <x v="168"/>
    <x v="9"/>
    <x v="4"/>
    <n v="903461"/>
    <n v="15903461"/>
  </r>
  <r>
    <x v="277"/>
    <x v="4"/>
    <x v="4"/>
    <n v="3157078"/>
    <s v="Efectivo"/>
    <n v="3879286"/>
    <x v="185"/>
    <x v="9"/>
    <x v="1"/>
    <n v="55383"/>
    <n v="1555383"/>
  </r>
  <r>
    <x v="278"/>
    <x v="7"/>
    <x v="0"/>
    <n v="18653565"/>
    <s v="Crédito"/>
    <n v="425881"/>
    <x v="161"/>
    <x v="8"/>
    <x v="5"/>
    <n v="287895"/>
    <n v="15287895"/>
  </r>
  <r>
    <x v="279"/>
    <x v="3"/>
    <x v="0"/>
    <n v="33209767"/>
    <s v="Crédito"/>
    <n v="4482171"/>
    <x v="104"/>
    <x v="8"/>
    <x v="5"/>
    <n v="574552"/>
    <n v="15574552"/>
  </r>
  <r>
    <x v="280"/>
    <x v="7"/>
    <x v="3"/>
    <n v="36462443"/>
    <s v="Crédito"/>
    <n v="239900"/>
    <x v="66"/>
    <x v="6"/>
    <x v="1"/>
    <n v="681269"/>
    <n v="15681269"/>
  </r>
  <r>
    <x v="281"/>
    <x v="8"/>
    <x v="2"/>
    <n v="9765267"/>
    <s v="Crédito"/>
    <n v="549671"/>
    <x v="128"/>
    <x v="1"/>
    <x v="3"/>
    <n v="184312"/>
    <n v="15184312"/>
  </r>
  <r>
    <x v="282"/>
    <x v="1"/>
    <x v="1"/>
    <n v="27483496"/>
    <s v="Efectivo"/>
    <n v="6365016"/>
    <x v="183"/>
    <x v="0"/>
    <x v="3"/>
    <n v="42237"/>
    <n v="1542237"/>
  </r>
  <r>
    <x v="283"/>
    <x v="5"/>
    <x v="0"/>
    <n v="19342302"/>
    <s v="Efectivo"/>
    <n v="3137848"/>
    <x v="148"/>
    <x v="8"/>
    <x v="5"/>
    <n v="324089"/>
    <n v="15324089"/>
  </r>
  <r>
    <x v="284"/>
    <x v="6"/>
    <x v="2"/>
    <n v="47677651"/>
    <s v="Transferencia"/>
    <n v="3594305"/>
    <x v="186"/>
    <x v="7"/>
    <x v="1"/>
    <n v="881667"/>
    <n v="15881667"/>
  </r>
  <r>
    <x v="285"/>
    <x v="6"/>
    <x v="1"/>
    <n v="4350124"/>
    <s v="Efectivo"/>
    <n v="386601"/>
    <x v="180"/>
    <x v="5"/>
    <x v="3"/>
    <n v="7927"/>
    <n v="1507927"/>
  </r>
  <r>
    <x v="286"/>
    <x v="5"/>
    <x v="0"/>
    <n v="48869128"/>
    <s v="Efectivo"/>
    <n v="912435"/>
    <x v="73"/>
    <x v="9"/>
    <x v="2"/>
    <n v="959134"/>
    <n v="15959134"/>
  </r>
  <r>
    <x v="287"/>
    <x v="9"/>
    <x v="4"/>
    <n v="12854297"/>
    <s v="Crédito"/>
    <n v="306029"/>
    <x v="175"/>
    <x v="8"/>
    <x v="2"/>
    <n v="19588"/>
    <n v="1519588"/>
  </r>
  <r>
    <x v="288"/>
    <x v="2"/>
    <x v="0"/>
    <n v="41057557"/>
    <s v="Transferencia"/>
    <n v="5186473"/>
    <x v="181"/>
    <x v="7"/>
    <x v="2"/>
    <n v="717422"/>
    <n v="15717422"/>
  </r>
  <r>
    <x v="289"/>
    <x v="9"/>
    <x v="3"/>
    <n v="41282789"/>
    <s v="Crédito"/>
    <n v="8932563"/>
    <x v="181"/>
    <x v="7"/>
    <x v="2"/>
    <n v="647005"/>
    <n v="15647005"/>
  </r>
  <r>
    <x v="290"/>
    <x v="9"/>
    <x v="3"/>
    <n v="49024035"/>
    <s v="Efectivo"/>
    <n v="410931"/>
    <x v="125"/>
    <x v="8"/>
    <x v="5"/>
    <n v="898294"/>
    <n v="15898294"/>
  </r>
  <r>
    <x v="291"/>
    <x v="2"/>
    <x v="4"/>
    <n v="3050483"/>
    <s v="Crédito"/>
    <n v="296707"/>
    <x v="187"/>
    <x v="5"/>
    <x v="2"/>
    <n v="55076"/>
    <n v="15055076"/>
  </r>
  <r>
    <x v="292"/>
    <x v="4"/>
    <x v="3"/>
    <n v="2078882"/>
    <s v="Efectivo"/>
    <n v="69629"/>
    <x v="188"/>
    <x v="5"/>
    <x v="2"/>
    <n v="40185"/>
    <n v="15040185"/>
  </r>
  <r>
    <x v="293"/>
    <x v="5"/>
    <x v="2"/>
    <n v="1329924"/>
    <s v="Efectivo"/>
    <n v="671211"/>
    <x v="189"/>
    <x v="8"/>
    <x v="4"/>
    <n v="252561"/>
    <n v="15252561"/>
  </r>
  <r>
    <x v="294"/>
    <x v="9"/>
    <x v="0"/>
    <n v="22801963"/>
    <s v="Transferencia"/>
    <n v="231208"/>
    <x v="190"/>
    <x v="7"/>
    <x v="4"/>
    <n v="451415"/>
    <n v="15451415"/>
  </r>
  <r>
    <x v="295"/>
    <x v="6"/>
    <x v="4"/>
    <n v="17019919"/>
    <s v="Efectivo"/>
    <n v="2280838"/>
    <x v="11"/>
    <x v="8"/>
    <x v="1"/>
    <n v="294782"/>
    <n v="15294782"/>
  </r>
  <r>
    <x v="296"/>
    <x v="6"/>
    <x v="1"/>
    <n v="4614284"/>
    <s v="Crédito"/>
    <n v="510128"/>
    <x v="0"/>
    <x v="6"/>
    <x v="4"/>
    <n v="82083"/>
    <n v="15082083"/>
  </r>
  <r>
    <x v="297"/>
    <x v="1"/>
    <x v="3"/>
    <n v="40726808"/>
    <s v="Efectivo"/>
    <n v="9570875"/>
    <x v="191"/>
    <x v="1"/>
    <x v="4"/>
    <n v="623119"/>
    <n v="15623119"/>
  </r>
  <r>
    <x v="298"/>
    <x v="6"/>
    <x v="1"/>
    <n v="19680679"/>
    <s v="Efectivo"/>
    <n v="152043"/>
    <x v="166"/>
    <x v="8"/>
    <x v="1"/>
    <n v="363205"/>
    <n v="15363205"/>
  </r>
  <r>
    <x v="299"/>
    <x v="3"/>
    <x v="4"/>
    <n v="224302"/>
    <s v="Efectivo"/>
    <n v="500336"/>
    <x v="192"/>
    <x v="4"/>
    <x v="2"/>
    <n v="34854"/>
    <n v="15034854"/>
  </r>
  <r>
    <x v="300"/>
    <x v="0"/>
    <x v="3"/>
    <n v="14813388"/>
    <s v="Efectivo"/>
    <n v="547954"/>
    <x v="134"/>
    <x v="3"/>
    <x v="5"/>
    <n v="285309"/>
    <n v="15285309"/>
  </r>
  <r>
    <x v="301"/>
    <x v="1"/>
    <x v="0"/>
    <n v="11347013"/>
    <s v="Transferencia"/>
    <n v="229497"/>
    <x v="172"/>
    <x v="1"/>
    <x v="0"/>
    <n v="181041"/>
    <n v="15181041"/>
  </r>
  <r>
    <x v="302"/>
    <x v="0"/>
    <x v="3"/>
    <n v="32538761"/>
    <s v="Transferencia"/>
    <n v="5668942"/>
    <x v="163"/>
    <x v="6"/>
    <x v="2"/>
    <n v="537396"/>
    <n v="15537396"/>
  </r>
  <r>
    <x v="303"/>
    <x v="2"/>
    <x v="4"/>
    <n v="49420965"/>
    <s v="Transferencia"/>
    <n v="587545"/>
    <x v="96"/>
    <x v="8"/>
    <x v="1"/>
    <n v="976668"/>
    <n v="15976668"/>
  </r>
  <r>
    <x v="304"/>
    <x v="9"/>
    <x v="1"/>
    <n v="35316314"/>
    <s v="Crédito"/>
    <n v="8246622"/>
    <x v="21"/>
    <x v="8"/>
    <x v="4"/>
    <n v="541394"/>
    <n v="15541394"/>
  </r>
  <r>
    <x v="305"/>
    <x v="7"/>
    <x v="2"/>
    <n v="43829485"/>
    <s v="Efectivo"/>
    <n v="2147836"/>
    <x v="193"/>
    <x v="3"/>
    <x v="0"/>
    <n v="833633"/>
    <n v="15833633"/>
  </r>
  <r>
    <x v="306"/>
    <x v="7"/>
    <x v="0"/>
    <n v="3396161"/>
    <s v="Crédito"/>
    <n v="1130165"/>
    <x v="194"/>
    <x v="7"/>
    <x v="4"/>
    <n v="656629"/>
    <n v="15656629"/>
  </r>
  <r>
    <x v="307"/>
    <x v="9"/>
    <x v="0"/>
    <n v="37372653"/>
    <s v="Transferencia"/>
    <n v="7547649"/>
    <x v="9"/>
    <x v="9"/>
    <x v="1"/>
    <n v="59650"/>
    <n v="1559650"/>
  </r>
  <r>
    <x v="308"/>
    <x v="0"/>
    <x v="0"/>
    <n v="6315852"/>
    <s v="Efectivo"/>
    <n v="1191527"/>
    <x v="186"/>
    <x v="3"/>
    <x v="2"/>
    <n v="102487"/>
    <n v="15102487"/>
  </r>
  <r>
    <x v="309"/>
    <x v="6"/>
    <x v="2"/>
    <n v="31690153"/>
    <s v="Efectivo"/>
    <n v="4142987"/>
    <x v="195"/>
    <x v="6"/>
    <x v="1"/>
    <n v="550943"/>
    <n v="15550943"/>
  </r>
  <r>
    <x v="310"/>
    <x v="4"/>
    <x v="1"/>
    <n v="7830592"/>
    <s v="Efectivo"/>
    <n v="226098"/>
    <x v="196"/>
    <x v="2"/>
    <x v="0"/>
    <n v="15209"/>
    <n v="1515209"/>
  </r>
  <r>
    <x v="311"/>
    <x v="2"/>
    <x v="3"/>
    <n v="27884727"/>
    <s v="Transferencia"/>
    <n v="2176163"/>
    <x v="197"/>
    <x v="7"/>
    <x v="2"/>
    <n v="514171"/>
    <n v="15514171"/>
  </r>
  <r>
    <x v="312"/>
    <x v="8"/>
    <x v="4"/>
    <n v="40346672"/>
    <s v="Efectivo"/>
    <n v="6064697"/>
    <x v="37"/>
    <x v="6"/>
    <x v="2"/>
    <n v="68564"/>
    <n v="1568564"/>
  </r>
  <r>
    <x v="313"/>
    <x v="6"/>
    <x v="3"/>
    <n v="36464027"/>
    <s v="Efectivo"/>
    <n v="6136082"/>
    <x v="198"/>
    <x v="7"/>
    <x v="3"/>
    <n v="606559"/>
    <n v="15606559"/>
  </r>
  <r>
    <x v="314"/>
    <x v="9"/>
    <x v="4"/>
    <n v="40527368"/>
    <s v="Transferencia"/>
    <n v="1207606"/>
    <x v="199"/>
    <x v="0"/>
    <x v="3"/>
    <n v="786395"/>
    <n v="15786395"/>
  </r>
  <r>
    <x v="315"/>
    <x v="5"/>
    <x v="1"/>
    <n v="36291273"/>
    <s v="Efectivo"/>
    <n v="7487806"/>
    <x v="177"/>
    <x v="7"/>
    <x v="3"/>
    <n v="576069"/>
    <n v="15576069"/>
  </r>
  <r>
    <x v="316"/>
    <x v="5"/>
    <x v="0"/>
    <n v="40116867"/>
    <s v="Transferencia"/>
    <n v="6436904"/>
    <x v="94"/>
    <x v="7"/>
    <x v="2"/>
    <n v="673599"/>
    <n v="15673599"/>
  </r>
  <r>
    <x v="317"/>
    <x v="3"/>
    <x v="1"/>
    <n v="7290595"/>
    <s v="Transferencia"/>
    <n v="519982"/>
    <x v="123"/>
    <x v="9"/>
    <x v="2"/>
    <n v="135412"/>
    <n v="15135412"/>
  </r>
  <r>
    <x v="318"/>
    <x v="1"/>
    <x v="4"/>
    <n v="47629758"/>
    <s v="Crédito"/>
    <n v="8715874"/>
    <x v="200"/>
    <x v="0"/>
    <x v="3"/>
    <n v="778278"/>
    <n v="15778278"/>
  </r>
  <r>
    <x v="319"/>
    <x v="1"/>
    <x v="2"/>
    <n v="1616609"/>
    <s v="Transferencia"/>
    <n v="697473"/>
    <x v="49"/>
    <x v="4"/>
    <x v="4"/>
    <n v="309372"/>
    <n v="15309372"/>
  </r>
  <r>
    <x v="320"/>
    <x v="5"/>
    <x v="1"/>
    <n v="14333334"/>
    <s v="Efectivo"/>
    <n v="2225374"/>
    <x v="201"/>
    <x v="4"/>
    <x v="0"/>
    <n v="242159"/>
    <n v="15242159"/>
  </r>
  <r>
    <x v="321"/>
    <x v="1"/>
    <x v="4"/>
    <n v="37667585"/>
    <s v="Efectivo"/>
    <n v="3349838"/>
    <x v="9"/>
    <x v="0"/>
    <x v="1"/>
    <n v="686355"/>
    <n v="15686355"/>
  </r>
  <r>
    <x v="322"/>
    <x v="8"/>
    <x v="2"/>
    <n v="33015251"/>
    <s v="Crédito"/>
    <n v="2351431"/>
    <x v="202"/>
    <x v="9"/>
    <x v="2"/>
    <n v="613276"/>
    <n v="15613276"/>
  </r>
  <r>
    <x v="323"/>
    <x v="7"/>
    <x v="1"/>
    <n v="47350017"/>
    <s v="Transferencia"/>
    <n v="294520"/>
    <x v="8"/>
    <x v="1"/>
    <x v="0"/>
    <n v="888096"/>
    <n v="15888096"/>
  </r>
  <r>
    <x v="324"/>
    <x v="6"/>
    <x v="3"/>
    <n v="12138023"/>
    <s v="Efectivo"/>
    <n v="979104"/>
    <x v="66"/>
    <x v="1"/>
    <x v="5"/>
    <n v="223178"/>
    <n v="15223178"/>
  </r>
  <r>
    <x v="325"/>
    <x v="4"/>
    <x v="4"/>
    <n v="914421"/>
    <s v="Crédito"/>
    <n v="910373"/>
    <x v="203"/>
    <x v="1"/>
    <x v="2"/>
    <n v="164677"/>
    <n v="15164677"/>
  </r>
  <r>
    <x v="326"/>
    <x v="6"/>
    <x v="1"/>
    <n v="37895654"/>
    <s v="Efectivo"/>
    <n v="7002935"/>
    <x v="204"/>
    <x v="5"/>
    <x v="2"/>
    <n v="617854"/>
    <n v="15617854"/>
  </r>
  <r>
    <x v="327"/>
    <x v="7"/>
    <x v="0"/>
    <n v="1759602"/>
    <s v="Efectivo"/>
    <n v="281059"/>
    <x v="156"/>
    <x v="9"/>
    <x v="1"/>
    <n v="29571"/>
    <n v="15029571"/>
  </r>
  <r>
    <x v="328"/>
    <x v="9"/>
    <x v="1"/>
    <n v="1382184"/>
    <s v="Efectivo"/>
    <n v="54088"/>
    <x v="205"/>
    <x v="9"/>
    <x v="0"/>
    <n v="26562"/>
    <n v="15026562"/>
  </r>
  <r>
    <x v="329"/>
    <x v="2"/>
    <x v="1"/>
    <n v="41887902"/>
    <s v="Transferencia"/>
    <n v="8344118"/>
    <x v="8"/>
    <x v="7"/>
    <x v="2"/>
    <n v="670876"/>
    <n v="15670876"/>
  </r>
  <r>
    <x v="330"/>
    <x v="0"/>
    <x v="1"/>
    <n v="4527357"/>
    <s v="Crédito"/>
    <n v="7295003"/>
    <x v="192"/>
    <x v="6"/>
    <x v="0"/>
    <n v="759571"/>
    <n v="15759571"/>
  </r>
  <r>
    <x v="331"/>
    <x v="1"/>
    <x v="0"/>
    <n v="41141875"/>
    <s v="Transferencia"/>
    <n v="8205996"/>
    <x v="206"/>
    <x v="6"/>
    <x v="1"/>
    <n v="658718"/>
    <n v="15658718"/>
  </r>
  <r>
    <x v="332"/>
    <x v="8"/>
    <x v="3"/>
    <n v="21206043"/>
    <s v="Crédito"/>
    <n v="1735745"/>
    <x v="207"/>
    <x v="4"/>
    <x v="3"/>
    <n v="389406"/>
    <n v="15389406"/>
  </r>
  <r>
    <x v="333"/>
    <x v="8"/>
    <x v="0"/>
    <n v="32049209"/>
    <s v="Crédito"/>
    <n v="1267487"/>
    <x v="65"/>
    <x v="1"/>
    <x v="1"/>
    <n v="615634"/>
    <n v="15615634"/>
  </r>
  <r>
    <x v="334"/>
    <x v="9"/>
    <x v="2"/>
    <n v="8741608"/>
    <s v="Efectivo"/>
    <n v="1838564"/>
    <x v="126"/>
    <x v="4"/>
    <x v="1"/>
    <n v="138061"/>
    <n v="15138061"/>
  </r>
  <r>
    <x v="335"/>
    <x v="1"/>
    <x v="0"/>
    <n v="21294515"/>
    <s v="Crédito"/>
    <n v="2497405"/>
    <x v="198"/>
    <x v="9"/>
    <x v="5"/>
    <n v="375942"/>
    <n v="15375942"/>
  </r>
  <r>
    <x v="336"/>
    <x v="1"/>
    <x v="1"/>
    <n v="34349079"/>
    <s v="Crédito"/>
    <n v="4289259"/>
    <x v="208"/>
    <x v="2"/>
    <x v="2"/>
    <n v="601196"/>
    <n v="15601196"/>
  </r>
  <r>
    <x v="337"/>
    <x v="4"/>
    <x v="3"/>
    <n v="29498866"/>
    <s v="Efectivo"/>
    <n v="5118186"/>
    <x v="209"/>
    <x v="1"/>
    <x v="0"/>
    <n v="487614"/>
    <n v="15487614"/>
  </r>
  <r>
    <x v="338"/>
    <x v="9"/>
    <x v="3"/>
    <n v="42793486"/>
    <s v="Efectivo"/>
    <n v="4646921"/>
    <x v="95"/>
    <x v="6"/>
    <x v="5"/>
    <n v="762931"/>
    <n v="15762931"/>
  </r>
  <r>
    <x v="339"/>
    <x v="2"/>
    <x v="4"/>
    <n v="42745784"/>
    <s v="Crédito"/>
    <n v="864518"/>
    <x v="3"/>
    <x v="0"/>
    <x v="5"/>
    <n v="837625"/>
    <n v="15837625"/>
  </r>
  <r>
    <x v="340"/>
    <x v="3"/>
    <x v="1"/>
    <n v="1431926"/>
    <s v="Crédito"/>
    <n v="74326"/>
    <x v="149"/>
    <x v="5"/>
    <x v="1"/>
    <n v="27152"/>
    <n v="1527152"/>
  </r>
  <r>
    <x v="341"/>
    <x v="1"/>
    <x v="4"/>
    <n v="37014723"/>
    <s v="Transferencia"/>
    <n v="1823139"/>
    <x v="53"/>
    <x v="1"/>
    <x v="3"/>
    <n v="703832"/>
    <n v="15703832"/>
  </r>
  <r>
    <x v="342"/>
    <x v="5"/>
    <x v="4"/>
    <n v="38873262"/>
    <s v="Crédito"/>
    <n v="9332121"/>
    <x v="86"/>
    <x v="9"/>
    <x v="1"/>
    <n v="590823"/>
    <n v="15590823"/>
  </r>
  <r>
    <x v="343"/>
    <x v="9"/>
    <x v="0"/>
    <n v="5064138"/>
    <s v="Efectivo"/>
    <n v="8721"/>
    <x v="72"/>
    <x v="8"/>
    <x v="1"/>
    <n v="99539"/>
    <n v="15099539"/>
  </r>
  <r>
    <x v="344"/>
    <x v="5"/>
    <x v="0"/>
    <n v="4419467"/>
    <s v="Transferencia"/>
    <n v="8917467"/>
    <x v="210"/>
    <x v="7"/>
    <x v="5"/>
    <n v="705544"/>
    <n v="15705544"/>
  </r>
  <r>
    <x v="345"/>
    <x v="7"/>
    <x v="1"/>
    <n v="45178854"/>
    <s v="Efectivo"/>
    <n v="917933"/>
    <x v="195"/>
    <x v="8"/>
    <x v="3"/>
    <n v="885218"/>
    <n v="15885218"/>
  </r>
  <r>
    <x v="346"/>
    <x v="3"/>
    <x v="0"/>
    <n v="22661334"/>
    <s v="Transferencia"/>
    <n v="770385"/>
    <x v="211"/>
    <x v="8"/>
    <x v="1"/>
    <n v="437819"/>
    <n v="15437819"/>
  </r>
  <r>
    <x v="347"/>
    <x v="0"/>
    <x v="2"/>
    <n v="19741125"/>
    <s v="Crédito"/>
    <n v="2828175"/>
    <x v="37"/>
    <x v="7"/>
    <x v="3"/>
    <n v="338259"/>
    <n v="15338259"/>
  </r>
  <r>
    <x v="348"/>
    <x v="8"/>
    <x v="2"/>
    <n v="14154513"/>
    <s v="Crédito"/>
    <n v="338006"/>
    <x v="37"/>
    <x v="6"/>
    <x v="5"/>
    <n v="215489"/>
    <n v="15215489"/>
  </r>
  <r>
    <x v="349"/>
    <x v="7"/>
    <x v="0"/>
    <n v="10434045"/>
    <s v="Efectivo"/>
    <n v="1984611"/>
    <x v="94"/>
    <x v="9"/>
    <x v="0"/>
    <n v="168989"/>
    <n v="15168989"/>
  </r>
  <r>
    <x v="350"/>
    <x v="1"/>
    <x v="3"/>
    <n v="28237278"/>
    <s v="Crédito"/>
    <n v="535198"/>
    <x v="110"/>
    <x v="8"/>
    <x v="2"/>
    <n v="554042"/>
    <n v="15554042"/>
  </r>
  <r>
    <x v="351"/>
    <x v="1"/>
    <x v="3"/>
    <n v="32108851"/>
    <s v="Efectivo"/>
    <n v="6062861"/>
    <x v="124"/>
    <x v="5"/>
    <x v="3"/>
    <n v="52092"/>
    <n v="1552092"/>
  </r>
  <r>
    <x v="352"/>
    <x v="9"/>
    <x v="0"/>
    <n v="24237967"/>
    <s v="Efectivo"/>
    <n v="522410"/>
    <x v="212"/>
    <x v="0"/>
    <x v="1"/>
    <n v="380277"/>
    <n v="15380277"/>
  </r>
  <r>
    <x v="353"/>
    <x v="2"/>
    <x v="4"/>
    <n v="36095777"/>
    <s v="Crédito"/>
    <n v="355227"/>
    <x v="213"/>
    <x v="7"/>
    <x v="1"/>
    <n v="65087"/>
    <n v="1565087"/>
  </r>
  <r>
    <x v="354"/>
    <x v="7"/>
    <x v="2"/>
    <n v="4313748"/>
    <s v="Efectivo"/>
    <n v="4048339"/>
    <x v="20"/>
    <x v="3"/>
    <x v="3"/>
    <n v="781783"/>
    <n v="15781783"/>
  </r>
  <r>
    <x v="355"/>
    <x v="8"/>
    <x v="4"/>
    <n v="40266353"/>
    <s v="Crédito"/>
    <n v="824005"/>
    <x v="83"/>
    <x v="7"/>
    <x v="5"/>
    <n v="788847"/>
    <n v="15788847"/>
  </r>
  <r>
    <x v="356"/>
    <x v="3"/>
    <x v="1"/>
    <n v="15772478"/>
    <s v="Transferencia"/>
    <n v="77025"/>
    <x v="18"/>
    <x v="7"/>
    <x v="0"/>
    <n v="300045"/>
    <n v="15300045"/>
  </r>
  <r>
    <x v="357"/>
    <x v="7"/>
    <x v="2"/>
    <n v="48556338"/>
    <s v="Efectivo"/>
    <n v="11984849"/>
    <x v="70"/>
    <x v="0"/>
    <x v="2"/>
    <n v="73143"/>
    <n v="1573143"/>
  </r>
  <r>
    <x v="358"/>
    <x v="8"/>
    <x v="1"/>
    <n v="44444855"/>
    <s v="Transferencia"/>
    <n v="5392579"/>
    <x v="194"/>
    <x v="0"/>
    <x v="4"/>
    <n v="781046"/>
    <n v="15781046"/>
  </r>
  <r>
    <x v="359"/>
    <x v="4"/>
    <x v="4"/>
    <n v="3657255"/>
    <s v="Transferencia"/>
    <n v="450033"/>
    <x v="214"/>
    <x v="8"/>
    <x v="1"/>
    <n v="64144"/>
    <n v="15064144"/>
  </r>
  <r>
    <x v="360"/>
    <x v="7"/>
    <x v="2"/>
    <n v="49607813"/>
    <s v="Crédito"/>
    <n v="9948675"/>
    <x v="215"/>
    <x v="8"/>
    <x v="2"/>
    <n v="793183"/>
    <n v="15793183"/>
  </r>
  <r>
    <x v="361"/>
    <x v="0"/>
    <x v="4"/>
    <n v="13177628"/>
    <s v="Transferencia"/>
    <n v="1835779"/>
    <x v="54"/>
    <x v="9"/>
    <x v="5"/>
    <n v="226837"/>
    <n v="15226837"/>
  </r>
  <r>
    <x v="362"/>
    <x v="1"/>
    <x v="2"/>
    <n v="5572789"/>
    <s v="Transferencia"/>
    <n v="672934"/>
    <x v="216"/>
    <x v="3"/>
    <x v="0"/>
    <n v="97997"/>
    <n v="15097997"/>
  </r>
  <r>
    <x v="363"/>
    <x v="3"/>
    <x v="1"/>
    <n v="3590680"/>
    <s v="Transferencia"/>
    <n v="557282"/>
    <x v="51"/>
    <x v="6"/>
    <x v="1"/>
    <n v="70699"/>
    <n v="1570699"/>
  </r>
  <r>
    <x v="364"/>
    <x v="7"/>
    <x v="1"/>
    <n v="24028176"/>
    <s v="Crédito"/>
    <n v="233362"/>
    <x v="217"/>
    <x v="3"/>
    <x v="3"/>
    <n v="433891"/>
    <n v="15433891"/>
  </r>
  <r>
    <x v="365"/>
    <x v="6"/>
    <x v="0"/>
    <n v="37911796"/>
    <s v="Transferencia"/>
    <n v="2100157"/>
    <x v="155"/>
    <x v="6"/>
    <x v="1"/>
    <n v="716233"/>
    <n v="15716233"/>
  </r>
  <r>
    <x v="366"/>
    <x v="2"/>
    <x v="2"/>
    <n v="10438933"/>
    <s v="Efectivo"/>
    <n v="2071698"/>
    <x v="48"/>
    <x v="4"/>
    <x v="2"/>
    <n v="167345"/>
    <n v="15167345"/>
  </r>
  <r>
    <x v="367"/>
    <x v="4"/>
    <x v="0"/>
    <n v="42869338"/>
    <s v="Crédito"/>
    <n v="5640977"/>
    <x v="218"/>
    <x v="9"/>
    <x v="5"/>
    <n v="744567"/>
    <n v="15744567"/>
  </r>
  <r>
    <x v="368"/>
    <x v="5"/>
    <x v="3"/>
    <n v="18179953"/>
    <s v="Transferencia"/>
    <n v="3669728"/>
    <x v="190"/>
    <x v="8"/>
    <x v="2"/>
    <n v="290205"/>
    <n v="15290205"/>
  </r>
  <r>
    <x v="369"/>
    <x v="9"/>
    <x v="0"/>
    <n v="41360963"/>
    <s v="Transferencia"/>
    <n v="2975793"/>
    <x v="219"/>
    <x v="5"/>
    <x v="4"/>
    <n v="767703"/>
    <n v="15767703"/>
  </r>
  <r>
    <x v="370"/>
    <x v="6"/>
    <x v="3"/>
    <n v="4936183"/>
    <s v="Transferencia"/>
    <n v="1046785"/>
    <x v="220"/>
    <x v="2"/>
    <x v="1"/>
    <n v="77788"/>
    <n v="15077788"/>
  </r>
  <r>
    <x v="371"/>
    <x v="7"/>
    <x v="3"/>
    <n v="17260041"/>
    <s v="Transferencia"/>
    <n v="297367"/>
    <x v="153"/>
    <x v="9"/>
    <x v="2"/>
    <n v="285727"/>
    <n v="15285727"/>
  </r>
  <r>
    <x v="372"/>
    <x v="6"/>
    <x v="0"/>
    <n v="12817369"/>
    <s v="Transferencia"/>
    <n v="2268233"/>
    <x v="125"/>
    <x v="6"/>
    <x v="1"/>
    <n v="210983"/>
    <n v="15210983"/>
  </r>
  <r>
    <x v="373"/>
    <x v="4"/>
    <x v="3"/>
    <n v="29348138"/>
    <s v="Transferencia"/>
    <n v="5860447"/>
    <x v="64"/>
    <x v="6"/>
    <x v="4"/>
    <n v="469754"/>
    <n v="15469754"/>
  </r>
  <r>
    <x v="374"/>
    <x v="4"/>
    <x v="3"/>
    <n v="4416279"/>
    <s v="Efectivo"/>
    <n v="499637"/>
    <x v="221"/>
    <x v="2"/>
    <x v="4"/>
    <n v="78333"/>
    <n v="15078333"/>
  </r>
  <r>
    <x v="375"/>
    <x v="4"/>
    <x v="2"/>
    <n v="32758482"/>
    <s v="Efectivo"/>
    <n v="241136"/>
    <x v="86"/>
    <x v="8"/>
    <x v="0"/>
    <n v="650347"/>
    <n v="15650347"/>
  </r>
  <r>
    <x v="376"/>
    <x v="1"/>
    <x v="4"/>
    <n v="34756553"/>
    <s v="Crédito"/>
    <n v="344468"/>
    <x v="103"/>
    <x v="9"/>
    <x v="3"/>
    <n v="688242"/>
    <n v="15688242"/>
  </r>
  <r>
    <x v="377"/>
    <x v="5"/>
    <x v="2"/>
    <n v="43266876"/>
    <s v="Crédito"/>
    <n v="9153368"/>
    <x v="70"/>
    <x v="2"/>
    <x v="4"/>
    <n v="68227"/>
    <n v="1568227"/>
  </r>
  <r>
    <x v="378"/>
    <x v="9"/>
    <x v="3"/>
    <n v="29472286"/>
    <s v="Efectivo"/>
    <n v="647971"/>
    <x v="95"/>
    <x v="6"/>
    <x v="4"/>
    <n v="459852"/>
    <n v="15459852"/>
  </r>
  <r>
    <x v="379"/>
    <x v="0"/>
    <x v="4"/>
    <n v="41519932"/>
    <s v="Crédito"/>
    <n v="5608214"/>
    <x v="118"/>
    <x v="4"/>
    <x v="5"/>
    <n v="718234"/>
    <n v="15718234"/>
  </r>
  <r>
    <x v="380"/>
    <x v="5"/>
    <x v="0"/>
    <n v="33845206"/>
    <s v="Transferencia"/>
    <n v="1694141"/>
    <x v="141"/>
    <x v="8"/>
    <x v="4"/>
    <n v="643021"/>
    <n v="15643021"/>
  </r>
  <r>
    <x v="381"/>
    <x v="7"/>
    <x v="2"/>
    <n v="35166362"/>
    <s v="Crédito"/>
    <n v="7571002"/>
    <x v="222"/>
    <x v="8"/>
    <x v="2"/>
    <n v="551907"/>
    <n v="15551907"/>
  </r>
  <r>
    <x v="382"/>
    <x v="5"/>
    <x v="2"/>
    <n v="41030907"/>
    <s v="Crédito"/>
    <n v="818695"/>
    <x v="218"/>
    <x v="4"/>
    <x v="2"/>
    <n v="804244"/>
    <n v="15804244"/>
  </r>
  <r>
    <x v="383"/>
    <x v="9"/>
    <x v="3"/>
    <n v="6670172"/>
    <s v="Crédito"/>
    <n v="516124"/>
    <x v="169"/>
    <x v="7"/>
    <x v="4"/>
    <n v="123081"/>
    <n v="15123081"/>
  </r>
  <r>
    <x v="384"/>
    <x v="5"/>
    <x v="4"/>
    <n v="27309709"/>
    <s v="Transferencia"/>
    <n v="214558"/>
    <x v="87"/>
    <x v="2"/>
    <x v="1"/>
    <n v="503283"/>
    <n v="15503283"/>
  </r>
  <r>
    <x v="385"/>
    <x v="9"/>
    <x v="3"/>
    <n v="42756256"/>
    <s v="Efectivo"/>
    <n v="8561123"/>
    <x v="223"/>
    <x v="2"/>
    <x v="1"/>
    <n v="683903"/>
    <n v="15683903"/>
  </r>
  <r>
    <x v="386"/>
    <x v="4"/>
    <x v="2"/>
    <n v="48914955"/>
    <s v="Efectivo"/>
    <n v="106891"/>
    <x v="223"/>
    <x v="9"/>
    <x v="1"/>
    <n v="956921"/>
    <n v="15956921"/>
  </r>
  <r>
    <x v="387"/>
    <x v="7"/>
    <x v="1"/>
    <n v="31091381"/>
    <s v="Crédito"/>
    <n v="2646236"/>
    <x v="224"/>
    <x v="9"/>
    <x v="1"/>
    <n v="568903"/>
    <n v="15568903"/>
  </r>
  <r>
    <x v="388"/>
    <x v="1"/>
    <x v="4"/>
    <n v="7516094"/>
    <s v="Efectivo"/>
    <n v="60596"/>
    <x v="225"/>
    <x v="4"/>
    <x v="3"/>
    <n v="14911"/>
    <n v="1514911"/>
  </r>
  <r>
    <x v="389"/>
    <x v="0"/>
    <x v="3"/>
    <n v="33263155"/>
    <s v="Crédito"/>
    <n v="5461741"/>
    <x v="60"/>
    <x v="9"/>
    <x v="5"/>
    <n v="556028"/>
    <n v="15556028"/>
  </r>
  <r>
    <x v="390"/>
    <x v="8"/>
    <x v="1"/>
    <n v="35847459"/>
    <s v="Crédito"/>
    <n v="8719571"/>
    <x v="226"/>
    <x v="5"/>
    <x v="5"/>
    <n v="542558"/>
    <n v="15542558"/>
  </r>
  <r>
    <x v="391"/>
    <x v="2"/>
    <x v="2"/>
    <n v="1481726"/>
    <s v="Efectivo"/>
    <n v="1170631"/>
    <x v="202"/>
    <x v="9"/>
    <x v="5"/>
    <n v="272933"/>
    <n v="15272933"/>
  </r>
  <r>
    <x v="392"/>
    <x v="3"/>
    <x v="2"/>
    <n v="963263"/>
    <s v="Efectivo"/>
    <n v="272198"/>
    <x v="120"/>
    <x v="3"/>
    <x v="0"/>
    <n v="187209"/>
    <n v="15187209"/>
  </r>
  <r>
    <x v="393"/>
    <x v="7"/>
    <x v="1"/>
    <n v="3600591"/>
    <s v="Transferencia"/>
    <n v="411815"/>
    <x v="227"/>
    <x v="2"/>
    <x v="1"/>
    <n v="63776"/>
    <n v="15063776"/>
  </r>
  <r>
    <x v="394"/>
    <x v="7"/>
    <x v="2"/>
    <n v="9246519"/>
    <s v="Crédito"/>
    <n v="1124049"/>
    <x v="203"/>
    <x v="5"/>
    <x v="0"/>
    <n v="162449"/>
    <n v="15162449"/>
  </r>
  <r>
    <x v="395"/>
    <x v="5"/>
    <x v="3"/>
    <n v="35524392"/>
    <s v="Crédito"/>
    <n v="398417"/>
    <x v="55"/>
    <x v="0"/>
    <x v="3"/>
    <n v="702519"/>
    <n v="15702519"/>
  </r>
  <r>
    <x v="396"/>
    <x v="0"/>
    <x v="0"/>
    <n v="14146485"/>
    <s v="Efectivo"/>
    <n v="1305808"/>
    <x v="181"/>
    <x v="5"/>
    <x v="1"/>
    <n v="256814"/>
    <n v="15256814"/>
  </r>
  <r>
    <x v="397"/>
    <x v="4"/>
    <x v="4"/>
    <n v="8979693"/>
    <s v="Transferencia"/>
    <n v="1968096"/>
    <x v="228"/>
    <x v="8"/>
    <x v="0"/>
    <n v="140232"/>
    <n v="15140232"/>
  </r>
  <r>
    <x v="398"/>
    <x v="7"/>
    <x v="3"/>
    <n v="45787304"/>
    <s v="Transferencia"/>
    <n v="220420"/>
    <x v="80"/>
    <x v="5"/>
    <x v="5"/>
    <n v="871662"/>
    <n v="15871662"/>
  </r>
  <r>
    <x v="399"/>
    <x v="5"/>
    <x v="2"/>
    <n v="42427233"/>
    <s v="Efectivo"/>
    <n v="4065922"/>
    <x v="229"/>
    <x v="0"/>
    <x v="3"/>
    <n v="767226"/>
    <n v="15767226"/>
  </r>
  <r>
    <x v="400"/>
    <x v="2"/>
    <x v="2"/>
    <n v="42268867"/>
    <s v="Crédito"/>
    <n v="8187007"/>
    <x v="230"/>
    <x v="7"/>
    <x v="4"/>
    <n v="681637"/>
    <n v="15681637"/>
  </r>
  <r>
    <x v="401"/>
    <x v="6"/>
    <x v="3"/>
    <n v="26695619"/>
    <s v="Transferencia"/>
    <n v="136347"/>
    <x v="101"/>
    <x v="5"/>
    <x v="2"/>
    <n v="506643"/>
    <n v="15506643"/>
  </r>
  <r>
    <x v="402"/>
    <x v="3"/>
    <x v="3"/>
    <n v="18848095"/>
    <s v="Crédito"/>
    <n v="593821"/>
    <x v="83"/>
    <x v="2"/>
    <x v="0"/>
    <n v="365085"/>
    <n v="15365085"/>
  </r>
  <r>
    <x v="403"/>
    <x v="1"/>
    <x v="2"/>
    <n v="32478877"/>
    <s v="Transferencia"/>
    <n v="3195298"/>
    <x v="70"/>
    <x v="8"/>
    <x v="5"/>
    <n v="585672"/>
    <n v="15585672"/>
  </r>
  <r>
    <x v="404"/>
    <x v="2"/>
    <x v="3"/>
    <n v="18490442"/>
    <s v="Transferencia"/>
    <n v="3918728"/>
    <x v="143"/>
    <x v="8"/>
    <x v="3"/>
    <n v="291434"/>
    <n v="15291434"/>
  </r>
  <r>
    <x v="405"/>
    <x v="5"/>
    <x v="4"/>
    <n v="39816575"/>
    <s v="Transferencia"/>
    <n v="8502172"/>
    <x v="118"/>
    <x v="0"/>
    <x v="1"/>
    <n v="626288"/>
    <n v="15626288"/>
  </r>
  <r>
    <x v="406"/>
    <x v="4"/>
    <x v="3"/>
    <n v="3250658"/>
    <s v="Crédito"/>
    <n v="775795"/>
    <x v="177"/>
    <x v="3"/>
    <x v="0"/>
    <n v="49497"/>
    <n v="15049497"/>
  </r>
  <r>
    <x v="407"/>
    <x v="5"/>
    <x v="1"/>
    <n v="8472193"/>
    <s v="Efectivo"/>
    <n v="412234"/>
    <x v="120"/>
    <x v="8"/>
    <x v="0"/>
    <n v="161199"/>
    <n v="15161199"/>
  </r>
  <r>
    <x v="408"/>
    <x v="2"/>
    <x v="4"/>
    <n v="40388469"/>
    <s v="Efectivo"/>
    <n v="5672739"/>
    <x v="86"/>
    <x v="6"/>
    <x v="1"/>
    <n v="694315"/>
    <n v="15694315"/>
  </r>
  <r>
    <x v="409"/>
    <x v="2"/>
    <x v="4"/>
    <n v="1169919"/>
    <s v="Crédito"/>
    <n v="266687"/>
    <x v="23"/>
    <x v="4"/>
    <x v="4"/>
    <n v="18065"/>
    <n v="15018065"/>
  </r>
  <r>
    <x v="410"/>
    <x v="9"/>
    <x v="2"/>
    <n v="33025125"/>
    <s v="Crédito"/>
    <n v="8059319"/>
    <x v="42"/>
    <x v="4"/>
    <x v="4"/>
    <n v="499316"/>
    <n v="15499316"/>
  </r>
  <r>
    <x v="411"/>
    <x v="3"/>
    <x v="4"/>
    <n v="33615812"/>
    <s v="Transferencia"/>
    <n v="4576993"/>
    <x v="184"/>
    <x v="8"/>
    <x v="3"/>
    <n v="580776"/>
    <n v="15580776"/>
  </r>
  <r>
    <x v="412"/>
    <x v="5"/>
    <x v="3"/>
    <n v="20472418"/>
    <s v="Efectivo"/>
    <n v="3351439"/>
    <x v="231"/>
    <x v="5"/>
    <x v="0"/>
    <n v="34242"/>
    <n v="1534242"/>
  </r>
  <r>
    <x v="413"/>
    <x v="2"/>
    <x v="0"/>
    <n v="15652394"/>
    <s v="Transferencia"/>
    <n v="2776977"/>
    <x v="73"/>
    <x v="9"/>
    <x v="0"/>
    <n v="257508"/>
    <n v="15257508"/>
  </r>
  <r>
    <x v="414"/>
    <x v="5"/>
    <x v="0"/>
    <n v="4151114"/>
    <s v="Crédito"/>
    <n v="422399"/>
    <x v="181"/>
    <x v="5"/>
    <x v="2"/>
    <n v="74574"/>
    <n v="15074574"/>
  </r>
  <r>
    <x v="415"/>
    <x v="5"/>
    <x v="4"/>
    <n v="28526061"/>
    <s v="Crédito"/>
    <n v="2231878"/>
    <x v="232"/>
    <x v="2"/>
    <x v="1"/>
    <n v="525884"/>
    <n v="15525884"/>
  </r>
  <r>
    <x v="416"/>
    <x v="8"/>
    <x v="1"/>
    <n v="22184043"/>
    <s v="Transferencia"/>
    <n v="4846909"/>
    <x v="38"/>
    <x v="6"/>
    <x v="5"/>
    <n v="346743"/>
    <n v="15346743"/>
  </r>
  <r>
    <x v="417"/>
    <x v="9"/>
    <x v="4"/>
    <n v="23327058"/>
    <s v="Transferencia"/>
    <n v="2691257"/>
    <x v="233"/>
    <x v="5"/>
    <x v="1"/>
    <n v="412716"/>
    <n v="15412716"/>
  </r>
  <r>
    <x v="418"/>
    <x v="8"/>
    <x v="3"/>
    <n v="29785029"/>
    <s v="Efectivo"/>
    <n v="7034831"/>
    <x v="234"/>
    <x v="9"/>
    <x v="2"/>
    <n v="455004"/>
    <n v="15455004"/>
  </r>
  <r>
    <x v="419"/>
    <x v="0"/>
    <x v="3"/>
    <n v="40374236"/>
    <s v="Transferencia"/>
    <n v="9986048"/>
    <x v="235"/>
    <x v="5"/>
    <x v="2"/>
    <n v="607764"/>
    <n v="15607764"/>
  </r>
  <r>
    <x v="420"/>
    <x v="6"/>
    <x v="4"/>
    <n v="39865573"/>
    <s v="Crédito"/>
    <n v="9238597"/>
    <x v="184"/>
    <x v="4"/>
    <x v="5"/>
    <n v="61254"/>
    <n v="1561254"/>
  </r>
  <r>
    <x v="421"/>
    <x v="8"/>
    <x v="2"/>
    <n v="39114794"/>
    <s v="Crédito"/>
    <n v="8196791"/>
    <x v="25"/>
    <x v="5"/>
    <x v="0"/>
    <n v="61836"/>
    <n v="1561836"/>
  </r>
  <r>
    <x v="422"/>
    <x v="9"/>
    <x v="3"/>
    <n v="12981902"/>
    <s v="Transferencia"/>
    <n v="1431434"/>
    <x v="133"/>
    <x v="7"/>
    <x v="2"/>
    <n v="231009"/>
    <n v="15231009"/>
  </r>
  <r>
    <x v="423"/>
    <x v="9"/>
    <x v="2"/>
    <n v="19325459"/>
    <s v="Crédito"/>
    <n v="1855799"/>
    <x v="141"/>
    <x v="2"/>
    <x v="2"/>
    <n v="349393"/>
    <n v="15349393"/>
  </r>
  <r>
    <x v="424"/>
    <x v="1"/>
    <x v="4"/>
    <n v="38237597"/>
    <s v="Transferencia"/>
    <n v="6732789"/>
    <x v="101"/>
    <x v="4"/>
    <x v="4"/>
    <n v="630096"/>
    <n v="15630096"/>
  </r>
  <r>
    <x v="425"/>
    <x v="3"/>
    <x v="2"/>
    <n v="32720463"/>
    <s v="Crédito"/>
    <n v="8006891"/>
    <x v="236"/>
    <x v="7"/>
    <x v="2"/>
    <n v="494271"/>
    <n v="15494271"/>
  </r>
  <r>
    <x v="426"/>
    <x v="0"/>
    <x v="2"/>
    <n v="3962299"/>
    <s v="Crédito"/>
    <n v="4025747"/>
    <x v="96"/>
    <x v="4"/>
    <x v="1"/>
    <n v="711945"/>
    <n v="15711945"/>
  </r>
  <r>
    <x v="427"/>
    <x v="6"/>
    <x v="1"/>
    <n v="33465253"/>
    <s v="Transferencia"/>
    <n v="2840534"/>
    <x v="237"/>
    <x v="3"/>
    <x v="2"/>
    <n v="612494"/>
    <n v="15612494"/>
  </r>
  <r>
    <x v="428"/>
    <x v="0"/>
    <x v="4"/>
    <n v="20694007"/>
    <s v="Transferencia"/>
    <n v="194122"/>
    <x v="3"/>
    <x v="9"/>
    <x v="1"/>
    <n v="375056"/>
    <n v="15375056"/>
  </r>
  <r>
    <x v="429"/>
    <x v="0"/>
    <x v="3"/>
    <n v="19784769"/>
    <s v="Crédito"/>
    <n v="2865005"/>
    <x v="238"/>
    <x v="8"/>
    <x v="2"/>
    <n v="338395"/>
    <n v="15338395"/>
  </r>
  <r>
    <x v="430"/>
    <x v="0"/>
    <x v="3"/>
    <n v="48897978"/>
    <s v="Efectivo"/>
    <n v="12197339"/>
    <x v="239"/>
    <x v="1"/>
    <x v="2"/>
    <n v="734013"/>
    <n v="15734013"/>
  </r>
  <r>
    <x v="431"/>
    <x v="7"/>
    <x v="0"/>
    <n v="30526386"/>
    <s v="Efectivo"/>
    <n v="3838755"/>
    <x v="240"/>
    <x v="3"/>
    <x v="0"/>
    <n v="533753"/>
    <n v="15533753"/>
  </r>
  <r>
    <x v="432"/>
    <x v="6"/>
    <x v="3"/>
    <n v="3951950"/>
    <s v="Transferencia"/>
    <n v="539029"/>
    <x v="241"/>
    <x v="4"/>
    <x v="5"/>
    <n v="779609"/>
    <n v="15779609"/>
  </r>
  <r>
    <x v="433"/>
    <x v="5"/>
    <x v="2"/>
    <n v="3827591"/>
    <s v="Transferencia"/>
    <n v="696894"/>
    <x v="64"/>
    <x v="8"/>
    <x v="3"/>
    <n v="62614"/>
    <n v="15062614"/>
  </r>
  <r>
    <x v="434"/>
    <x v="4"/>
    <x v="3"/>
    <n v="22611579"/>
    <s v="Crédito"/>
    <n v="1253578"/>
    <x v="242"/>
    <x v="3"/>
    <x v="2"/>
    <n v="42716"/>
    <n v="1542716"/>
  </r>
  <r>
    <x v="435"/>
    <x v="1"/>
    <x v="3"/>
    <n v="34077646"/>
    <s v="Efectivo"/>
    <n v="4517768"/>
    <x v="243"/>
    <x v="7"/>
    <x v="1"/>
    <n v="591198"/>
    <n v="15591198"/>
  </r>
  <r>
    <x v="436"/>
    <x v="4"/>
    <x v="4"/>
    <n v="3460739"/>
    <s v="Efectivo"/>
    <n v="6323936"/>
    <x v="244"/>
    <x v="3"/>
    <x v="3"/>
    <n v="565669"/>
    <n v="15565669"/>
  </r>
  <r>
    <x v="437"/>
    <x v="7"/>
    <x v="1"/>
    <n v="20572826"/>
    <s v="Transferencia"/>
    <n v="1949168"/>
    <x v="245"/>
    <x v="1"/>
    <x v="2"/>
    <n v="372473"/>
    <n v="15372473"/>
  </r>
  <r>
    <x v="438"/>
    <x v="8"/>
    <x v="1"/>
    <n v="12642797"/>
    <s v="Transferencia"/>
    <n v="190759"/>
    <x v="201"/>
    <x v="3"/>
    <x v="0"/>
    <n v="249041"/>
    <n v="15249041"/>
  </r>
  <r>
    <x v="439"/>
    <x v="8"/>
    <x v="3"/>
    <n v="21193325"/>
    <s v="Transferencia"/>
    <n v="1390977"/>
    <x v="246"/>
    <x v="0"/>
    <x v="2"/>
    <n v="396047"/>
    <n v="15396047"/>
  </r>
  <r>
    <x v="440"/>
    <x v="6"/>
    <x v="4"/>
    <n v="39208581"/>
    <s v="Efectivo"/>
    <n v="543539"/>
    <x v="247"/>
    <x v="8"/>
    <x v="3"/>
    <n v="773301"/>
    <n v="15773301"/>
  </r>
  <r>
    <x v="441"/>
    <x v="8"/>
    <x v="1"/>
    <n v="4432081"/>
    <s v="Transferencia"/>
    <n v="9182461"/>
    <x v="22"/>
    <x v="4"/>
    <x v="1"/>
    <n v="702767"/>
    <n v="15702767"/>
  </r>
  <r>
    <x v="442"/>
    <x v="5"/>
    <x v="0"/>
    <n v="47541546"/>
    <s v="Transferencia"/>
    <n v="6143812"/>
    <x v="218"/>
    <x v="3"/>
    <x v="2"/>
    <n v="827955"/>
    <n v="15827955"/>
  </r>
  <r>
    <x v="443"/>
    <x v="2"/>
    <x v="1"/>
    <n v="44707859"/>
    <s v="Efectivo"/>
    <n v="2983971"/>
    <x v="179"/>
    <x v="4"/>
    <x v="5"/>
    <n v="834478"/>
    <n v="15834478"/>
  </r>
  <r>
    <x v="444"/>
    <x v="3"/>
    <x v="4"/>
    <n v="11262132"/>
    <s v="Transferencia"/>
    <n v="821514"/>
    <x v="248"/>
    <x v="0"/>
    <x v="5"/>
    <n v="208812"/>
    <n v="15208812"/>
  </r>
  <r>
    <x v="445"/>
    <x v="5"/>
    <x v="0"/>
    <n v="22188307"/>
    <s v="Efectivo"/>
    <n v="402913"/>
    <x v="110"/>
    <x v="6"/>
    <x v="4"/>
    <n v="435708"/>
    <n v="15435708"/>
  </r>
  <r>
    <x v="446"/>
    <x v="3"/>
    <x v="4"/>
    <n v="7305101"/>
    <s v="Crédito"/>
    <n v="616985"/>
    <x v="249"/>
    <x v="9"/>
    <x v="1"/>
    <n v="133762"/>
    <n v="15133762"/>
  </r>
  <r>
    <x v="447"/>
    <x v="9"/>
    <x v="3"/>
    <n v="3507131"/>
    <s v="Efectivo"/>
    <n v="2374331"/>
    <x v="250"/>
    <x v="1"/>
    <x v="5"/>
    <n v="65394"/>
    <n v="1565394"/>
  </r>
  <r>
    <x v="448"/>
    <x v="2"/>
    <x v="0"/>
    <n v="13690953"/>
    <s v="Crédito"/>
    <n v="1412998"/>
    <x v="136"/>
    <x v="5"/>
    <x v="5"/>
    <n v="245559"/>
    <n v="15245559"/>
  </r>
  <r>
    <x v="449"/>
    <x v="0"/>
    <x v="1"/>
    <n v="18326537"/>
    <s v="Crédito"/>
    <n v="3459397"/>
    <x v="119"/>
    <x v="0"/>
    <x v="4"/>
    <n v="297343"/>
    <n v="15297343"/>
  </r>
  <r>
    <x v="450"/>
    <x v="1"/>
    <x v="1"/>
    <n v="49216622"/>
    <s v="Crédito"/>
    <n v="4638306"/>
    <x v="2"/>
    <x v="9"/>
    <x v="4"/>
    <n v="891566"/>
    <n v="15891566"/>
  </r>
  <r>
    <x v="451"/>
    <x v="9"/>
    <x v="3"/>
    <n v="43699761"/>
    <s v="Crédito"/>
    <n v="2152997"/>
    <x v="127"/>
    <x v="6"/>
    <x v="3"/>
    <n v="830935"/>
    <n v="15830935"/>
  </r>
  <r>
    <x v="452"/>
    <x v="2"/>
    <x v="4"/>
    <n v="7610404"/>
    <s v="Efectivo"/>
    <n v="814252"/>
    <x v="110"/>
    <x v="0"/>
    <x v="5"/>
    <n v="135923"/>
    <n v="15135923"/>
  </r>
  <r>
    <x v="453"/>
    <x v="5"/>
    <x v="3"/>
    <n v="42167683"/>
    <s v="Crédito"/>
    <n v="587379"/>
    <x v="19"/>
    <x v="4"/>
    <x v="1"/>
    <n v="725878"/>
    <n v="15725878"/>
  </r>
  <r>
    <x v="454"/>
    <x v="4"/>
    <x v="0"/>
    <n v="28279606"/>
    <s v="Transferencia"/>
    <n v="1987541"/>
    <x v="251"/>
    <x v="1"/>
    <x v="5"/>
    <n v="525841"/>
    <n v="15525841"/>
  </r>
  <r>
    <x v="455"/>
    <x v="3"/>
    <x v="3"/>
    <n v="9179029"/>
    <s v="Crédito"/>
    <n v="398949"/>
    <x v="195"/>
    <x v="3"/>
    <x v="2"/>
    <n v="175602"/>
    <n v="15175602"/>
  </r>
  <r>
    <x v="456"/>
    <x v="1"/>
    <x v="0"/>
    <n v="43774387"/>
    <s v="Efectivo"/>
    <n v="636794"/>
    <x v="88"/>
    <x v="9"/>
    <x v="4"/>
    <n v="748129"/>
    <n v="15748129"/>
  </r>
  <r>
    <x v="457"/>
    <x v="9"/>
    <x v="4"/>
    <n v="4899837"/>
    <s v="Efectivo"/>
    <n v="2177236"/>
    <x v="115"/>
    <x v="8"/>
    <x v="3"/>
    <n v="936423"/>
    <n v="15936423"/>
  </r>
  <r>
    <x v="458"/>
    <x v="5"/>
    <x v="3"/>
    <n v="5803294"/>
    <s v="Transferencia"/>
    <n v="1219894"/>
    <x v="7"/>
    <x v="2"/>
    <x v="3"/>
    <n v="91668"/>
    <n v="15091668"/>
  </r>
  <r>
    <x v="459"/>
    <x v="1"/>
    <x v="2"/>
    <n v="47562644"/>
    <s v="Transferencia"/>
    <n v="350918"/>
    <x v="252"/>
    <x v="2"/>
    <x v="0"/>
    <n v="944235"/>
    <n v="15944235"/>
  </r>
  <r>
    <x v="460"/>
    <x v="9"/>
    <x v="2"/>
    <n v="26184135"/>
    <s v="Transferencia"/>
    <n v="525994"/>
    <x v="106"/>
    <x v="3"/>
    <x v="2"/>
    <n v="418484"/>
    <n v="15418484"/>
  </r>
  <r>
    <x v="461"/>
    <x v="1"/>
    <x v="1"/>
    <n v="45242942"/>
    <s v="Transferencia"/>
    <n v="4321314"/>
    <x v="253"/>
    <x v="7"/>
    <x v="1"/>
    <n v="818433"/>
    <n v="15818433"/>
  </r>
  <r>
    <x v="462"/>
    <x v="7"/>
    <x v="0"/>
    <n v="2280172"/>
    <s v="Efectivo"/>
    <n v="186842"/>
    <x v="81"/>
    <x v="1"/>
    <x v="1"/>
    <n v="41867"/>
    <n v="15041867"/>
  </r>
  <r>
    <x v="463"/>
    <x v="3"/>
    <x v="3"/>
    <n v="11928038"/>
    <s v="Crédito"/>
    <n v="1482534"/>
    <x v="34"/>
    <x v="0"/>
    <x v="1"/>
    <n v="20891"/>
    <n v="1520891"/>
  </r>
  <r>
    <x v="464"/>
    <x v="8"/>
    <x v="4"/>
    <n v="1644863"/>
    <s v="Crédito"/>
    <n v="278819"/>
    <x v="152"/>
    <x v="6"/>
    <x v="4"/>
    <n v="27321"/>
    <n v="15027321"/>
  </r>
  <r>
    <x v="465"/>
    <x v="0"/>
    <x v="1"/>
    <n v="1012696"/>
    <s v="Crédito"/>
    <n v="126497"/>
    <x v="247"/>
    <x v="2"/>
    <x v="5"/>
    <n v="17724"/>
    <n v="15017724"/>
  </r>
  <r>
    <x v="466"/>
    <x v="7"/>
    <x v="1"/>
    <n v="16465644"/>
    <s v="Transferencia"/>
    <n v="3385885"/>
    <x v="36"/>
    <x v="1"/>
    <x v="1"/>
    <n v="261595"/>
    <n v="15261595"/>
  </r>
  <r>
    <x v="467"/>
    <x v="9"/>
    <x v="0"/>
    <n v="5641448"/>
    <s v="Efectivo"/>
    <n v="1210224"/>
    <x v="254"/>
    <x v="5"/>
    <x v="2"/>
    <n v="88624"/>
    <n v="15088624"/>
  </r>
  <r>
    <x v="468"/>
    <x v="8"/>
    <x v="3"/>
    <n v="37253153"/>
    <s v="Crédito"/>
    <n v="2747841"/>
    <x v="197"/>
    <x v="5"/>
    <x v="1"/>
    <n v="690106"/>
    <n v="15690106"/>
  </r>
  <r>
    <x v="469"/>
    <x v="8"/>
    <x v="1"/>
    <n v="28463429"/>
    <s v="Crédito"/>
    <n v="1759545"/>
    <x v="255"/>
    <x v="6"/>
    <x v="4"/>
    <n v="534078"/>
    <n v="15534078"/>
  </r>
  <r>
    <x v="470"/>
    <x v="6"/>
    <x v="2"/>
    <n v="38132442"/>
    <s v="Crédito"/>
    <n v="667740"/>
    <x v="256"/>
    <x v="7"/>
    <x v="4"/>
    <n v="629101"/>
    <n v="15629101"/>
  </r>
  <r>
    <x v="471"/>
    <x v="4"/>
    <x v="2"/>
    <n v="9063162"/>
    <s v="Transferencia"/>
    <n v="1228402"/>
    <x v="74"/>
    <x v="0"/>
    <x v="0"/>
    <n v="156695"/>
    <n v="15156695"/>
  </r>
  <r>
    <x v="472"/>
    <x v="1"/>
    <x v="1"/>
    <n v="1485439"/>
    <s v="Efectivo"/>
    <n v="92059"/>
    <x v="178"/>
    <x v="0"/>
    <x v="0"/>
    <n v="27868"/>
    <n v="15027868"/>
  </r>
  <r>
    <x v="473"/>
    <x v="1"/>
    <x v="0"/>
    <n v="2137172"/>
    <s v="Efectivo"/>
    <n v="16757"/>
    <x v="197"/>
    <x v="7"/>
    <x v="4"/>
    <n v="39392"/>
    <n v="15039392"/>
  </r>
  <r>
    <x v="474"/>
    <x v="8"/>
    <x v="1"/>
    <n v="2279970"/>
    <s v="Efectivo"/>
    <n v="4013388"/>
    <x v="208"/>
    <x v="6"/>
    <x v="2"/>
    <n v="375726"/>
    <n v="15375726"/>
  </r>
  <r>
    <x v="475"/>
    <x v="4"/>
    <x v="3"/>
    <n v="41209159"/>
    <s v="Efectivo"/>
    <n v="6289154"/>
    <x v="257"/>
    <x v="3"/>
    <x v="0"/>
    <n v="69840"/>
    <n v="1569840"/>
  </r>
  <r>
    <x v="476"/>
    <x v="9"/>
    <x v="2"/>
    <n v="44889541"/>
    <s v="Crédito"/>
    <n v="5621178"/>
    <x v="155"/>
    <x v="1"/>
    <x v="4"/>
    <n v="785367"/>
    <n v="15785367"/>
  </r>
  <r>
    <x v="477"/>
    <x v="9"/>
    <x v="2"/>
    <n v="13937522"/>
    <s v="Crédito"/>
    <n v="2742594"/>
    <x v="258"/>
    <x v="1"/>
    <x v="0"/>
    <n v="223899"/>
    <n v="15223899"/>
  </r>
  <r>
    <x v="478"/>
    <x v="9"/>
    <x v="2"/>
    <n v="21893367"/>
    <s v="Crédito"/>
    <n v="2699846"/>
    <x v="20"/>
    <x v="5"/>
    <x v="3"/>
    <n v="38387"/>
    <n v="1538387"/>
  </r>
  <r>
    <x v="479"/>
    <x v="4"/>
    <x v="2"/>
    <n v="16574738"/>
    <s v="Transferencia"/>
    <n v="3949358"/>
    <x v="259"/>
    <x v="7"/>
    <x v="2"/>
    <n v="252508"/>
    <n v="15252508"/>
  </r>
  <r>
    <x v="480"/>
    <x v="6"/>
    <x v="1"/>
    <n v="16423695"/>
    <s v="Transferencia"/>
    <n v="3214063"/>
    <x v="101"/>
    <x v="0"/>
    <x v="4"/>
    <n v="264193"/>
    <n v="15264193"/>
  </r>
  <r>
    <x v="481"/>
    <x v="4"/>
    <x v="0"/>
    <n v="17268839"/>
    <s v="Crédito"/>
    <n v="1888953"/>
    <x v="256"/>
    <x v="9"/>
    <x v="0"/>
    <n v="307598"/>
    <n v="15307598"/>
  </r>
  <r>
    <x v="482"/>
    <x v="9"/>
    <x v="4"/>
    <n v="36400546"/>
    <s v="Crédito"/>
    <n v="8430686"/>
    <x v="171"/>
    <x v="4"/>
    <x v="4"/>
    <n v="559397"/>
    <n v="15559397"/>
  </r>
  <r>
    <x v="483"/>
    <x v="0"/>
    <x v="1"/>
    <n v="4547728"/>
    <s v="Crédito"/>
    <n v="10370115"/>
    <x v="260"/>
    <x v="7"/>
    <x v="0"/>
    <n v="702143"/>
    <n v="15702143"/>
  </r>
  <r>
    <x v="484"/>
    <x v="0"/>
    <x v="4"/>
    <n v="7072181"/>
    <s v="Transferencia"/>
    <n v="176738"/>
    <x v="29"/>
    <x v="6"/>
    <x v="1"/>
    <n v="137909"/>
    <n v="15137909"/>
  </r>
  <r>
    <x v="485"/>
    <x v="3"/>
    <x v="4"/>
    <n v="24351197"/>
    <s v="Crédito"/>
    <n v="2121143"/>
    <x v="136"/>
    <x v="5"/>
    <x v="4"/>
    <n v="444601"/>
    <n v="15444601"/>
  </r>
  <r>
    <x v="486"/>
    <x v="2"/>
    <x v="4"/>
    <n v="15080442"/>
    <s v="Crédito"/>
    <n v="819366"/>
    <x v="261"/>
    <x v="0"/>
    <x v="3"/>
    <n v="285222"/>
    <n v="15285222"/>
  </r>
  <r>
    <x v="487"/>
    <x v="1"/>
    <x v="0"/>
    <n v="46306827"/>
    <s v="Transferencia"/>
    <n v="136637"/>
    <x v="227"/>
    <x v="5"/>
    <x v="0"/>
    <n v="898809"/>
    <n v="15898809"/>
  </r>
  <r>
    <x v="488"/>
    <x v="5"/>
    <x v="2"/>
    <n v="49125685"/>
    <s v="Transferencia"/>
    <n v="7184995"/>
    <x v="155"/>
    <x v="2"/>
    <x v="1"/>
    <n v="838814"/>
    <n v="15838814"/>
  </r>
  <r>
    <x v="489"/>
    <x v="7"/>
    <x v="3"/>
    <n v="17130498"/>
    <s v="Efectivo"/>
    <n v="4236625"/>
    <x v="14"/>
    <x v="5"/>
    <x v="2"/>
    <n v="257877"/>
    <n v="15257877"/>
  </r>
  <r>
    <x v="490"/>
    <x v="2"/>
    <x v="2"/>
    <n v="40568211"/>
    <s v="Efectivo"/>
    <n v="807995"/>
    <x v="180"/>
    <x v="8"/>
    <x v="4"/>
    <n v="795204"/>
    <n v="15795204"/>
  </r>
  <r>
    <x v="491"/>
    <x v="5"/>
    <x v="3"/>
    <n v="16781089"/>
    <s v="Efectivo"/>
    <n v="3556557"/>
    <x v="230"/>
    <x v="8"/>
    <x v="1"/>
    <n v="264491"/>
    <n v="15264491"/>
  </r>
  <r>
    <x v="492"/>
    <x v="1"/>
    <x v="0"/>
    <n v="17339712"/>
    <s v="Crédito"/>
    <n v="114037"/>
    <x v="246"/>
    <x v="1"/>
    <x v="5"/>
    <n v="344514"/>
    <n v="15344514"/>
  </r>
  <r>
    <x v="493"/>
    <x v="9"/>
    <x v="2"/>
    <n v="35578769"/>
    <s v="Crédito"/>
    <n v="2234515"/>
    <x v="262"/>
    <x v="8"/>
    <x v="0"/>
    <n v="666885"/>
    <n v="15666885"/>
  </r>
  <r>
    <x v="494"/>
    <x v="0"/>
    <x v="1"/>
    <n v="3271656"/>
    <s v="Efectivo"/>
    <n v="459438"/>
    <x v="74"/>
    <x v="3"/>
    <x v="4"/>
    <n v="562444"/>
    <n v="15562444"/>
  </r>
  <r>
    <x v="495"/>
    <x v="2"/>
    <x v="3"/>
    <n v="7547639"/>
    <s v="Crédito"/>
    <n v="1041023"/>
    <x v="42"/>
    <x v="1"/>
    <x v="1"/>
    <n v="130132"/>
    <n v="15130132"/>
  </r>
  <r>
    <x v="496"/>
    <x v="5"/>
    <x v="1"/>
    <n v="3371779"/>
    <s v="Efectivo"/>
    <n v="144649"/>
    <x v="263"/>
    <x v="6"/>
    <x v="4"/>
    <n v="64543"/>
    <n v="15064543"/>
  </r>
  <r>
    <x v="497"/>
    <x v="0"/>
    <x v="0"/>
    <n v="36285157"/>
    <s v="Crédito"/>
    <n v="342077"/>
    <x v="142"/>
    <x v="2"/>
    <x v="1"/>
    <n v="718862"/>
    <n v="15718862"/>
  </r>
  <r>
    <x v="498"/>
    <x v="8"/>
    <x v="3"/>
    <n v="9956065"/>
    <s v="Efectivo"/>
    <n v="537602"/>
    <x v="264"/>
    <x v="8"/>
    <x v="2"/>
    <n v="188369"/>
    <n v="15188369"/>
  </r>
  <r>
    <x v="499"/>
    <x v="5"/>
    <x v="3"/>
    <n v="5745706"/>
    <s v="Transferencia"/>
    <n v="516184"/>
    <x v="174"/>
    <x v="0"/>
    <x v="0"/>
    <n v="10459"/>
    <n v="1510459"/>
  </r>
  <r>
    <x v="500"/>
    <x v="4"/>
    <x v="2"/>
    <n v="33939784"/>
    <s v="Efectivo"/>
    <n v="3924208"/>
    <x v="107"/>
    <x v="8"/>
    <x v="0"/>
    <n v="600312"/>
    <n v="15600312"/>
  </r>
  <r>
    <x v="501"/>
    <x v="4"/>
    <x v="3"/>
    <n v="18737155"/>
    <s v="Efectivo"/>
    <n v="4322908"/>
    <x v="87"/>
    <x v="2"/>
    <x v="4"/>
    <n v="288285"/>
    <n v="15288285"/>
  </r>
  <r>
    <x v="502"/>
    <x v="8"/>
    <x v="0"/>
    <n v="42034325"/>
    <s v="Transferencia"/>
    <n v="8377721"/>
    <x v="265"/>
    <x v="0"/>
    <x v="3"/>
    <n v="673132"/>
    <n v="15673132"/>
  </r>
  <r>
    <x v="503"/>
    <x v="1"/>
    <x v="1"/>
    <n v="36459056"/>
    <s v="Transferencia"/>
    <n v="51551"/>
    <x v="266"/>
    <x v="5"/>
    <x v="4"/>
    <n v="718871"/>
    <n v="15718871"/>
  </r>
  <r>
    <x v="504"/>
    <x v="8"/>
    <x v="2"/>
    <n v="23239673"/>
    <s v="Crédito"/>
    <n v="1966376"/>
    <x v="267"/>
    <x v="9"/>
    <x v="5"/>
    <n v="425466"/>
    <n v="15425466"/>
  </r>
  <r>
    <x v="505"/>
    <x v="2"/>
    <x v="4"/>
    <n v="9266784"/>
    <s v="Crédito"/>
    <n v="1282472"/>
    <x v="81"/>
    <x v="9"/>
    <x v="0"/>
    <n v="159686"/>
    <n v="15159686"/>
  </r>
  <r>
    <x v="506"/>
    <x v="1"/>
    <x v="4"/>
    <n v="34570241"/>
    <s v="Crédito"/>
    <n v="4521128"/>
    <x v="172"/>
    <x v="2"/>
    <x v="1"/>
    <n v="600982"/>
    <n v="15600982"/>
  </r>
  <r>
    <x v="507"/>
    <x v="6"/>
    <x v="3"/>
    <n v="11858283"/>
    <s v="Transferencia"/>
    <n v="2003909"/>
    <x v="140"/>
    <x v="8"/>
    <x v="4"/>
    <n v="197087"/>
    <n v="15197087"/>
  </r>
  <r>
    <x v="508"/>
    <x v="7"/>
    <x v="4"/>
    <n v="30871818"/>
    <s v="Efectivo"/>
    <n v="257307"/>
    <x v="268"/>
    <x v="8"/>
    <x v="5"/>
    <n v="565975"/>
    <n v="15565975"/>
  </r>
  <r>
    <x v="509"/>
    <x v="5"/>
    <x v="3"/>
    <n v="4483401"/>
    <s v="Efectivo"/>
    <n v="973838"/>
    <x v="159"/>
    <x v="8"/>
    <x v="5"/>
    <n v="70191"/>
    <n v="15070191"/>
  </r>
  <r>
    <x v="510"/>
    <x v="2"/>
    <x v="2"/>
    <n v="2221409"/>
    <s v="Efectivo"/>
    <n v="4358322"/>
    <x v="83"/>
    <x v="2"/>
    <x v="5"/>
    <n v="357115"/>
    <n v="15357115"/>
  </r>
  <r>
    <x v="511"/>
    <x v="2"/>
    <x v="2"/>
    <n v="45654266"/>
    <s v="Efectivo"/>
    <n v="750455"/>
    <x v="152"/>
    <x v="0"/>
    <x v="5"/>
    <n v="898076"/>
    <n v="15898076"/>
  </r>
  <r>
    <x v="512"/>
    <x v="7"/>
    <x v="3"/>
    <n v="23837559"/>
    <s v="Efectivo"/>
    <n v="1412234"/>
    <x v="269"/>
    <x v="4"/>
    <x v="2"/>
    <n v="448507"/>
    <n v="15448507"/>
  </r>
  <r>
    <x v="513"/>
    <x v="9"/>
    <x v="3"/>
    <n v="1057155"/>
    <s v="Crédito"/>
    <n v="149221"/>
    <x v="270"/>
    <x v="0"/>
    <x v="1"/>
    <n v="18159"/>
    <n v="15018159"/>
  </r>
  <r>
    <x v="514"/>
    <x v="7"/>
    <x v="3"/>
    <n v="40128386"/>
    <s v="Crédito"/>
    <n v="5391056"/>
    <x v="7"/>
    <x v="4"/>
    <x v="5"/>
    <n v="694747"/>
    <n v="15694747"/>
  </r>
  <r>
    <x v="515"/>
    <x v="2"/>
    <x v="4"/>
    <n v="9993868"/>
    <s v="Transferencia"/>
    <n v="214588"/>
    <x v="271"/>
    <x v="6"/>
    <x v="5"/>
    <n v="195586"/>
    <n v="15195586"/>
  </r>
  <r>
    <x v="516"/>
    <x v="1"/>
    <x v="0"/>
    <n v="44156505"/>
    <s v="Efectivo"/>
    <n v="1015662"/>
    <x v="272"/>
    <x v="0"/>
    <x v="0"/>
    <n v="862817"/>
    <n v="15862817"/>
  </r>
  <r>
    <x v="517"/>
    <x v="8"/>
    <x v="4"/>
    <n v="25074406"/>
    <s v="Transferencia"/>
    <n v="531106"/>
    <x v="273"/>
    <x v="9"/>
    <x v="1"/>
    <n v="490866"/>
    <n v="15490866"/>
  </r>
  <r>
    <x v="518"/>
    <x v="5"/>
    <x v="1"/>
    <n v="16513231"/>
    <s v="Crédito"/>
    <n v="2870925"/>
    <x v="274"/>
    <x v="7"/>
    <x v="5"/>
    <n v="272846"/>
    <n v="15272846"/>
  </r>
  <r>
    <x v="519"/>
    <x v="4"/>
    <x v="4"/>
    <n v="46871418"/>
    <s v="Crédito"/>
    <n v="501861"/>
    <x v="275"/>
    <x v="6"/>
    <x v="4"/>
    <n v="927391"/>
    <n v="15927391"/>
  </r>
  <r>
    <x v="520"/>
    <x v="5"/>
    <x v="0"/>
    <n v="37110329"/>
    <s v="Crédito"/>
    <n v="8273259"/>
    <x v="26"/>
    <x v="9"/>
    <x v="0"/>
    <n v="576741"/>
    <n v="15576741"/>
  </r>
  <r>
    <x v="521"/>
    <x v="7"/>
    <x v="1"/>
    <n v="31071281"/>
    <s v="Transferencia"/>
    <n v="1955411"/>
    <x v="72"/>
    <x v="3"/>
    <x v="3"/>
    <n v="582317"/>
    <n v="15582317"/>
  </r>
  <r>
    <x v="522"/>
    <x v="8"/>
    <x v="1"/>
    <n v="44501436"/>
    <s v="Efectivo"/>
    <n v="8076881"/>
    <x v="270"/>
    <x v="2"/>
    <x v="0"/>
    <n v="728491"/>
    <n v="15728491"/>
  </r>
  <r>
    <x v="523"/>
    <x v="3"/>
    <x v="3"/>
    <n v="7789186"/>
    <s v="Crédito"/>
    <n v="1441867"/>
    <x v="27"/>
    <x v="9"/>
    <x v="5"/>
    <n v="126946"/>
    <n v="15126946"/>
  </r>
  <r>
    <x v="524"/>
    <x v="8"/>
    <x v="2"/>
    <n v="9130762"/>
    <s v="Transferencia"/>
    <n v="259878"/>
    <x v="218"/>
    <x v="8"/>
    <x v="2"/>
    <n v="177418"/>
    <n v="15177418"/>
  </r>
  <r>
    <x v="525"/>
    <x v="9"/>
    <x v="1"/>
    <n v="47766063"/>
    <s v="Transferencia"/>
    <n v="7606764"/>
    <x v="96"/>
    <x v="9"/>
    <x v="2"/>
    <n v="803186"/>
    <n v="15803186"/>
  </r>
  <r>
    <x v="526"/>
    <x v="5"/>
    <x v="1"/>
    <n v="34732753"/>
    <s v="Efectivo"/>
    <n v="4369176"/>
    <x v="9"/>
    <x v="0"/>
    <x v="4"/>
    <n v="607272"/>
    <n v="15607272"/>
  </r>
  <r>
    <x v="527"/>
    <x v="9"/>
    <x v="3"/>
    <n v="1530562"/>
    <s v="Crédito"/>
    <n v="20783"/>
    <x v="209"/>
    <x v="4"/>
    <x v="2"/>
    <n v="30196"/>
    <n v="15030196"/>
  </r>
  <r>
    <x v="528"/>
    <x v="0"/>
    <x v="0"/>
    <n v="1073284"/>
    <s v="Efectivo"/>
    <n v="1033904"/>
    <x v="120"/>
    <x v="5"/>
    <x v="0"/>
    <n v="193979"/>
    <n v="15193979"/>
  </r>
  <r>
    <x v="529"/>
    <x v="9"/>
    <x v="4"/>
    <n v="7206043"/>
    <s v="Transferencia"/>
    <n v="680109"/>
    <x v="119"/>
    <x v="4"/>
    <x v="2"/>
    <n v="130519"/>
    <n v="15130519"/>
  </r>
  <r>
    <x v="530"/>
    <x v="5"/>
    <x v="3"/>
    <n v="2780073"/>
    <s v="Transferencia"/>
    <n v="8329"/>
    <x v="165"/>
    <x v="7"/>
    <x v="3"/>
    <n v="55435"/>
    <n v="15055435"/>
  </r>
  <r>
    <x v="531"/>
    <x v="9"/>
    <x v="0"/>
    <n v="32426853"/>
    <s v="Crédito"/>
    <n v="4190572"/>
    <x v="171"/>
    <x v="2"/>
    <x v="0"/>
    <n v="564726"/>
    <n v="15564726"/>
  </r>
  <r>
    <x v="532"/>
    <x v="0"/>
    <x v="2"/>
    <n v="46113577"/>
    <s v="Efectivo"/>
    <n v="10396779"/>
    <x v="230"/>
    <x v="4"/>
    <x v="2"/>
    <n v="714336"/>
    <n v="15714336"/>
  </r>
  <r>
    <x v="533"/>
    <x v="2"/>
    <x v="2"/>
    <n v="16313397"/>
    <s v="Efectivo"/>
    <n v="3642082"/>
    <x v="114"/>
    <x v="0"/>
    <x v="5"/>
    <n v="253426"/>
    <n v="15253426"/>
  </r>
  <r>
    <x v="534"/>
    <x v="7"/>
    <x v="2"/>
    <n v="43959749"/>
    <s v="Crédito"/>
    <n v="3176344"/>
    <x v="95"/>
    <x v="9"/>
    <x v="0"/>
    <n v="815668"/>
    <n v="15815668"/>
  </r>
  <r>
    <x v="535"/>
    <x v="3"/>
    <x v="1"/>
    <n v="1100003"/>
    <s v="Transferencia"/>
    <n v="165032"/>
    <x v="164"/>
    <x v="6"/>
    <x v="1"/>
    <n v="18699"/>
    <n v="15018699"/>
  </r>
  <r>
    <x v="536"/>
    <x v="3"/>
    <x v="4"/>
    <n v="46658305"/>
    <s v="Crédito"/>
    <n v="1590132"/>
    <x v="241"/>
    <x v="4"/>
    <x v="3"/>
    <n v="901363"/>
    <n v="15901363"/>
  </r>
  <r>
    <x v="537"/>
    <x v="2"/>
    <x v="1"/>
    <n v="1525825"/>
    <s v="Efectivo"/>
    <n v="1188103"/>
    <x v="259"/>
    <x v="0"/>
    <x v="4"/>
    <n v="281403"/>
    <n v="15281403"/>
  </r>
  <r>
    <x v="538"/>
    <x v="5"/>
    <x v="2"/>
    <n v="42955454"/>
    <s v="Transferencia"/>
    <n v="312991"/>
    <x v="271"/>
    <x v="0"/>
    <x v="0"/>
    <n v="796511"/>
    <n v="15796511"/>
  </r>
  <r>
    <x v="539"/>
    <x v="2"/>
    <x v="2"/>
    <n v="40887544"/>
    <s v="Crédito"/>
    <n v="355833"/>
    <x v="3"/>
    <x v="8"/>
    <x v="1"/>
    <n v="810634"/>
    <n v="15810634"/>
  </r>
  <r>
    <x v="540"/>
    <x v="0"/>
    <x v="1"/>
    <n v="6095265"/>
    <s v="Efectivo"/>
    <n v="133184"/>
    <x v="187"/>
    <x v="8"/>
    <x v="1"/>
    <n v="95269"/>
    <n v="15095269"/>
  </r>
  <r>
    <x v="541"/>
    <x v="4"/>
    <x v="2"/>
    <n v="46303606"/>
    <s v="Efectivo"/>
    <n v="3047746"/>
    <x v="276"/>
    <x v="9"/>
    <x v="0"/>
    <n v="865117"/>
    <n v="15865117"/>
  </r>
  <r>
    <x v="542"/>
    <x v="2"/>
    <x v="2"/>
    <n v="28634499"/>
    <s v="Crédito"/>
    <n v="192004"/>
    <x v="87"/>
    <x v="8"/>
    <x v="4"/>
    <n v="56885"/>
    <n v="1556885"/>
  </r>
  <r>
    <x v="543"/>
    <x v="2"/>
    <x v="3"/>
    <n v="29068082"/>
    <s v="Transferencia"/>
    <n v="4406903"/>
    <x v="183"/>
    <x v="1"/>
    <x v="4"/>
    <n v="493224"/>
    <n v="15493224"/>
  </r>
  <r>
    <x v="544"/>
    <x v="9"/>
    <x v="4"/>
    <n v="29996112"/>
    <s v="Transferencia"/>
    <n v="201016"/>
    <x v="185"/>
    <x v="9"/>
    <x v="1"/>
    <n v="559719"/>
    <n v="15559719"/>
  </r>
  <r>
    <x v="545"/>
    <x v="0"/>
    <x v="2"/>
    <n v="693126"/>
    <s v="Crédito"/>
    <n v="52763"/>
    <x v="264"/>
    <x v="2"/>
    <x v="1"/>
    <n v="13757"/>
    <n v="1513757"/>
  </r>
  <r>
    <x v="546"/>
    <x v="2"/>
    <x v="2"/>
    <n v="12483078"/>
    <s v="Transferencia"/>
    <n v="1901564"/>
    <x v="171"/>
    <x v="8"/>
    <x v="0"/>
    <n v="21163"/>
    <n v="1521163"/>
  </r>
  <r>
    <x v="547"/>
    <x v="2"/>
    <x v="2"/>
    <n v="21359473"/>
    <s v="Efectivo"/>
    <n v="2119801"/>
    <x v="66"/>
    <x v="3"/>
    <x v="2"/>
    <n v="384793"/>
    <n v="15384793"/>
  </r>
  <r>
    <x v="548"/>
    <x v="9"/>
    <x v="2"/>
    <n v="44713032"/>
    <s v="Efectivo"/>
    <n v="2608044"/>
    <x v="239"/>
    <x v="4"/>
    <x v="3"/>
    <n v="84210"/>
    <n v="1584210"/>
  </r>
  <r>
    <x v="549"/>
    <x v="9"/>
    <x v="0"/>
    <n v="26015333"/>
    <s v="Efectivo"/>
    <n v="305496"/>
    <x v="277"/>
    <x v="4"/>
    <x v="1"/>
    <n v="514197"/>
    <n v="15514197"/>
  </r>
  <r>
    <x v="550"/>
    <x v="0"/>
    <x v="4"/>
    <n v="5949703"/>
    <s v="Efectivo"/>
    <n v="335709"/>
    <x v="62"/>
    <x v="6"/>
    <x v="0"/>
    <n v="11228"/>
    <n v="1511228"/>
  </r>
  <r>
    <x v="551"/>
    <x v="6"/>
    <x v="1"/>
    <n v="37709999"/>
    <s v="Transferencia"/>
    <n v="4599198"/>
    <x v="155"/>
    <x v="1"/>
    <x v="2"/>
    <n v="662216"/>
    <n v="15662216"/>
  </r>
  <r>
    <x v="552"/>
    <x v="4"/>
    <x v="3"/>
    <n v="48350073"/>
    <s v="Transferencia"/>
    <n v="1771691"/>
    <x v="23"/>
    <x v="5"/>
    <x v="3"/>
    <n v="931568"/>
    <n v="15931568"/>
  </r>
  <r>
    <x v="553"/>
    <x v="3"/>
    <x v="1"/>
    <n v="39399029"/>
    <s v="Transferencia"/>
    <n v="6270558"/>
    <x v="3"/>
    <x v="4"/>
    <x v="3"/>
    <n v="662569"/>
    <n v="15662569"/>
  </r>
  <r>
    <x v="554"/>
    <x v="1"/>
    <x v="4"/>
    <n v="16357076"/>
    <s v="Efectivo"/>
    <n v="3341142"/>
    <x v="278"/>
    <x v="1"/>
    <x v="3"/>
    <n v="260319"/>
    <n v="15260319"/>
  </r>
  <r>
    <x v="555"/>
    <x v="9"/>
    <x v="2"/>
    <n v="29196534"/>
    <s v="Efectivo"/>
    <n v="649280"/>
    <x v="127"/>
    <x v="7"/>
    <x v="0"/>
    <n v="454075"/>
    <n v="15454075"/>
  </r>
  <r>
    <x v="556"/>
    <x v="0"/>
    <x v="4"/>
    <n v="21147285"/>
    <s v="Efectivo"/>
    <n v="198953"/>
    <x v="99"/>
    <x v="6"/>
    <x v="0"/>
    <n v="383155"/>
    <n v="15383155"/>
  </r>
  <r>
    <x v="557"/>
    <x v="8"/>
    <x v="4"/>
    <n v="38416619"/>
    <s v="Efectivo"/>
    <n v="7138949"/>
    <x v="279"/>
    <x v="0"/>
    <x v="1"/>
    <n v="625553"/>
    <n v="15625553"/>
  </r>
  <r>
    <x v="558"/>
    <x v="1"/>
    <x v="2"/>
    <n v="41359193"/>
    <s v="Crédito"/>
    <n v="8865047"/>
    <x v="216"/>
    <x v="6"/>
    <x v="1"/>
    <n v="649883"/>
    <n v="15649883"/>
  </r>
  <r>
    <x v="559"/>
    <x v="1"/>
    <x v="2"/>
    <n v="44072567"/>
    <s v="Crédito"/>
    <n v="5297204"/>
    <x v="214"/>
    <x v="9"/>
    <x v="1"/>
    <n v="775507"/>
    <n v="15775507"/>
  </r>
  <r>
    <x v="560"/>
    <x v="5"/>
    <x v="4"/>
    <n v="22208251"/>
    <s v="Efectivo"/>
    <n v="338062"/>
    <x v="225"/>
    <x v="5"/>
    <x v="1"/>
    <n v="437404"/>
    <n v="15437404"/>
  </r>
  <r>
    <x v="561"/>
    <x v="1"/>
    <x v="1"/>
    <n v="21957249"/>
    <s v="Crédito"/>
    <n v="5409697"/>
    <x v="132"/>
    <x v="7"/>
    <x v="0"/>
    <n v="330951"/>
    <n v="15330951"/>
  </r>
  <r>
    <x v="562"/>
    <x v="4"/>
    <x v="4"/>
    <n v="16242471"/>
    <s v="Crédito"/>
    <n v="1683926"/>
    <x v="134"/>
    <x v="4"/>
    <x v="2"/>
    <n v="291171"/>
    <n v="15291171"/>
  </r>
  <r>
    <x v="563"/>
    <x v="7"/>
    <x v="1"/>
    <n v="4662663"/>
    <s v="Crédito"/>
    <n v="434412"/>
    <x v="280"/>
    <x v="1"/>
    <x v="5"/>
    <n v="84565"/>
    <n v="15084565"/>
  </r>
  <r>
    <x v="564"/>
    <x v="8"/>
    <x v="1"/>
    <n v="2356866"/>
    <s v="Efectivo"/>
    <n v="132342"/>
    <x v="128"/>
    <x v="5"/>
    <x v="1"/>
    <n v="4449"/>
    <n v="1504449"/>
  </r>
  <r>
    <x v="565"/>
    <x v="7"/>
    <x v="2"/>
    <n v="36331303"/>
    <s v="Efectivo"/>
    <n v="273738"/>
    <x v="281"/>
    <x v="2"/>
    <x v="5"/>
    <n v="721151"/>
    <n v="15721151"/>
  </r>
  <r>
    <x v="566"/>
    <x v="6"/>
    <x v="2"/>
    <n v="39827084"/>
    <s v="Efectivo"/>
    <n v="326935"/>
    <x v="64"/>
    <x v="5"/>
    <x v="1"/>
    <n v="790003"/>
    <n v="15790003"/>
  </r>
  <r>
    <x v="567"/>
    <x v="5"/>
    <x v="4"/>
    <n v="4462270"/>
    <s v="Crédito"/>
    <n v="10515379"/>
    <x v="49"/>
    <x v="5"/>
    <x v="3"/>
    <n v="682146"/>
    <n v="15682146"/>
  </r>
  <r>
    <x v="568"/>
    <x v="8"/>
    <x v="2"/>
    <n v="48689324"/>
    <s v="Efectivo"/>
    <n v="6142393"/>
    <x v="39"/>
    <x v="3"/>
    <x v="4"/>
    <n v="850939"/>
    <n v="15850939"/>
  </r>
  <r>
    <x v="569"/>
    <x v="4"/>
    <x v="2"/>
    <n v="20368293"/>
    <s v="Transferencia"/>
    <n v="4800289"/>
    <x v="116"/>
    <x v="3"/>
    <x v="0"/>
    <n v="31136"/>
    <n v="1531136"/>
  </r>
  <r>
    <x v="570"/>
    <x v="7"/>
    <x v="0"/>
    <n v="25571576"/>
    <s v="Transferencia"/>
    <n v="286054"/>
    <x v="192"/>
    <x v="9"/>
    <x v="5"/>
    <n v="50571"/>
    <n v="1550571"/>
  </r>
  <r>
    <x v="571"/>
    <x v="4"/>
    <x v="1"/>
    <n v="33024498"/>
    <s v="Transferencia"/>
    <n v="2726673"/>
    <x v="282"/>
    <x v="6"/>
    <x v="0"/>
    <n v="605957"/>
    <n v="15605957"/>
  </r>
  <r>
    <x v="572"/>
    <x v="7"/>
    <x v="1"/>
    <n v="49445085"/>
    <s v="Transferencia"/>
    <n v="8116983"/>
    <x v="283"/>
    <x v="6"/>
    <x v="3"/>
    <n v="826562"/>
    <n v="15826562"/>
  </r>
  <r>
    <x v="573"/>
    <x v="8"/>
    <x v="0"/>
    <n v="2258041"/>
    <s v="Crédito"/>
    <n v="528475"/>
    <x v="241"/>
    <x v="3"/>
    <x v="3"/>
    <n v="34591"/>
    <n v="15034591"/>
  </r>
  <r>
    <x v="574"/>
    <x v="3"/>
    <x v="4"/>
    <n v="5595752"/>
    <s v="Crédito"/>
    <n v="1033256"/>
    <x v="24"/>
    <x v="9"/>
    <x v="1"/>
    <n v="9125"/>
    <n v="1509125"/>
  </r>
  <r>
    <x v="575"/>
    <x v="9"/>
    <x v="3"/>
    <n v="1674867"/>
    <s v="Efectivo"/>
    <n v="373213"/>
    <x v="284"/>
    <x v="2"/>
    <x v="1"/>
    <n v="26033"/>
    <n v="15026033"/>
  </r>
  <r>
    <x v="576"/>
    <x v="5"/>
    <x v="3"/>
    <n v="46704585"/>
    <s v="Transferencia"/>
    <n v="2198647"/>
    <x v="285"/>
    <x v="5"/>
    <x v="4"/>
    <n v="890119"/>
    <n v="15890119"/>
  </r>
  <r>
    <x v="577"/>
    <x v="3"/>
    <x v="4"/>
    <n v="36273567"/>
    <s v="Transferencia"/>
    <n v="5317209"/>
    <x v="286"/>
    <x v="1"/>
    <x v="1"/>
    <n v="619127"/>
    <n v="15619127"/>
  </r>
  <r>
    <x v="578"/>
    <x v="8"/>
    <x v="2"/>
    <n v="4534107"/>
    <s v="Crédito"/>
    <n v="658734"/>
    <x v="260"/>
    <x v="2"/>
    <x v="0"/>
    <n v="77507"/>
    <n v="15077507"/>
  </r>
  <r>
    <x v="579"/>
    <x v="9"/>
    <x v="1"/>
    <n v="27185937"/>
    <s v="Efectivo"/>
    <n v="3843625"/>
    <x v="209"/>
    <x v="8"/>
    <x v="2"/>
    <n v="466846"/>
    <n v="15466846"/>
  </r>
  <r>
    <x v="580"/>
    <x v="3"/>
    <x v="3"/>
    <n v="39611341"/>
    <s v="Efectivo"/>
    <n v="6005578"/>
    <x v="64"/>
    <x v="8"/>
    <x v="1"/>
    <n v="672115"/>
    <n v="15672115"/>
  </r>
  <r>
    <x v="581"/>
    <x v="1"/>
    <x v="3"/>
    <n v="38441746"/>
    <s v="Efectivo"/>
    <n v="389874"/>
    <x v="20"/>
    <x v="7"/>
    <x v="5"/>
    <n v="69086"/>
    <n v="1569086"/>
  </r>
  <r>
    <x v="582"/>
    <x v="9"/>
    <x v="4"/>
    <n v="6298603"/>
    <s v="Efectivo"/>
    <n v="1306472"/>
    <x v="287"/>
    <x v="8"/>
    <x v="3"/>
    <n v="99843"/>
    <n v="15099843"/>
  </r>
  <r>
    <x v="583"/>
    <x v="1"/>
    <x v="2"/>
    <n v="33971448"/>
    <s v="Crédito"/>
    <n v="1407807"/>
    <x v="250"/>
    <x v="2"/>
    <x v="2"/>
    <n v="651273"/>
    <n v="15651273"/>
  </r>
  <r>
    <x v="584"/>
    <x v="6"/>
    <x v="3"/>
    <n v="15257736"/>
    <s v="Efectivo"/>
    <n v="1369422"/>
    <x v="110"/>
    <x v="3"/>
    <x v="1"/>
    <n v="277766"/>
    <n v="15277766"/>
  </r>
  <r>
    <x v="585"/>
    <x v="5"/>
    <x v="2"/>
    <n v="29157628"/>
    <s v="Crédito"/>
    <n v="413124"/>
    <x v="288"/>
    <x v="1"/>
    <x v="1"/>
    <n v="500528"/>
    <n v="15500528"/>
  </r>
  <r>
    <x v="586"/>
    <x v="0"/>
    <x v="1"/>
    <n v="20874319"/>
    <s v="Crédito"/>
    <n v="4070007"/>
    <x v="216"/>
    <x v="2"/>
    <x v="2"/>
    <n v="336086"/>
    <n v="15336086"/>
  </r>
  <r>
    <x v="587"/>
    <x v="2"/>
    <x v="1"/>
    <n v="1602682"/>
    <s v="Crédito"/>
    <n v="823108"/>
    <x v="289"/>
    <x v="7"/>
    <x v="2"/>
    <n v="304074"/>
    <n v="15304074"/>
  </r>
  <r>
    <x v="588"/>
    <x v="2"/>
    <x v="2"/>
    <n v="37976927"/>
    <s v="Transferencia"/>
    <n v="6202803"/>
    <x v="259"/>
    <x v="9"/>
    <x v="0"/>
    <n v="635482"/>
    <n v="15635482"/>
  </r>
  <r>
    <x v="589"/>
    <x v="6"/>
    <x v="0"/>
    <n v="24720207"/>
    <s v="Transferencia"/>
    <n v="3187213"/>
    <x v="194"/>
    <x v="2"/>
    <x v="1"/>
    <n v="43066"/>
    <n v="1543066"/>
  </r>
  <r>
    <x v="590"/>
    <x v="8"/>
    <x v="3"/>
    <n v="20424754"/>
    <s v="Efectivo"/>
    <n v="4870638"/>
    <x v="90"/>
    <x v="1"/>
    <x v="5"/>
    <n v="311082"/>
    <n v="15311082"/>
  </r>
  <r>
    <x v="591"/>
    <x v="6"/>
    <x v="4"/>
    <n v="31899949"/>
    <s v="Crédito"/>
    <n v="3174729"/>
    <x v="290"/>
    <x v="9"/>
    <x v="4"/>
    <n v="574504"/>
    <n v="15574504"/>
  </r>
  <r>
    <x v="592"/>
    <x v="5"/>
    <x v="1"/>
    <n v="34731287"/>
    <s v="Transferencia"/>
    <n v="8490097"/>
    <x v="221"/>
    <x v="8"/>
    <x v="5"/>
    <n v="524824"/>
    <n v="15524824"/>
  </r>
  <r>
    <x v="593"/>
    <x v="4"/>
    <x v="4"/>
    <n v="3571582"/>
    <s v="Crédito"/>
    <n v="603472"/>
    <x v="291"/>
    <x v="0"/>
    <x v="0"/>
    <n v="59362"/>
    <n v="15059362"/>
  </r>
  <r>
    <x v="594"/>
    <x v="6"/>
    <x v="1"/>
    <n v="6631698"/>
    <s v="Efectivo"/>
    <n v="99650"/>
    <x v="258"/>
    <x v="5"/>
    <x v="1"/>
    <n v="112704"/>
    <n v="15112704"/>
  </r>
  <r>
    <x v="595"/>
    <x v="2"/>
    <x v="2"/>
    <n v="21316494"/>
    <s v="Efectivo"/>
    <n v="365352"/>
    <x v="162"/>
    <x v="5"/>
    <x v="4"/>
    <n v="353259"/>
    <n v="15353259"/>
  </r>
  <r>
    <x v="596"/>
    <x v="7"/>
    <x v="4"/>
    <n v="35660284"/>
    <s v="Transferencia"/>
    <n v="3626996"/>
    <x v="292"/>
    <x v="2"/>
    <x v="5"/>
    <n v="640666"/>
    <n v="15640666"/>
  </r>
  <r>
    <x v="597"/>
    <x v="7"/>
    <x v="0"/>
    <n v="34485525"/>
    <s v="Crédito"/>
    <n v="1942513"/>
    <x v="293"/>
    <x v="7"/>
    <x v="2"/>
    <n v="65086"/>
    <n v="1565086"/>
  </r>
  <r>
    <x v="598"/>
    <x v="4"/>
    <x v="3"/>
    <n v="24842405"/>
    <s v="Crédito"/>
    <n v="3631335"/>
    <x v="40"/>
    <x v="0"/>
    <x v="0"/>
    <n v="424221"/>
    <n v="15424221"/>
  </r>
  <r>
    <x v="599"/>
    <x v="9"/>
    <x v="1"/>
    <n v="39190514"/>
    <s v="Crédito"/>
    <n v="5062301"/>
    <x v="294"/>
    <x v="6"/>
    <x v="4"/>
    <n v="682564"/>
    <n v="15682564"/>
  </r>
  <r>
    <x v="600"/>
    <x v="8"/>
    <x v="3"/>
    <n v="17849513"/>
    <s v="Transferencia"/>
    <n v="2643942"/>
    <x v="104"/>
    <x v="2"/>
    <x v="3"/>
    <n v="304111"/>
    <n v="15304111"/>
  </r>
  <r>
    <x v="601"/>
    <x v="7"/>
    <x v="4"/>
    <n v="4755438"/>
    <s v="Crédito"/>
    <n v="10710035"/>
    <x v="295"/>
    <x v="3"/>
    <x v="2"/>
    <n v="736887"/>
    <n v="15736887"/>
  </r>
  <r>
    <x v="602"/>
    <x v="9"/>
    <x v="0"/>
    <n v="14741835"/>
    <s v="Efectivo"/>
    <n v="3500459"/>
    <x v="290"/>
    <x v="6"/>
    <x v="4"/>
    <n v="224828"/>
    <n v="15224828"/>
  </r>
  <r>
    <x v="603"/>
    <x v="0"/>
    <x v="0"/>
    <n v="34069791"/>
    <s v="Crédito"/>
    <n v="4010205"/>
    <x v="296"/>
    <x v="6"/>
    <x v="3"/>
    <n v="601192"/>
    <n v="15601192"/>
  </r>
  <r>
    <x v="604"/>
    <x v="4"/>
    <x v="0"/>
    <n v="35748813"/>
    <s v="Crédito"/>
    <n v="855660"/>
    <x v="138"/>
    <x v="3"/>
    <x v="1"/>
    <n v="543844"/>
    <n v="15543844"/>
  </r>
  <r>
    <x v="605"/>
    <x v="6"/>
    <x v="2"/>
    <n v="4360114"/>
    <s v="Transferencia"/>
    <n v="437613"/>
    <x v="297"/>
    <x v="3"/>
    <x v="1"/>
    <n v="7845"/>
    <n v="1507845"/>
  </r>
  <r>
    <x v="606"/>
    <x v="5"/>
    <x v="0"/>
    <n v="49453973"/>
    <s v="Efectivo"/>
    <n v="7783468"/>
    <x v="169"/>
    <x v="2"/>
    <x v="1"/>
    <n v="83341"/>
    <n v="1583341"/>
  </r>
  <r>
    <x v="607"/>
    <x v="6"/>
    <x v="4"/>
    <n v="30157586"/>
    <s v="Efectivo"/>
    <n v="2719823"/>
    <x v="32"/>
    <x v="8"/>
    <x v="0"/>
    <n v="548755"/>
    <n v="15548755"/>
  </r>
  <r>
    <x v="608"/>
    <x v="5"/>
    <x v="2"/>
    <n v="42075684"/>
    <s v="Efectivo"/>
    <n v="3102251"/>
    <x v="86"/>
    <x v="4"/>
    <x v="2"/>
    <n v="779469"/>
    <n v="15779469"/>
  </r>
  <r>
    <x v="609"/>
    <x v="4"/>
    <x v="1"/>
    <n v="36001814"/>
    <s v="Transferencia"/>
    <n v="5243"/>
    <x v="298"/>
    <x v="7"/>
    <x v="3"/>
    <n v="718988"/>
    <n v="15718988"/>
  </r>
  <r>
    <x v="610"/>
    <x v="9"/>
    <x v="2"/>
    <n v="28479481"/>
    <s v="Crédito"/>
    <n v="510167"/>
    <x v="299"/>
    <x v="9"/>
    <x v="5"/>
    <n v="559386"/>
    <n v="15559386"/>
  </r>
  <r>
    <x v="611"/>
    <x v="4"/>
    <x v="0"/>
    <n v="1703357"/>
    <s v="Efectivo"/>
    <n v="36852"/>
    <x v="223"/>
    <x v="1"/>
    <x v="4"/>
    <n v="3333"/>
    <n v="1503333"/>
  </r>
  <r>
    <x v="612"/>
    <x v="9"/>
    <x v="2"/>
    <n v="49678846"/>
    <s v="Efectivo"/>
    <n v="5656047"/>
    <x v="270"/>
    <x v="1"/>
    <x v="2"/>
    <n v="880456"/>
    <n v="15880456"/>
  </r>
  <r>
    <x v="613"/>
    <x v="0"/>
    <x v="1"/>
    <n v="39953832"/>
    <s v="Crédito"/>
    <n v="1056995"/>
    <x v="55"/>
    <x v="9"/>
    <x v="3"/>
    <n v="777937"/>
    <n v="15777937"/>
  </r>
  <r>
    <x v="614"/>
    <x v="5"/>
    <x v="1"/>
    <n v="38211149"/>
    <s v="Transferencia"/>
    <n v="486917"/>
    <x v="51"/>
    <x v="1"/>
    <x v="3"/>
    <n v="754485"/>
    <n v="15754485"/>
  </r>
  <r>
    <x v="615"/>
    <x v="4"/>
    <x v="0"/>
    <n v="10478845"/>
    <s v="Transferencia"/>
    <n v="178042"/>
    <x v="91"/>
    <x v="9"/>
    <x v="1"/>
    <n v="206016"/>
    <n v="15206016"/>
  </r>
  <r>
    <x v="616"/>
    <x v="5"/>
    <x v="0"/>
    <n v="3213841"/>
    <s v="Transferencia"/>
    <n v="4047407"/>
    <x v="300"/>
    <x v="4"/>
    <x v="2"/>
    <n v="56182"/>
    <n v="1556182"/>
  </r>
  <r>
    <x v="617"/>
    <x v="5"/>
    <x v="4"/>
    <n v="4112326"/>
    <s v="Crédito"/>
    <n v="309462"/>
    <x v="264"/>
    <x v="1"/>
    <x v="0"/>
    <n v="76057"/>
    <n v="15076057"/>
  </r>
  <r>
    <x v="618"/>
    <x v="2"/>
    <x v="3"/>
    <n v="36582525"/>
    <s v="Transferencia"/>
    <n v="5406592"/>
    <x v="64"/>
    <x v="3"/>
    <x v="4"/>
    <n v="623519"/>
    <n v="15623519"/>
  </r>
  <r>
    <x v="619"/>
    <x v="9"/>
    <x v="2"/>
    <n v="30598238"/>
    <s v="Transferencia"/>
    <n v="3571783"/>
    <x v="39"/>
    <x v="5"/>
    <x v="2"/>
    <n v="540529"/>
    <n v="15540529"/>
  </r>
  <r>
    <x v="620"/>
    <x v="3"/>
    <x v="4"/>
    <n v="33240854"/>
    <s v="Efectivo"/>
    <n v="413668"/>
    <x v="21"/>
    <x v="5"/>
    <x v="5"/>
    <n v="656544"/>
    <n v="15656544"/>
  </r>
  <r>
    <x v="621"/>
    <x v="8"/>
    <x v="0"/>
    <n v="2724104"/>
    <s v="Efectivo"/>
    <n v="5920447"/>
    <x v="140"/>
    <x v="7"/>
    <x v="3"/>
    <n v="426412"/>
    <n v="15426412"/>
  </r>
  <r>
    <x v="622"/>
    <x v="8"/>
    <x v="2"/>
    <n v="10866535"/>
    <s v="Crédito"/>
    <n v="191104"/>
    <x v="218"/>
    <x v="8"/>
    <x v="0"/>
    <n v="213509"/>
    <n v="15213509"/>
  </r>
  <r>
    <x v="623"/>
    <x v="2"/>
    <x v="4"/>
    <n v="26294204"/>
    <s v="Efectivo"/>
    <n v="5431822"/>
    <x v="138"/>
    <x v="5"/>
    <x v="5"/>
    <n v="417248"/>
    <n v="15417248"/>
  </r>
  <r>
    <x v="624"/>
    <x v="0"/>
    <x v="0"/>
    <n v="22724638"/>
    <s v="Efectivo"/>
    <n v="873868"/>
    <x v="227"/>
    <x v="1"/>
    <x v="2"/>
    <n v="437015"/>
    <n v="15437015"/>
  </r>
  <r>
    <x v="625"/>
    <x v="7"/>
    <x v="0"/>
    <n v="16554619"/>
    <s v="Efectivo"/>
    <n v="705715"/>
    <x v="34"/>
    <x v="5"/>
    <x v="0"/>
    <n v="316978"/>
    <n v="15316978"/>
  </r>
  <r>
    <x v="626"/>
    <x v="7"/>
    <x v="4"/>
    <n v="36212577"/>
    <s v="Efectivo"/>
    <n v="4669463"/>
    <x v="246"/>
    <x v="9"/>
    <x v="1"/>
    <n v="630862"/>
    <n v="15630862"/>
  </r>
  <r>
    <x v="627"/>
    <x v="5"/>
    <x v="2"/>
    <n v="45101899"/>
    <s v="Transferencia"/>
    <n v="5871077"/>
    <x v="212"/>
    <x v="4"/>
    <x v="3"/>
    <n v="784616"/>
    <n v="15784616"/>
  </r>
  <r>
    <x v="628"/>
    <x v="0"/>
    <x v="0"/>
    <n v="32115535"/>
    <s v="Transferencia"/>
    <n v="2506894"/>
    <x v="180"/>
    <x v="1"/>
    <x v="3"/>
    <n v="592173"/>
    <n v="15592173"/>
  </r>
  <r>
    <x v="629"/>
    <x v="5"/>
    <x v="2"/>
    <n v="32098539"/>
    <s v="Transferencia"/>
    <n v="748244"/>
    <x v="301"/>
    <x v="6"/>
    <x v="2"/>
    <n v="492322"/>
    <n v="15492322"/>
  </r>
  <r>
    <x v="630"/>
    <x v="1"/>
    <x v="4"/>
    <n v="6635217"/>
    <s v="Efectivo"/>
    <n v="1189128"/>
    <x v="63"/>
    <x v="3"/>
    <x v="3"/>
    <n v="108922"/>
    <n v="15108922"/>
  </r>
  <r>
    <x v="631"/>
    <x v="4"/>
    <x v="4"/>
    <n v="14930655"/>
    <s v="Crédito"/>
    <n v="825763"/>
    <x v="214"/>
    <x v="8"/>
    <x v="1"/>
    <n v="282098"/>
    <n v="15282098"/>
  </r>
  <r>
    <x v="632"/>
    <x v="1"/>
    <x v="1"/>
    <n v="27047768"/>
    <s v="Efectivo"/>
    <n v="1919559"/>
    <x v="57"/>
    <x v="3"/>
    <x v="2"/>
    <n v="502564"/>
    <n v="15502564"/>
  </r>
  <r>
    <x v="633"/>
    <x v="8"/>
    <x v="1"/>
    <n v="15499663"/>
    <s v="Crédito"/>
    <n v="121381"/>
    <x v="45"/>
    <x v="2"/>
    <x v="4"/>
    <n v="307566"/>
    <n v="15307566"/>
  </r>
  <r>
    <x v="634"/>
    <x v="8"/>
    <x v="2"/>
    <n v="22197252"/>
    <s v="Transferencia"/>
    <n v="444085"/>
    <x v="271"/>
    <x v="8"/>
    <x v="2"/>
    <n v="355128"/>
    <n v="15355128"/>
  </r>
  <r>
    <x v="635"/>
    <x v="1"/>
    <x v="0"/>
    <n v="28051112"/>
    <s v="Transferencia"/>
    <n v="1234557"/>
    <x v="206"/>
    <x v="8"/>
    <x v="3"/>
    <n v="536331"/>
    <n v="15536331"/>
  </r>
  <r>
    <x v="636"/>
    <x v="6"/>
    <x v="0"/>
    <n v="45022376"/>
    <s v="Transferencia"/>
    <n v="546356"/>
    <x v="51"/>
    <x v="9"/>
    <x v="0"/>
    <n v="88952"/>
    <n v="1588952"/>
  </r>
  <r>
    <x v="637"/>
    <x v="6"/>
    <x v="0"/>
    <n v="1806043"/>
    <s v="Transferencia"/>
    <n v="247227"/>
    <x v="116"/>
    <x v="2"/>
    <x v="0"/>
    <n v="31176"/>
    <n v="15031176"/>
  </r>
  <r>
    <x v="638"/>
    <x v="6"/>
    <x v="3"/>
    <n v="10446548"/>
    <s v="Crédito"/>
    <n v="1381439"/>
    <x v="205"/>
    <x v="0"/>
    <x v="3"/>
    <n v="181302"/>
    <n v="15181302"/>
  </r>
  <r>
    <x v="639"/>
    <x v="3"/>
    <x v="2"/>
    <n v="45097955"/>
    <s v="Transferencia"/>
    <n v="5445536"/>
    <x v="290"/>
    <x v="7"/>
    <x v="0"/>
    <n v="793048"/>
    <n v="15793048"/>
  </r>
  <r>
    <x v="640"/>
    <x v="0"/>
    <x v="4"/>
    <n v="15798927"/>
    <s v="Transferencia"/>
    <n v="260583"/>
    <x v="302"/>
    <x v="5"/>
    <x v="3"/>
    <n v="310767"/>
    <n v="15310767"/>
  </r>
  <r>
    <x v="641"/>
    <x v="8"/>
    <x v="2"/>
    <n v="11451728"/>
    <s v="Crédito"/>
    <n v="1661492"/>
    <x v="147"/>
    <x v="7"/>
    <x v="0"/>
    <n v="195805"/>
    <n v="15195805"/>
  </r>
  <r>
    <x v="642"/>
    <x v="4"/>
    <x v="0"/>
    <n v="36543944"/>
    <s v="Efectivo"/>
    <n v="3606293"/>
    <x v="303"/>
    <x v="8"/>
    <x v="3"/>
    <n v="658753"/>
    <n v="15658753"/>
  </r>
  <r>
    <x v="643"/>
    <x v="6"/>
    <x v="2"/>
    <n v="44027558"/>
    <s v="Transferencia"/>
    <n v="338682"/>
    <x v="261"/>
    <x v="2"/>
    <x v="1"/>
    <n v="812815"/>
    <n v="15812815"/>
  </r>
  <r>
    <x v="644"/>
    <x v="2"/>
    <x v="2"/>
    <n v="44828208"/>
    <s v="Crédito"/>
    <n v="3403539"/>
    <x v="5"/>
    <x v="1"/>
    <x v="0"/>
    <n v="828493"/>
    <n v="15828493"/>
  </r>
  <r>
    <x v="645"/>
    <x v="2"/>
    <x v="4"/>
    <n v="4651970"/>
    <s v="Efectivo"/>
    <n v="3337511"/>
    <x v="115"/>
    <x v="1"/>
    <x v="4"/>
    <n v="863644"/>
    <n v="15863644"/>
  </r>
  <r>
    <x v="646"/>
    <x v="4"/>
    <x v="2"/>
    <n v="24796891"/>
    <s v="Transferencia"/>
    <n v="483311"/>
    <x v="223"/>
    <x v="4"/>
    <x v="1"/>
    <n v="399276"/>
    <n v="15399276"/>
  </r>
  <r>
    <x v="647"/>
    <x v="3"/>
    <x v="4"/>
    <n v="38479004"/>
    <s v="Transferencia"/>
    <n v="959965"/>
    <x v="117"/>
    <x v="1"/>
    <x v="4"/>
    <n v="750381"/>
    <n v="15750381"/>
  </r>
  <r>
    <x v="648"/>
    <x v="9"/>
    <x v="3"/>
    <n v="47702414"/>
    <s v="Transferencia"/>
    <n v="8040241"/>
    <x v="251"/>
    <x v="0"/>
    <x v="5"/>
    <n v="793243"/>
    <n v="15793243"/>
  </r>
  <r>
    <x v="649"/>
    <x v="0"/>
    <x v="1"/>
    <n v="42630187"/>
    <s v="Efectivo"/>
    <n v="4068358"/>
    <x v="250"/>
    <x v="7"/>
    <x v="3"/>
    <n v="771237"/>
    <n v="15771237"/>
  </r>
  <r>
    <x v="650"/>
    <x v="1"/>
    <x v="1"/>
    <n v="31044129"/>
    <s v="Crédito"/>
    <n v="664841"/>
    <x v="304"/>
    <x v="3"/>
    <x v="5"/>
    <n v="487914"/>
    <n v="15487914"/>
  </r>
  <r>
    <x v="651"/>
    <x v="6"/>
    <x v="4"/>
    <n v="18124062"/>
    <s v="Transferencia"/>
    <n v="124751"/>
    <x v="287"/>
    <x v="9"/>
    <x v="0"/>
    <n v="359986"/>
    <n v="15359986"/>
  </r>
  <r>
    <x v="652"/>
    <x v="3"/>
    <x v="4"/>
    <n v="21986036"/>
    <s v="Transferencia"/>
    <n v="132067"/>
    <x v="5"/>
    <x v="7"/>
    <x v="2"/>
    <n v="413307"/>
    <n v="15413307"/>
  </r>
  <r>
    <x v="653"/>
    <x v="0"/>
    <x v="1"/>
    <n v="37310398"/>
    <s v="Transferencia"/>
    <n v="4397757"/>
    <x v="267"/>
    <x v="9"/>
    <x v="4"/>
    <n v="658253"/>
    <n v="15658253"/>
  </r>
  <r>
    <x v="654"/>
    <x v="8"/>
    <x v="4"/>
    <n v="43439794"/>
    <s v="Transferencia"/>
    <n v="8143914"/>
    <x v="277"/>
    <x v="3"/>
    <x v="5"/>
    <n v="705918"/>
    <n v="15705918"/>
  </r>
  <r>
    <x v="655"/>
    <x v="1"/>
    <x v="0"/>
    <n v="15509666"/>
    <s v="Crédito"/>
    <n v="318311"/>
    <x v="44"/>
    <x v="1"/>
    <x v="5"/>
    <n v="303827"/>
    <n v="15303827"/>
  </r>
  <r>
    <x v="656"/>
    <x v="2"/>
    <x v="3"/>
    <n v="3475937"/>
    <s v="Crédito"/>
    <n v="115146"/>
    <x v="305"/>
    <x v="3"/>
    <x v="1"/>
    <n v="67216"/>
    <n v="15067216"/>
  </r>
  <r>
    <x v="657"/>
    <x v="3"/>
    <x v="3"/>
    <n v="486221"/>
    <s v="Crédito"/>
    <n v="941735"/>
    <x v="10"/>
    <x v="1"/>
    <x v="0"/>
    <n v="7841"/>
    <n v="1507841"/>
  </r>
  <r>
    <x v="658"/>
    <x v="0"/>
    <x v="1"/>
    <n v="22548345"/>
    <s v="Crédito"/>
    <n v="3138408"/>
    <x v="271"/>
    <x v="6"/>
    <x v="4"/>
    <n v="388199"/>
    <n v="15388199"/>
  </r>
  <r>
    <x v="659"/>
    <x v="1"/>
    <x v="3"/>
    <n v="29745872"/>
    <s v="Crédito"/>
    <n v="3506375"/>
    <x v="204"/>
    <x v="7"/>
    <x v="2"/>
    <n v="52479"/>
    <n v="1552479"/>
  </r>
  <r>
    <x v="660"/>
    <x v="7"/>
    <x v="4"/>
    <n v="5380363"/>
    <s v="Transferencia"/>
    <n v="333219"/>
    <x v="140"/>
    <x v="3"/>
    <x v="2"/>
    <n v="100943"/>
    <n v="15100943"/>
  </r>
  <r>
    <x v="661"/>
    <x v="4"/>
    <x v="4"/>
    <n v="40632188"/>
    <s v="Crédito"/>
    <n v="8525318"/>
    <x v="74"/>
    <x v="7"/>
    <x v="5"/>
    <n v="642137"/>
    <n v="15642137"/>
  </r>
  <r>
    <x v="662"/>
    <x v="0"/>
    <x v="4"/>
    <n v="20113353"/>
    <s v="Efectivo"/>
    <n v="940366"/>
    <x v="306"/>
    <x v="4"/>
    <x v="2"/>
    <n v="38346"/>
    <n v="1538346"/>
  </r>
  <r>
    <x v="663"/>
    <x v="0"/>
    <x v="3"/>
    <n v="3865808"/>
    <s v="Efectivo"/>
    <n v="5081083"/>
    <x v="307"/>
    <x v="9"/>
    <x v="0"/>
    <n v="67154"/>
    <n v="1567154"/>
  </r>
  <r>
    <x v="664"/>
    <x v="7"/>
    <x v="4"/>
    <n v="20308484"/>
    <s v="Efectivo"/>
    <n v="4964007"/>
    <x v="285"/>
    <x v="3"/>
    <x v="4"/>
    <n v="30689"/>
    <n v="1530689"/>
  </r>
  <r>
    <x v="665"/>
    <x v="1"/>
    <x v="3"/>
    <n v="41366491"/>
    <s v="Transferencia"/>
    <n v="980445"/>
    <x v="101"/>
    <x v="1"/>
    <x v="2"/>
    <n v="631241"/>
    <n v="15631241"/>
  </r>
  <r>
    <x v="666"/>
    <x v="9"/>
    <x v="3"/>
    <n v="48769213"/>
    <s v="Crédito"/>
    <n v="82962"/>
    <x v="266"/>
    <x v="1"/>
    <x v="1"/>
    <n v="973725"/>
    <n v="15973725"/>
  </r>
  <r>
    <x v="667"/>
    <x v="4"/>
    <x v="2"/>
    <n v="20319539"/>
    <s v="Transferencia"/>
    <n v="173410"/>
    <x v="259"/>
    <x v="7"/>
    <x v="1"/>
    <n v="371709"/>
    <n v="15371709"/>
  </r>
  <r>
    <x v="668"/>
    <x v="3"/>
    <x v="3"/>
    <n v="12962131"/>
    <s v="Transferencia"/>
    <n v="1127022"/>
    <x v="43"/>
    <x v="3"/>
    <x v="0"/>
    <n v="236702"/>
    <n v="15236702"/>
  </r>
  <r>
    <x v="669"/>
    <x v="1"/>
    <x v="4"/>
    <n v="47444545"/>
    <s v="Transferencia"/>
    <n v="2799037"/>
    <x v="257"/>
    <x v="9"/>
    <x v="3"/>
    <n v="89291"/>
    <n v="1589291"/>
  </r>
  <r>
    <x v="670"/>
    <x v="7"/>
    <x v="3"/>
    <n v="12919618"/>
    <s v="Efectivo"/>
    <n v="2963842"/>
    <x v="69"/>
    <x v="3"/>
    <x v="0"/>
    <n v="199116"/>
    <n v="15199116"/>
  </r>
  <r>
    <x v="671"/>
    <x v="0"/>
    <x v="2"/>
    <n v="37474157"/>
    <s v="Transferencia"/>
    <n v="72595"/>
    <x v="176"/>
    <x v="0"/>
    <x v="1"/>
    <n v="734964"/>
    <n v="15734964"/>
  </r>
  <r>
    <x v="672"/>
    <x v="4"/>
    <x v="3"/>
    <n v="16328399"/>
    <s v="Crédito"/>
    <n v="524483"/>
    <x v="156"/>
    <x v="0"/>
    <x v="1"/>
    <n v="316078"/>
    <n v="15316078"/>
  </r>
  <r>
    <x v="673"/>
    <x v="4"/>
    <x v="0"/>
    <n v="43735584"/>
    <s v="Crédito"/>
    <n v="4899268"/>
    <x v="42"/>
    <x v="9"/>
    <x v="5"/>
    <n v="776726"/>
    <n v="15776726"/>
  </r>
  <r>
    <x v="674"/>
    <x v="0"/>
    <x v="4"/>
    <n v="2690673"/>
    <s v="Transferencia"/>
    <n v="349125"/>
    <x v="149"/>
    <x v="4"/>
    <x v="5"/>
    <n v="46831"/>
    <n v="1546831"/>
  </r>
  <r>
    <x v="675"/>
    <x v="7"/>
    <x v="1"/>
    <n v="41298906"/>
    <s v="Crédito"/>
    <n v="234329"/>
    <x v="308"/>
    <x v="6"/>
    <x v="3"/>
    <n v="821292"/>
    <n v="15821292"/>
  </r>
  <r>
    <x v="676"/>
    <x v="1"/>
    <x v="2"/>
    <n v="43267549"/>
    <s v="Efectivo"/>
    <n v="519245"/>
    <x v="126"/>
    <x v="2"/>
    <x v="0"/>
    <n v="854966"/>
    <n v="15854966"/>
  </r>
  <r>
    <x v="677"/>
    <x v="0"/>
    <x v="4"/>
    <n v="24303076"/>
    <s v="Crédito"/>
    <n v="2489764"/>
    <x v="268"/>
    <x v="3"/>
    <x v="5"/>
    <n v="436266"/>
    <n v="15436266"/>
  </r>
  <r>
    <x v="678"/>
    <x v="9"/>
    <x v="0"/>
    <n v="39126977"/>
    <s v="Crédito"/>
    <n v="772674"/>
    <x v="247"/>
    <x v="8"/>
    <x v="1"/>
    <n v="767086"/>
    <n v="15767086"/>
  </r>
  <r>
    <x v="679"/>
    <x v="1"/>
    <x v="0"/>
    <n v="29704617"/>
    <s v="Efectivo"/>
    <n v="2567334"/>
    <x v="309"/>
    <x v="4"/>
    <x v="0"/>
    <n v="542746"/>
    <n v="15542746"/>
  </r>
  <r>
    <x v="680"/>
    <x v="1"/>
    <x v="4"/>
    <n v="36289531"/>
    <s v="Efectivo"/>
    <n v="655763"/>
    <x v="134"/>
    <x v="4"/>
    <x v="0"/>
    <n v="594638"/>
    <n v="15594638"/>
  </r>
  <r>
    <x v="681"/>
    <x v="9"/>
    <x v="1"/>
    <n v="46767745"/>
    <s v="Efectivo"/>
    <n v="7850363"/>
    <x v="310"/>
    <x v="7"/>
    <x v="5"/>
    <n v="778348"/>
    <n v="15778348"/>
  </r>
  <r>
    <x v="682"/>
    <x v="4"/>
    <x v="1"/>
    <n v="23841948"/>
    <s v="Crédito"/>
    <n v="3898589"/>
    <x v="139"/>
    <x v="4"/>
    <x v="1"/>
    <n v="398867"/>
    <n v="15398867"/>
  </r>
  <r>
    <x v="683"/>
    <x v="8"/>
    <x v="1"/>
    <n v="22251318"/>
    <s v="Transferencia"/>
    <n v="3496741"/>
    <x v="216"/>
    <x v="4"/>
    <x v="3"/>
    <n v="375092"/>
    <n v="15375092"/>
  </r>
  <r>
    <x v="684"/>
    <x v="6"/>
    <x v="1"/>
    <n v="49605429"/>
    <s v="Crédito"/>
    <n v="1458287"/>
    <x v="274"/>
    <x v="4"/>
    <x v="4"/>
    <n v="962943"/>
    <n v="15962943"/>
  </r>
  <r>
    <x v="685"/>
    <x v="3"/>
    <x v="4"/>
    <n v="12157145"/>
    <s v="Efectivo"/>
    <n v="75173"/>
    <x v="188"/>
    <x v="2"/>
    <x v="1"/>
    <n v="228108"/>
    <n v="15228108"/>
  </r>
  <r>
    <x v="686"/>
    <x v="8"/>
    <x v="1"/>
    <n v="1966087"/>
    <s v="Transferencia"/>
    <n v="1682608"/>
    <x v="55"/>
    <x v="8"/>
    <x v="2"/>
    <n v="359565"/>
    <n v="15359565"/>
  </r>
  <r>
    <x v="687"/>
    <x v="9"/>
    <x v="4"/>
    <n v="2350058"/>
    <s v="Crédito"/>
    <n v="137018"/>
    <x v="275"/>
    <x v="8"/>
    <x v="3"/>
    <n v="44261"/>
    <n v="15044261"/>
  </r>
  <r>
    <x v="688"/>
    <x v="9"/>
    <x v="0"/>
    <n v="17766466"/>
    <s v="Crédito"/>
    <n v="2450912"/>
    <x v="232"/>
    <x v="7"/>
    <x v="5"/>
    <n v="306311"/>
    <n v="15306311"/>
  </r>
  <r>
    <x v="689"/>
    <x v="9"/>
    <x v="2"/>
    <n v="31502875"/>
    <s v="Efectivo"/>
    <n v="5870574"/>
    <x v="158"/>
    <x v="3"/>
    <x v="4"/>
    <n v="512646"/>
    <n v="15512646"/>
  </r>
  <r>
    <x v="690"/>
    <x v="0"/>
    <x v="4"/>
    <n v="46644344"/>
    <s v="Crédito"/>
    <n v="10970761"/>
    <x v="57"/>
    <x v="2"/>
    <x v="4"/>
    <n v="713472"/>
    <n v="15713472"/>
  </r>
  <r>
    <x v="691"/>
    <x v="9"/>
    <x v="1"/>
    <n v="35302058"/>
    <s v="Crédito"/>
    <n v="235790"/>
    <x v="311"/>
    <x v="8"/>
    <x v="1"/>
    <n v="658883"/>
    <n v="15658883"/>
  </r>
  <r>
    <x v="692"/>
    <x v="4"/>
    <x v="3"/>
    <n v="1230068"/>
    <s v="Crédito"/>
    <n v="57987"/>
    <x v="51"/>
    <x v="4"/>
    <x v="2"/>
    <n v="23442"/>
    <n v="15023442"/>
  </r>
  <r>
    <x v="693"/>
    <x v="3"/>
    <x v="0"/>
    <n v="20444708"/>
    <s v="Crédito"/>
    <n v="4196242"/>
    <x v="14"/>
    <x v="3"/>
    <x v="2"/>
    <n v="324969"/>
    <n v="15324969"/>
  </r>
  <r>
    <x v="694"/>
    <x v="8"/>
    <x v="1"/>
    <n v="31653174"/>
    <s v="Efectivo"/>
    <n v="4324933"/>
    <x v="247"/>
    <x v="4"/>
    <x v="5"/>
    <n v="546565"/>
    <n v="15546565"/>
  </r>
  <r>
    <x v="695"/>
    <x v="3"/>
    <x v="1"/>
    <n v="13631887"/>
    <s v="Efectivo"/>
    <n v="49881"/>
    <x v="312"/>
    <x v="4"/>
    <x v="2"/>
    <n v="262662"/>
    <n v="15262662"/>
  </r>
  <r>
    <x v="696"/>
    <x v="1"/>
    <x v="0"/>
    <n v="39736995"/>
    <s v="Transferencia"/>
    <n v="5033257"/>
    <x v="313"/>
    <x v="9"/>
    <x v="2"/>
    <n v="694075"/>
    <n v="15694075"/>
  </r>
  <r>
    <x v="697"/>
    <x v="4"/>
    <x v="1"/>
    <n v="2058283"/>
    <s v="Transferencia"/>
    <n v="4713963"/>
    <x v="295"/>
    <x v="4"/>
    <x v="4"/>
    <n v="317377"/>
    <n v="15317377"/>
  </r>
  <r>
    <x v="698"/>
    <x v="2"/>
    <x v="4"/>
    <n v="1180823"/>
    <s v="Transferencia"/>
    <n v="1687753"/>
    <x v="314"/>
    <x v="8"/>
    <x v="3"/>
    <n v="20241"/>
    <n v="1520241"/>
  </r>
  <r>
    <x v="699"/>
    <x v="9"/>
    <x v="3"/>
    <n v="3607392"/>
    <s v="Crédito"/>
    <n v="521067"/>
    <x v="118"/>
    <x v="2"/>
    <x v="1"/>
    <n v="61726"/>
    <n v="15061726"/>
  </r>
  <r>
    <x v="700"/>
    <x v="3"/>
    <x v="1"/>
    <n v="4836944"/>
    <s v="Efectivo"/>
    <n v="7401522"/>
    <x v="46"/>
    <x v="6"/>
    <x v="3"/>
    <n v="819358"/>
    <n v="15819358"/>
  </r>
  <r>
    <x v="701"/>
    <x v="6"/>
    <x v="0"/>
    <n v="23835514"/>
    <s v="Transferencia"/>
    <n v="4449514"/>
    <x v="143"/>
    <x v="8"/>
    <x v="4"/>
    <n v="38772"/>
    <n v="1538772"/>
  </r>
  <r>
    <x v="702"/>
    <x v="6"/>
    <x v="3"/>
    <n v="14874093"/>
    <s v="Crédito"/>
    <n v="895466"/>
    <x v="221"/>
    <x v="5"/>
    <x v="4"/>
    <n v="279573"/>
    <n v="15279573"/>
  </r>
  <r>
    <x v="703"/>
    <x v="1"/>
    <x v="3"/>
    <n v="46863408"/>
    <s v="Transferencia"/>
    <n v="6209354"/>
    <x v="288"/>
    <x v="7"/>
    <x v="3"/>
    <n v="813081"/>
    <n v="15813081"/>
  </r>
  <r>
    <x v="704"/>
    <x v="4"/>
    <x v="0"/>
    <n v="36773181"/>
    <s v="Transferencia"/>
    <n v="8012953"/>
    <x v="121"/>
    <x v="5"/>
    <x v="0"/>
    <n v="575205"/>
    <n v="15575205"/>
  </r>
  <r>
    <x v="705"/>
    <x v="5"/>
    <x v="4"/>
    <n v="49012171"/>
    <s v="Efectivo"/>
    <n v="2254684"/>
    <x v="251"/>
    <x v="9"/>
    <x v="2"/>
    <n v="93515"/>
    <n v="1593515"/>
  </r>
  <r>
    <x v="706"/>
    <x v="7"/>
    <x v="3"/>
    <n v="9359055"/>
    <s v="Crédito"/>
    <n v="1460284"/>
    <x v="115"/>
    <x v="3"/>
    <x v="5"/>
    <n v="157975"/>
    <n v="15157975"/>
  </r>
  <r>
    <x v="707"/>
    <x v="4"/>
    <x v="2"/>
    <n v="28998039"/>
    <s v="Efectivo"/>
    <n v="3639453"/>
    <x v="166"/>
    <x v="2"/>
    <x v="1"/>
    <n v="507172"/>
    <n v="15507172"/>
  </r>
  <r>
    <x v="708"/>
    <x v="2"/>
    <x v="0"/>
    <n v="44061922"/>
    <s v="Efectivo"/>
    <n v="9790153"/>
    <x v="207"/>
    <x v="6"/>
    <x v="3"/>
    <n v="685435"/>
    <n v="15685435"/>
  </r>
  <r>
    <x v="709"/>
    <x v="4"/>
    <x v="4"/>
    <n v="37278907"/>
    <s v="Crédito"/>
    <n v="3633636"/>
    <x v="56"/>
    <x v="7"/>
    <x v="3"/>
    <n v="672905"/>
    <n v="15672905"/>
  </r>
  <r>
    <x v="710"/>
    <x v="0"/>
    <x v="0"/>
    <n v="20861855"/>
    <s v="Transferencia"/>
    <n v="3225201"/>
    <x v="315"/>
    <x v="0"/>
    <x v="1"/>
    <n v="352733"/>
    <n v="15352733"/>
  </r>
  <r>
    <x v="711"/>
    <x v="6"/>
    <x v="1"/>
    <n v="32463056"/>
    <s v="Transferencia"/>
    <n v="1481529"/>
    <x v="62"/>
    <x v="5"/>
    <x v="3"/>
    <n v="619631"/>
    <n v="15619631"/>
  </r>
  <r>
    <x v="712"/>
    <x v="4"/>
    <x v="0"/>
    <n v="45769222"/>
    <s v="Transferencia"/>
    <n v="7461164"/>
    <x v="43"/>
    <x v="2"/>
    <x v="4"/>
    <n v="766161"/>
    <n v="15766161"/>
  </r>
  <r>
    <x v="713"/>
    <x v="5"/>
    <x v="0"/>
    <n v="7749388"/>
    <s v="Efectivo"/>
    <n v="1459586"/>
    <x v="172"/>
    <x v="3"/>
    <x v="2"/>
    <n v="125796"/>
    <n v="15125796"/>
  </r>
  <r>
    <x v="714"/>
    <x v="8"/>
    <x v="4"/>
    <n v="47673343"/>
    <s v="Transferencia"/>
    <n v="7885476"/>
    <x v="187"/>
    <x v="3"/>
    <x v="0"/>
    <n v="795757"/>
    <n v="15795757"/>
  </r>
  <r>
    <x v="715"/>
    <x v="3"/>
    <x v="4"/>
    <n v="16441851"/>
    <s v="Crédito"/>
    <n v="2804723"/>
    <x v="262"/>
    <x v="1"/>
    <x v="2"/>
    <n v="272743"/>
    <n v="15272743"/>
  </r>
  <r>
    <x v="716"/>
    <x v="1"/>
    <x v="0"/>
    <n v="41082467"/>
    <s v="Transferencia"/>
    <n v="1015354"/>
    <x v="22"/>
    <x v="1"/>
    <x v="5"/>
    <n v="618579"/>
    <n v="15618579"/>
  </r>
  <r>
    <x v="717"/>
    <x v="1"/>
    <x v="3"/>
    <n v="6825569"/>
    <s v="Transferencia"/>
    <n v="115573"/>
    <x v="316"/>
    <x v="4"/>
    <x v="1"/>
    <n v="113397"/>
    <n v="15113397"/>
  </r>
  <r>
    <x v="718"/>
    <x v="3"/>
    <x v="2"/>
    <n v="25700796"/>
    <s v="Transferencia"/>
    <n v="5884273"/>
    <x v="265"/>
    <x v="5"/>
    <x v="3"/>
    <n v="39633"/>
    <n v="1539633"/>
  </r>
  <r>
    <x v="719"/>
    <x v="2"/>
    <x v="0"/>
    <n v="43959337"/>
    <s v="Crédito"/>
    <n v="6724779"/>
    <x v="123"/>
    <x v="8"/>
    <x v="5"/>
    <n v="744691"/>
    <n v="15744691"/>
  </r>
  <r>
    <x v="720"/>
    <x v="4"/>
    <x v="3"/>
    <n v="2081908"/>
    <s v="Efectivo"/>
    <n v="136166"/>
    <x v="67"/>
    <x v="6"/>
    <x v="4"/>
    <n v="38915"/>
    <n v="15038915"/>
  </r>
  <r>
    <x v="721"/>
    <x v="5"/>
    <x v="3"/>
    <n v="44822067"/>
    <s v="Efectivo"/>
    <n v="32809"/>
    <x v="291"/>
    <x v="5"/>
    <x v="1"/>
    <n v="895785"/>
    <n v="15895785"/>
  </r>
  <r>
    <x v="722"/>
    <x v="2"/>
    <x v="3"/>
    <n v="22708086"/>
    <s v="Transferencia"/>
    <n v="4458761"/>
    <x v="317"/>
    <x v="3"/>
    <x v="2"/>
    <n v="364987"/>
    <n v="15364987"/>
  </r>
  <r>
    <x v="723"/>
    <x v="0"/>
    <x v="0"/>
    <n v="46667403"/>
    <s v="Crédito"/>
    <n v="3010498"/>
    <x v="19"/>
    <x v="9"/>
    <x v="2"/>
    <n v="873138"/>
    <n v="15873138"/>
  </r>
  <r>
    <x v="724"/>
    <x v="7"/>
    <x v="3"/>
    <n v="20883109"/>
    <s v="Efectivo"/>
    <n v="508407"/>
    <x v="318"/>
    <x v="8"/>
    <x v="2"/>
    <n v="315981"/>
    <n v="15315981"/>
  </r>
  <r>
    <x v="725"/>
    <x v="1"/>
    <x v="3"/>
    <n v="32562614"/>
    <s v="Efectivo"/>
    <n v="763826"/>
    <x v="214"/>
    <x v="3"/>
    <x v="0"/>
    <n v="635976"/>
    <n v="15635976"/>
  </r>
  <r>
    <x v="726"/>
    <x v="4"/>
    <x v="2"/>
    <n v="12187171"/>
    <s v="Efectivo"/>
    <n v="199492"/>
    <x v="319"/>
    <x v="3"/>
    <x v="5"/>
    <n v="239754"/>
    <n v="15239754"/>
  </r>
  <r>
    <x v="727"/>
    <x v="7"/>
    <x v="3"/>
    <n v="42937256"/>
    <s v="Crédito"/>
    <n v="4613304"/>
    <x v="128"/>
    <x v="6"/>
    <x v="3"/>
    <n v="766479"/>
    <n v="15766479"/>
  </r>
  <r>
    <x v="728"/>
    <x v="2"/>
    <x v="3"/>
    <n v="35122947"/>
    <s v="Crédito"/>
    <n v="4616993"/>
    <x v="320"/>
    <x v="5"/>
    <x v="5"/>
    <n v="610119"/>
    <n v="15610119"/>
  </r>
  <r>
    <x v="729"/>
    <x v="1"/>
    <x v="0"/>
    <n v="27148785"/>
    <s v="Transferencia"/>
    <n v="3735407"/>
    <x v="321"/>
    <x v="2"/>
    <x v="2"/>
    <n v="468268"/>
    <n v="15468268"/>
  </r>
  <r>
    <x v="730"/>
    <x v="9"/>
    <x v="0"/>
    <n v="31384265"/>
    <s v="Crédito"/>
    <n v="5099764"/>
    <x v="98"/>
    <x v="5"/>
    <x v="2"/>
    <n v="52569"/>
    <n v="1552569"/>
  </r>
  <r>
    <x v="731"/>
    <x v="5"/>
    <x v="1"/>
    <n v="40547512"/>
    <s v="Efectivo"/>
    <n v="4967909"/>
    <x v="35"/>
    <x v="6"/>
    <x v="2"/>
    <n v="711592"/>
    <n v="15711592"/>
  </r>
  <r>
    <x v="732"/>
    <x v="8"/>
    <x v="3"/>
    <n v="20996166"/>
    <s v="Crédito"/>
    <n v="3561014"/>
    <x v="171"/>
    <x v="6"/>
    <x v="1"/>
    <n v="348703"/>
    <n v="15348703"/>
  </r>
  <r>
    <x v="733"/>
    <x v="7"/>
    <x v="3"/>
    <n v="40802124"/>
    <s v="Crédito"/>
    <n v="10054725"/>
    <x v="219"/>
    <x v="6"/>
    <x v="4"/>
    <n v="614948"/>
    <n v="15614948"/>
  </r>
  <r>
    <x v="734"/>
    <x v="5"/>
    <x v="0"/>
    <n v="39695211"/>
    <s v="Efectivo"/>
    <n v="2388034"/>
    <x v="180"/>
    <x v="3"/>
    <x v="5"/>
    <n v="746144"/>
    <n v="15746144"/>
  </r>
  <r>
    <x v="735"/>
    <x v="0"/>
    <x v="4"/>
    <n v="8022626"/>
    <s v="Efectivo"/>
    <n v="1597017"/>
    <x v="256"/>
    <x v="0"/>
    <x v="4"/>
    <n v="128512"/>
    <n v="15128512"/>
  </r>
  <r>
    <x v="736"/>
    <x v="8"/>
    <x v="2"/>
    <n v="2444568"/>
    <s v="Transferencia"/>
    <n v="466587"/>
    <x v="322"/>
    <x v="9"/>
    <x v="2"/>
    <n v="3956"/>
    <n v="1503956"/>
  </r>
  <r>
    <x v="737"/>
    <x v="7"/>
    <x v="0"/>
    <n v="27845782"/>
    <s v="Crédito"/>
    <n v="4131072"/>
    <x v="323"/>
    <x v="1"/>
    <x v="1"/>
    <n v="474294"/>
    <n v="15474294"/>
  </r>
  <r>
    <x v="738"/>
    <x v="9"/>
    <x v="1"/>
    <n v="12026792"/>
    <s v="Efectivo"/>
    <n v="2153571"/>
    <x v="242"/>
    <x v="8"/>
    <x v="4"/>
    <n v="197464"/>
    <n v="15197464"/>
  </r>
  <r>
    <x v="739"/>
    <x v="7"/>
    <x v="4"/>
    <n v="7841616"/>
    <s v="Efectivo"/>
    <n v="787703"/>
    <x v="324"/>
    <x v="1"/>
    <x v="0"/>
    <n v="141078"/>
    <n v="15141078"/>
  </r>
  <r>
    <x v="740"/>
    <x v="7"/>
    <x v="3"/>
    <n v="7736173"/>
    <s v="Transferencia"/>
    <n v="571231"/>
    <x v="153"/>
    <x v="4"/>
    <x v="2"/>
    <n v="143299"/>
    <n v="15143299"/>
  </r>
  <r>
    <x v="741"/>
    <x v="6"/>
    <x v="4"/>
    <n v="6847297"/>
    <s v="Crédito"/>
    <n v="1501416"/>
    <x v="35"/>
    <x v="5"/>
    <x v="5"/>
    <n v="106918"/>
    <n v="15106918"/>
  </r>
  <r>
    <x v="742"/>
    <x v="0"/>
    <x v="1"/>
    <n v="5522618"/>
    <s v="Transferencia"/>
    <n v="77584"/>
    <x v="79"/>
    <x v="7"/>
    <x v="0"/>
    <n v="108901"/>
    <n v="15108901"/>
  </r>
  <r>
    <x v="743"/>
    <x v="3"/>
    <x v="3"/>
    <n v="30699437"/>
    <s v="Crédito"/>
    <n v="1080125"/>
    <x v="183"/>
    <x v="4"/>
    <x v="5"/>
    <n v="592386"/>
    <n v="15592386"/>
  </r>
  <r>
    <x v="744"/>
    <x v="2"/>
    <x v="1"/>
    <n v="32598939"/>
    <s v="Transferencia"/>
    <n v="7497979"/>
    <x v="261"/>
    <x v="6"/>
    <x v="5"/>
    <n v="502019"/>
    <n v="15502019"/>
  </r>
  <r>
    <x v="745"/>
    <x v="3"/>
    <x v="1"/>
    <n v="24101912"/>
    <s v="Transferencia"/>
    <n v="4917801"/>
    <x v="206"/>
    <x v="4"/>
    <x v="5"/>
    <n v="383682"/>
    <n v="15383682"/>
  </r>
  <r>
    <x v="746"/>
    <x v="9"/>
    <x v="4"/>
    <n v="36218471"/>
    <s v="Efectivo"/>
    <n v="3565177"/>
    <x v="272"/>
    <x v="7"/>
    <x v="5"/>
    <n v="653066"/>
    <n v="15653066"/>
  </r>
  <r>
    <x v="747"/>
    <x v="6"/>
    <x v="2"/>
    <n v="1045108"/>
    <s v="Crédito"/>
    <n v="914453"/>
    <x v="325"/>
    <x v="8"/>
    <x v="4"/>
    <n v="190733"/>
    <n v="15190733"/>
  </r>
  <r>
    <x v="748"/>
    <x v="7"/>
    <x v="0"/>
    <n v="27331876"/>
    <s v="Crédito"/>
    <n v="5588936"/>
    <x v="249"/>
    <x v="7"/>
    <x v="2"/>
    <n v="434859"/>
    <n v="15434859"/>
  </r>
  <r>
    <x v="749"/>
    <x v="7"/>
    <x v="0"/>
    <n v="7936633"/>
    <s v="Transferencia"/>
    <n v="55361"/>
    <x v="197"/>
    <x v="2"/>
    <x v="2"/>
    <n v="14766"/>
    <n v="1514766"/>
  </r>
  <r>
    <x v="750"/>
    <x v="6"/>
    <x v="1"/>
    <n v="14665133"/>
    <s v="Crédito"/>
    <n v="3236036"/>
    <x v="12"/>
    <x v="5"/>
    <x v="1"/>
    <n v="228582"/>
    <n v="15228582"/>
  </r>
  <r>
    <x v="751"/>
    <x v="0"/>
    <x v="2"/>
    <n v="21155088"/>
    <s v="Transferencia"/>
    <n v="4240374"/>
    <x v="163"/>
    <x v="2"/>
    <x v="0"/>
    <n v="338294"/>
    <n v="15338294"/>
  </r>
  <r>
    <x v="752"/>
    <x v="0"/>
    <x v="4"/>
    <n v="34505801"/>
    <s v="Transferencia"/>
    <n v="6388958"/>
    <x v="7"/>
    <x v="6"/>
    <x v="5"/>
    <n v="562337"/>
    <n v="15562337"/>
  </r>
  <r>
    <x v="753"/>
    <x v="3"/>
    <x v="4"/>
    <n v="21237403"/>
    <s v="Efectivo"/>
    <n v="4849999"/>
    <x v="326"/>
    <x v="9"/>
    <x v="1"/>
    <n v="327748"/>
    <n v="15327748"/>
  </r>
  <r>
    <x v="754"/>
    <x v="5"/>
    <x v="2"/>
    <n v="16963982"/>
    <s v="Transferencia"/>
    <n v="28489"/>
    <x v="187"/>
    <x v="1"/>
    <x v="1"/>
    <n v="33871"/>
    <n v="1533871"/>
  </r>
  <r>
    <x v="755"/>
    <x v="4"/>
    <x v="1"/>
    <n v="29709648"/>
    <s v="Efectivo"/>
    <n v="5669203"/>
    <x v="312"/>
    <x v="1"/>
    <x v="0"/>
    <n v="480809"/>
    <n v="15480809"/>
  </r>
  <r>
    <x v="756"/>
    <x v="1"/>
    <x v="0"/>
    <n v="20865013"/>
    <s v="Crédito"/>
    <n v="349143"/>
    <x v="215"/>
    <x v="1"/>
    <x v="4"/>
    <n v="347472"/>
    <n v="15347472"/>
  </r>
  <r>
    <x v="757"/>
    <x v="8"/>
    <x v="1"/>
    <n v="5947211"/>
    <s v="Crédito"/>
    <n v="5095"/>
    <x v="50"/>
    <x v="2"/>
    <x v="3"/>
    <n v="118842"/>
    <n v="15118842"/>
  </r>
  <r>
    <x v="758"/>
    <x v="2"/>
    <x v="1"/>
    <n v="21131346"/>
    <s v="Efectivo"/>
    <n v="5114215"/>
    <x v="104"/>
    <x v="6"/>
    <x v="5"/>
    <n v="320343"/>
    <n v="15320343"/>
  </r>
  <r>
    <x v="759"/>
    <x v="6"/>
    <x v="4"/>
    <n v="10382701"/>
    <s v="Crédito"/>
    <n v="1080649"/>
    <x v="318"/>
    <x v="2"/>
    <x v="5"/>
    <n v="186041"/>
    <n v="15186041"/>
  </r>
  <r>
    <x v="760"/>
    <x v="6"/>
    <x v="1"/>
    <n v="9058149"/>
    <s v="Crédito"/>
    <n v="1240933"/>
    <x v="59"/>
    <x v="6"/>
    <x v="3"/>
    <n v="156344"/>
    <n v="15156344"/>
  </r>
  <r>
    <x v="761"/>
    <x v="2"/>
    <x v="0"/>
    <n v="3386747"/>
    <s v="Transferencia"/>
    <n v="3580298"/>
    <x v="290"/>
    <x v="1"/>
    <x v="0"/>
    <n v="605743"/>
    <n v="15605743"/>
  </r>
  <r>
    <x v="762"/>
    <x v="1"/>
    <x v="0"/>
    <n v="2860195"/>
    <s v="Efectivo"/>
    <n v="5527152"/>
    <x v="325"/>
    <x v="5"/>
    <x v="2"/>
    <n v="461496"/>
    <n v="15461496"/>
  </r>
  <r>
    <x v="763"/>
    <x v="1"/>
    <x v="1"/>
    <n v="19624566"/>
    <s v="Efectivo"/>
    <n v="1443429"/>
    <x v="240"/>
    <x v="7"/>
    <x v="5"/>
    <n v="363623"/>
    <n v="15363623"/>
  </r>
  <r>
    <x v="764"/>
    <x v="7"/>
    <x v="4"/>
    <n v="44872442"/>
    <s v="Efectivo"/>
    <n v="10698108"/>
    <x v="293"/>
    <x v="3"/>
    <x v="1"/>
    <n v="683487"/>
    <n v="15683487"/>
  </r>
  <r>
    <x v="765"/>
    <x v="8"/>
    <x v="0"/>
    <n v="3996576"/>
    <s v="Efectivo"/>
    <n v="759413"/>
    <x v="206"/>
    <x v="3"/>
    <x v="1"/>
    <n v="64743"/>
    <n v="15064743"/>
  </r>
  <r>
    <x v="766"/>
    <x v="0"/>
    <x v="4"/>
    <n v="13981366"/>
    <s v="Crédito"/>
    <n v="332002"/>
    <x v="310"/>
    <x v="6"/>
    <x v="1"/>
    <n v="213227"/>
    <n v="15213227"/>
  </r>
  <r>
    <x v="767"/>
    <x v="4"/>
    <x v="4"/>
    <n v="100846"/>
    <s v="Efectivo"/>
    <n v="54821"/>
    <x v="327"/>
    <x v="7"/>
    <x v="3"/>
    <n v="19073"/>
    <n v="15019073"/>
  </r>
  <r>
    <x v="768"/>
    <x v="8"/>
    <x v="1"/>
    <n v="19510789"/>
    <s v="Transferencia"/>
    <n v="3297783"/>
    <x v="85"/>
    <x v="2"/>
    <x v="5"/>
    <n v="32426"/>
    <n v="1532426"/>
  </r>
  <r>
    <x v="769"/>
    <x v="0"/>
    <x v="0"/>
    <n v="29966678"/>
    <s v="Transferencia"/>
    <n v="5478499"/>
    <x v="14"/>
    <x v="2"/>
    <x v="5"/>
    <n v="489764"/>
    <n v="15489764"/>
  </r>
  <r>
    <x v="770"/>
    <x v="8"/>
    <x v="3"/>
    <n v="4194052"/>
    <s v="Efectivo"/>
    <n v="347687"/>
    <x v="308"/>
    <x v="0"/>
    <x v="3"/>
    <n v="76927"/>
    <n v="15076927"/>
  </r>
  <r>
    <x v="771"/>
    <x v="9"/>
    <x v="2"/>
    <n v="6550504"/>
    <s v="Efectivo"/>
    <n v="17835"/>
    <x v="178"/>
    <x v="4"/>
    <x v="2"/>
    <n v="127443"/>
    <n v="15127443"/>
  </r>
  <r>
    <x v="772"/>
    <x v="4"/>
    <x v="4"/>
    <n v="31679277"/>
    <s v="Crédito"/>
    <n v="3318202"/>
    <x v="160"/>
    <x v="8"/>
    <x v="1"/>
    <n v="567222"/>
    <n v="15567222"/>
  </r>
  <r>
    <x v="773"/>
    <x v="2"/>
    <x v="1"/>
    <n v="43811341"/>
    <s v="Transferencia"/>
    <n v="10917323"/>
    <x v="143"/>
    <x v="5"/>
    <x v="0"/>
    <n v="65788"/>
    <n v="1565788"/>
  </r>
  <r>
    <x v="774"/>
    <x v="0"/>
    <x v="1"/>
    <n v="25815589"/>
    <s v="Transferencia"/>
    <n v="729384"/>
    <x v="74"/>
    <x v="0"/>
    <x v="1"/>
    <n v="501724"/>
    <n v="15501724"/>
  </r>
  <r>
    <x v="775"/>
    <x v="3"/>
    <x v="1"/>
    <n v="25415106"/>
    <s v="Crédito"/>
    <n v="3792337"/>
    <x v="175"/>
    <x v="1"/>
    <x v="1"/>
    <n v="432455"/>
    <n v="15432455"/>
  </r>
  <r>
    <x v="776"/>
    <x v="3"/>
    <x v="4"/>
    <n v="48993111"/>
    <s v="Transferencia"/>
    <n v="7588309"/>
    <x v="51"/>
    <x v="0"/>
    <x v="4"/>
    <n v="828096"/>
    <n v="15828096"/>
  </r>
  <r>
    <x v="777"/>
    <x v="7"/>
    <x v="4"/>
    <n v="17651332"/>
    <s v="Efectivo"/>
    <n v="842448"/>
    <x v="190"/>
    <x v="5"/>
    <x v="5"/>
    <n v="336178"/>
    <n v="15336178"/>
  </r>
  <r>
    <x v="778"/>
    <x v="4"/>
    <x v="0"/>
    <n v="47352244"/>
    <s v="Crédito"/>
    <n v="462911"/>
    <x v="201"/>
    <x v="5"/>
    <x v="2"/>
    <n v="937787"/>
    <n v="15937787"/>
  </r>
  <r>
    <x v="779"/>
    <x v="7"/>
    <x v="2"/>
    <n v="41867837"/>
    <s v="Crédito"/>
    <n v="1592838"/>
    <x v="73"/>
    <x v="3"/>
    <x v="4"/>
    <n v="80550"/>
    <n v="1580550"/>
  </r>
  <r>
    <x v="780"/>
    <x v="7"/>
    <x v="3"/>
    <n v="2893252"/>
    <s v="Transferencia"/>
    <n v="1407288"/>
    <x v="328"/>
    <x v="9"/>
    <x v="5"/>
    <n v="550505"/>
    <n v="15550505"/>
  </r>
  <r>
    <x v="781"/>
    <x v="0"/>
    <x v="1"/>
    <n v="36423198"/>
    <s v="Transferencia"/>
    <n v="2669106"/>
    <x v="277"/>
    <x v="2"/>
    <x v="1"/>
    <n v="675082"/>
    <n v="15675082"/>
  </r>
  <r>
    <x v="782"/>
    <x v="6"/>
    <x v="4"/>
    <n v="35452638"/>
    <s v="Efectivo"/>
    <n v="7718098"/>
    <x v="168"/>
    <x v="4"/>
    <x v="1"/>
    <n v="554691"/>
    <n v="15554691"/>
  </r>
  <r>
    <x v="783"/>
    <x v="0"/>
    <x v="2"/>
    <n v="14650684"/>
    <s v="Transferencia"/>
    <n v="2956424"/>
    <x v="248"/>
    <x v="8"/>
    <x v="1"/>
    <n v="233885"/>
    <n v="15233885"/>
  </r>
  <r>
    <x v="784"/>
    <x v="6"/>
    <x v="4"/>
    <n v="44464575"/>
    <s v="Crédito"/>
    <n v="8893629"/>
    <x v="108"/>
    <x v="4"/>
    <x v="3"/>
    <n v="711419"/>
    <n v="15711419"/>
  </r>
  <r>
    <x v="785"/>
    <x v="2"/>
    <x v="4"/>
    <n v="709520"/>
    <s v="Efectivo"/>
    <n v="108545"/>
    <x v="250"/>
    <x v="9"/>
    <x v="4"/>
    <n v="139733"/>
    <n v="15139733"/>
  </r>
  <r>
    <x v="786"/>
    <x v="2"/>
    <x v="4"/>
    <n v="17332356"/>
    <s v="Transferencia"/>
    <n v="3727388"/>
    <x v="322"/>
    <x v="7"/>
    <x v="0"/>
    <n v="272099"/>
    <n v="15272099"/>
  </r>
  <r>
    <x v="787"/>
    <x v="8"/>
    <x v="2"/>
    <n v="1816143"/>
    <s v="Crédito"/>
    <n v="408906"/>
    <x v="1"/>
    <x v="6"/>
    <x v="1"/>
    <n v="28145"/>
    <n v="15028145"/>
  </r>
  <r>
    <x v="788"/>
    <x v="6"/>
    <x v="1"/>
    <n v="27164929"/>
    <s v="Efectivo"/>
    <n v="3797999"/>
    <x v="277"/>
    <x v="5"/>
    <x v="2"/>
    <n v="467339"/>
    <n v="15467339"/>
  </r>
  <r>
    <x v="789"/>
    <x v="4"/>
    <x v="2"/>
    <n v="29237138"/>
    <s v="Transferencia"/>
    <n v="5737954"/>
    <x v="85"/>
    <x v="1"/>
    <x v="2"/>
    <n v="469984"/>
    <n v="15469984"/>
  </r>
  <r>
    <x v="790"/>
    <x v="3"/>
    <x v="0"/>
    <n v="1292365"/>
    <s v="Crédito"/>
    <n v="38472"/>
    <x v="231"/>
    <x v="8"/>
    <x v="2"/>
    <n v="25078"/>
    <n v="15025078"/>
  </r>
  <r>
    <x v="791"/>
    <x v="3"/>
    <x v="4"/>
    <n v="31695601"/>
    <s v="Efectivo"/>
    <n v="7137647"/>
    <x v="320"/>
    <x v="1"/>
    <x v="3"/>
    <n v="491159"/>
    <n v="15491159"/>
  </r>
  <r>
    <x v="792"/>
    <x v="6"/>
    <x v="1"/>
    <n v="23831267"/>
    <s v="Crédito"/>
    <n v="5039848"/>
    <x v="111"/>
    <x v="4"/>
    <x v="0"/>
    <n v="375828"/>
    <n v="15375828"/>
  </r>
  <r>
    <x v="793"/>
    <x v="1"/>
    <x v="0"/>
    <n v="47419267"/>
    <s v="Efectivo"/>
    <n v="4741098"/>
    <x v="214"/>
    <x v="5"/>
    <x v="1"/>
    <n v="853563"/>
    <n v="15853563"/>
  </r>
  <r>
    <x v="794"/>
    <x v="0"/>
    <x v="1"/>
    <n v="11722489"/>
    <s v="Crédito"/>
    <n v="558681"/>
    <x v="157"/>
    <x v="7"/>
    <x v="2"/>
    <n v="223276"/>
    <n v="15223276"/>
  </r>
  <r>
    <x v="795"/>
    <x v="4"/>
    <x v="1"/>
    <n v="355425"/>
    <s v="Efectivo"/>
    <n v="77976"/>
    <x v="297"/>
    <x v="5"/>
    <x v="5"/>
    <n v="5549"/>
    <n v="1505549"/>
  </r>
  <r>
    <x v="796"/>
    <x v="3"/>
    <x v="4"/>
    <n v="20107825"/>
    <s v="Efectivo"/>
    <n v="2976712"/>
    <x v="139"/>
    <x v="5"/>
    <x v="0"/>
    <n v="342622"/>
    <n v="15342622"/>
  </r>
  <r>
    <x v="797"/>
    <x v="4"/>
    <x v="1"/>
    <n v="46697322"/>
    <s v="Crédito"/>
    <n v="7413135"/>
    <x v="158"/>
    <x v="3"/>
    <x v="2"/>
    <n v="785684"/>
    <n v="15785684"/>
  </r>
  <r>
    <x v="798"/>
    <x v="7"/>
    <x v="3"/>
    <n v="811137"/>
    <s v="Efectivo"/>
    <n v="1435262"/>
    <x v="181"/>
    <x v="5"/>
    <x v="2"/>
    <n v="133522"/>
    <n v="15133522"/>
  </r>
  <r>
    <x v="799"/>
    <x v="8"/>
    <x v="4"/>
    <n v="25243497"/>
    <s v="Efectivo"/>
    <n v="5232141"/>
    <x v="124"/>
    <x v="8"/>
    <x v="2"/>
    <n v="400227"/>
    <n v="15400227"/>
  </r>
  <r>
    <x v="800"/>
    <x v="0"/>
    <x v="3"/>
    <n v="49712533"/>
    <s v="Efectivo"/>
    <n v="12338821"/>
    <x v="167"/>
    <x v="7"/>
    <x v="5"/>
    <n v="747474"/>
    <n v="15747474"/>
  </r>
  <r>
    <x v="801"/>
    <x v="1"/>
    <x v="1"/>
    <n v="19543102"/>
    <s v="Efectivo"/>
    <n v="3359631"/>
    <x v="129"/>
    <x v="9"/>
    <x v="5"/>
    <n v="323669"/>
    <n v="15323669"/>
  </r>
  <r>
    <x v="802"/>
    <x v="5"/>
    <x v="4"/>
    <n v="46026945"/>
    <s v="Transferencia"/>
    <n v="3745758"/>
    <x v="64"/>
    <x v="2"/>
    <x v="1"/>
    <n v="845624"/>
    <n v="15845624"/>
  </r>
  <r>
    <x v="803"/>
    <x v="4"/>
    <x v="3"/>
    <n v="1204849"/>
    <s v="Efectivo"/>
    <n v="1043135"/>
    <x v="80"/>
    <x v="2"/>
    <x v="1"/>
    <n v="220107"/>
    <n v="15220107"/>
  </r>
  <r>
    <x v="804"/>
    <x v="6"/>
    <x v="1"/>
    <n v="37918982"/>
    <s v="Efectivo"/>
    <n v="6898681"/>
    <x v="275"/>
    <x v="9"/>
    <x v="4"/>
    <n v="620406"/>
    <n v="15620406"/>
  </r>
  <r>
    <x v="805"/>
    <x v="6"/>
    <x v="3"/>
    <n v="42205795"/>
    <s v="Efectivo"/>
    <n v="7914733"/>
    <x v="284"/>
    <x v="9"/>
    <x v="5"/>
    <n v="685821"/>
    <n v="15685821"/>
  </r>
  <r>
    <x v="806"/>
    <x v="0"/>
    <x v="4"/>
    <n v="31859637"/>
    <s v="Transferencia"/>
    <n v="1961213"/>
    <x v="329"/>
    <x v="2"/>
    <x v="4"/>
    <n v="597968"/>
    <n v="15597968"/>
  </r>
  <r>
    <x v="807"/>
    <x v="1"/>
    <x v="1"/>
    <n v="22092549"/>
    <s v="Transferencia"/>
    <n v="4579269"/>
    <x v="253"/>
    <x v="4"/>
    <x v="5"/>
    <n v="350266"/>
    <n v="15350266"/>
  </r>
  <r>
    <x v="808"/>
    <x v="7"/>
    <x v="0"/>
    <n v="1228766"/>
    <s v="Transferencia"/>
    <n v="2639"/>
    <x v="190"/>
    <x v="0"/>
    <x v="3"/>
    <n v="24048"/>
    <n v="15024048"/>
  </r>
  <r>
    <x v="809"/>
    <x v="3"/>
    <x v="1"/>
    <n v="16079866"/>
    <s v="Crédito"/>
    <n v="1834529"/>
    <x v="106"/>
    <x v="5"/>
    <x v="5"/>
    <n v="284907"/>
    <n v="15284907"/>
  </r>
  <r>
    <x v="810"/>
    <x v="9"/>
    <x v="0"/>
    <n v="21840314"/>
    <s v="Efectivo"/>
    <n v="3212146"/>
    <x v="144"/>
    <x v="8"/>
    <x v="3"/>
    <n v="372563"/>
    <n v="15372563"/>
  </r>
  <r>
    <x v="811"/>
    <x v="1"/>
    <x v="3"/>
    <n v="30235766"/>
    <s v="Transferencia"/>
    <n v="2418557"/>
    <x v="131"/>
    <x v="2"/>
    <x v="3"/>
    <n v="556344"/>
    <n v="15556344"/>
  </r>
  <r>
    <x v="812"/>
    <x v="6"/>
    <x v="0"/>
    <n v="17221369"/>
    <s v="Crédito"/>
    <n v="3505987"/>
    <x v="330"/>
    <x v="0"/>
    <x v="4"/>
    <n v="274308"/>
    <n v="15274308"/>
  </r>
  <r>
    <x v="813"/>
    <x v="3"/>
    <x v="0"/>
    <n v="19704963"/>
    <s v="Transferencia"/>
    <n v="4055269"/>
    <x v="262"/>
    <x v="4"/>
    <x v="5"/>
    <n v="312994"/>
    <n v="15312994"/>
  </r>
  <r>
    <x v="814"/>
    <x v="2"/>
    <x v="2"/>
    <n v="15062219"/>
    <s v="Transferencia"/>
    <n v="120813"/>
    <x v="289"/>
    <x v="1"/>
    <x v="2"/>
    <n v="277082"/>
    <n v="15277082"/>
  </r>
  <r>
    <x v="815"/>
    <x v="7"/>
    <x v="3"/>
    <n v="25588244"/>
    <s v="Transferencia"/>
    <n v="941447"/>
    <x v="268"/>
    <x v="2"/>
    <x v="2"/>
    <n v="492936"/>
    <n v="15492936"/>
  </r>
  <r>
    <x v="816"/>
    <x v="8"/>
    <x v="2"/>
    <n v="23752668"/>
    <s v="Efectivo"/>
    <n v="355514"/>
    <x v="48"/>
    <x v="6"/>
    <x v="1"/>
    <n v="403951"/>
    <n v="15403951"/>
  </r>
  <r>
    <x v="817"/>
    <x v="6"/>
    <x v="0"/>
    <n v="42895717"/>
    <s v="Crédito"/>
    <n v="12814"/>
    <x v="116"/>
    <x v="2"/>
    <x v="5"/>
    <n v="857658"/>
    <n v="15857658"/>
  </r>
  <r>
    <x v="818"/>
    <x v="5"/>
    <x v="1"/>
    <n v="35775938"/>
    <s v="Efectivo"/>
    <n v="6099619"/>
    <x v="242"/>
    <x v="8"/>
    <x v="1"/>
    <n v="593526"/>
    <n v="15593526"/>
  </r>
  <r>
    <x v="819"/>
    <x v="3"/>
    <x v="3"/>
    <n v="36495333"/>
    <s v="Efectivo"/>
    <n v="1694607"/>
    <x v="312"/>
    <x v="8"/>
    <x v="1"/>
    <n v="696015"/>
    <n v="15696015"/>
  </r>
  <r>
    <x v="820"/>
    <x v="0"/>
    <x v="3"/>
    <n v="12534091"/>
    <s v="Crédito"/>
    <n v="3037082"/>
    <x v="259"/>
    <x v="9"/>
    <x v="0"/>
    <n v="18994"/>
    <n v="1518994"/>
  </r>
  <r>
    <x v="821"/>
    <x v="0"/>
    <x v="2"/>
    <n v="48755181"/>
    <s v="Transferencia"/>
    <n v="5685998"/>
    <x v="317"/>
    <x v="7"/>
    <x v="3"/>
    <n v="861384"/>
    <n v="15861384"/>
  </r>
  <r>
    <x v="822"/>
    <x v="6"/>
    <x v="4"/>
    <n v="19864476"/>
    <s v="Transferencia"/>
    <n v="985641"/>
    <x v="176"/>
    <x v="1"/>
    <x v="0"/>
    <n v="377577"/>
    <n v="15377577"/>
  </r>
  <r>
    <x v="823"/>
    <x v="8"/>
    <x v="3"/>
    <n v="2586999"/>
    <s v="Efectivo"/>
    <n v="248249"/>
    <x v="331"/>
    <x v="2"/>
    <x v="1"/>
    <n v="46775"/>
    <n v="15046775"/>
  </r>
  <r>
    <x v="824"/>
    <x v="3"/>
    <x v="0"/>
    <n v="28823952"/>
    <s v="Crédito"/>
    <n v="4829251"/>
    <x v="332"/>
    <x v="5"/>
    <x v="5"/>
    <n v="479894"/>
    <n v="15479894"/>
  </r>
  <r>
    <x v="825"/>
    <x v="3"/>
    <x v="3"/>
    <n v="14011459"/>
    <s v="Efectivo"/>
    <n v="902599"/>
    <x v="320"/>
    <x v="6"/>
    <x v="5"/>
    <n v="262177"/>
    <n v="15262177"/>
  </r>
  <r>
    <x v="826"/>
    <x v="3"/>
    <x v="2"/>
    <n v="5950431"/>
    <s v="Efectivo"/>
    <n v="1433477"/>
    <x v="59"/>
    <x v="8"/>
    <x v="2"/>
    <n v="90339"/>
    <n v="15090339"/>
  </r>
  <r>
    <x v="827"/>
    <x v="4"/>
    <x v="3"/>
    <n v="25598329"/>
    <s v="Crédito"/>
    <n v="202785"/>
    <x v="13"/>
    <x v="5"/>
    <x v="2"/>
    <n v="507911"/>
    <n v="15507911"/>
  </r>
  <r>
    <x v="828"/>
    <x v="0"/>
    <x v="4"/>
    <n v="42900024"/>
    <s v="Crédito"/>
    <n v="7116715"/>
    <x v="241"/>
    <x v="2"/>
    <x v="1"/>
    <n v="715666"/>
    <n v="15715666"/>
  </r>
  <r>
    <x v="829"/>
    <x v="4"/>
    <x v="2"/>
    <n v="9136307"/>
    <s v="Crédito"/>
    <n v="234758"/>
    <x v="80"/>
    <x v="8"/>
    <x v="0"/>
    <n v="178031"/>
    <n v="15178031"/>
  </r>
  <r>
    <x v="830"/>
    <x v="7"/>
    <x v="0"/>
    <n v="6456768"/>
    <s v="Transferencia"/>
    <n v="737966"/>
    <x v="159"/>
    <x v="7"/>
    <x v="5"/>
    <n v="114376"/>
    <n v="15114376"/>
  </r>
  <r>
    <x v="831"/>
    <x v="0"/>
    <x v="0"/>
    <n v="13506193"/>
    <s v="Transferencia"/>
    <n v="2051136"/>
    <x v="250"/>
    <x v="6"/>
    <x v="3"/>
    <n v="229101"/>
    <n v="15229101"/>
  </r>
  <r>
    <x v="832"/>
    <x v="6"/>
    <x v="0"/>
    <n v="4680984"/>
    <s v="Crédito"/>
    <n v="232011"/>
    <x v="108"/>
    <x v="1"/>
    <x v="0"/>
    <n v="88979"/>
    <n v="15088979"/>
  </r>
  <r>
    <x v="833"/>
    <x v="4"/>
    <x v="2"/>
    <n v="8739087"/>
    <s v="Efectivo"/>
    <n v="1841452"/>
    <x v="239"/>
    <x v="4"/>
    <x v="1"/>
    <n v="137953"/>
    <n v="15137953"/>
  </r>
  <r>
    <x v="834"/>
    <x v="4"/>
    <x v="1"/>
    <n v="38225371"/>
    <s v="Crédito"/>
    <n v="8266448"/>
    <x v="320"/>
    <x v="3"/>
    <x v="1"/>
    <n v="599178"/>
    <n v="15599178"/>
  </r>
  <r>
    <x v="835"/>
    <x v="0"/>
    <x v="0"/>
    <n v="48999255"/>
    <s v="Crédito"/>
    <n v="633504"/>
    <x v="144"/>
    <x v="0"/>
    <x v="0"/>
    <n v="967315"/>
    <n v="15967315"/>
  </r>
  <r>
    <x v="836"/>
    <x v="4"/>
    <x v="1"/>
    <n v="36175463"/>
    <s v="Transferencia"/>
    <n v="8635629"/>
    <x v="46"/>
    <x v="7"/>
    <x v="3"/>
    <n v="550797"/>
    <n v="15550797"/>
  </r>
  <r>
    <x v="837"/>
    <x v="8"/>
    <x v="4"/>
    <n v="44774267"/>
    <s v="Crédito"/>
    <n v="3076021"/>
    <x v="186"/>
    <x v="2"/>
    <x v="3"/>
    <n v="833965"/>
    <n v="15833965"/>
  </r>
  <r>
    <x v="838"/>
    <x v="7"/>
    <x v="4"/>
    <n v="20335816"/>
    <s v="Transferencia"/>
    <n v="4701348"/>
    <x v="15"/>
    <x v="1"/>
    <x v="4"/>
    <n v="312689"/>
    <n v="15312689"/>
  </r>
  <r>
    <x v="839"/>
    <x v="1"/>
    <x v="0"/>
    <n v="10916528"/>
    <s v="Efectivo"/>
    <n v="320535"/>
    <x v="244"/>
    <x v="5"/>
    <x v="4"/>
    <n v="21192"/>
    <n v="1521192"/>
  </r>
  <r>
    <x v="840"/>
    <x v="7"/>
    <x v="1"/>
    <n v="19324216"/>
    <s v="Transferencia"/>
    <n v="3801693"/>
    <x v="5"/>
    <x v="0"/>
    <x v="5"/>
    <n v="31045"/>
    <n v="1531045"/>
  </r>
  <r>
    <x v="841"/>
    <x v="3"/>
    <x v="4"/>
    <n v="15961825"/>
    <s v="Crédito"/>
    <n v="3563122"/>
    <x v="333"/>
    <x v="3"/>
    <x v="5"/>
    <n v="247974"/>
    <n v="15247974"/>
  </r>
  <r>
    <x v="842"/>
    <x v="7"/>
    <x v="1"/>
    <n v="7718752"/>
    <s v="Efectivo"/>
    <n v="318109"/>
    <x v="196"/>
    <x v="9"/>
    <x v="0"/>
    <n v="148013"/>
    <n v="15148013"/>
  </r>
  <r>
    <x v="843"/>
    <x v="6"/>
    <x v="2"/>
    <n v="27668922"/>
    <s v="Efectivo"/>
    <n v="2654973"/>
    <x v="263"/>
    <x v="2"/>
    <x v="2"/>
    <n v="500279"/>
    <n v="15500279"/>
  </r>
  <r>
    <x v="844"/>
    <x v="9"/>
    <x v="3"/>
    <n v="4895639"/>
    <s v="Crédito"/>
    <n v="1052094"/>
    <x v="16"/>
    <x v="6"/>
    <x v="1"/>
    <n v="76871"/>
    <n v="15076871"/>
  </r>
  <r>
    <x v="845"/>
    <x v="9"/>
    <x v="0"/>
    <n v="21439681"/>
    <s v="Efectivo"/>
    <n v="4311771"/>
    <x v="26"/>
    <x v="8"/>
    <x v="4"/>
    <n v="342558"/>
    <n v="15342558"/>
  </r>
  <r>
    <x v="846"/>
    <x v="8"/>
    <x v="2"/>
    <n v="39127305"/>
    <s v="Crédito"/>
    <n v="7571722"/>
    <x v="334"/>
    <x v="1"/>
    <x v="2"/>
    <n v="631112"/>
    <n v="15631112"/>
  </r>
  <r>
    <x v="847"/>
    <x v="9"/>
    <x v="2"/>
    <n v="1892253"/>
    <s v="Efectivo"/>
    <n v="154024"/>
    <x v="158"/>
    <x v="8"/>
    <x v="5"/>
    <n v="347646"/>
    <n v="15347646"/>
  </r>
  <r>
    <x v="848"/>
    <x v="5"/>
    <x v="0"/>
    <n v="16635255"/>
    <s v="Crédito"/>
    <n v="1747564"/>
    <x v="335"/>
    <x v="9"/>
    <x v="0"/>
    <n v="297754"/>
    <n v="15297754"/>
  </r>
  <r>
    <x v="849"/>
    <x v="3"/>
    <x v="4"/>
    <n v="38038416"/>
    <s v="Crédito"/>
    <n v="795027"/>
    <x v="119"/>
    <x v="9"/>
    <x v="3"/>
    <n v="601763"/>
    <n v="15601763"/>
  </r>
  <r>
    <x v="850"/>
    <x v="1"/>
    <x v="1"/>
    <n v="37909124"/>
    <s v="Efectivo"/>
    <n v="6154895"/>
    <x v="67"/>
    <x v="3"/>
    <x v="3"/>
    <n v="635085"/>
    <n v="15635085"/>
  </r>
  <r>
    <x v="322"/>
    <x v="3"/>
    <x v="0"/>
    <n v="9363706"/>
    <s v="Crédito"/>
    <n v="1796093"/>
    <x v="125"/>
    <x v="3"/>
    <x v="5"/>
    <n v="151352"/>
    <n v="15151352"/>
  </r>
  <r>
    <x v="851"/>
    <x v="1"/>
    <x v="4"/>
    <n v="26896515"/>
    <s v="Efectivo"/>
    <n v="1877255"/>
    <x v="336"/>
    <x v="7"/>
    <x v="5"/>
    <n v="500385"/>
    <n v="15500385"/>
  </r>
  <r>
    <x v="852"/>
    <x v="6"/>
    <x v="1"/>
    <n v="43078987"/>
    <s v="Crédito"/>
    <n v="6958395"/>
    <x v="319"/>
    <x v="2"/>
    <x v="2"/>
    <n v="722412"/>
    <n v="15722412"/>
  </r>
  <r>
    <x v="853"/>
    <x v="5"/>
    <x v="0"/>
    <n v="25651081"/>
    <s v="Efectivo"/>
    <n v="3483325"/>
    <x v="25"/>
    <x v="2"/>
    <x v="3"/>
    <n v="443355"/>
    <n v="15443355"/>
  </r>
  <r>
    <x v="854"/>
    <x v="5"/>
    <x v="2"/>
    <n v="13253497"/>
    <s v="Efectivo"/>
    <n v="2103522"/>
    <x v="277"/>
    <x v="2"/>
    <x v="5"/>
    <n v="222999"/>
    <n v="15222999"/>
  </r>
  <r>
    <x v="855"/>
    <x v="7"/>
    <x v="4"/>
    <n v="32826875"/>
    <s v="Crédito"/>
    <n v="2712431"/>
    <x v="203"/>
    <x v="4"/>
    <x v="3"/>
    <n v="602289"/>
    <n v="15602289"/>
  </r>
  <r>
    <x v="856"/>
    <x v="1"/>
    <x v="3"/>
    <n v="19603896"/>
    <s v="Efectivo"/>
    <n v="4429998"/>
    <x v="322"/>
    <x v="5"/>
    <x v="5"/>
    <n v="303478"/>
    <n v="15303478"/>
  </r>
  <r>
    <x v="857"/>
    <x v="6"/>
    <x v="1"/>
    <n v="40247401"/>
    <s v="Crédito"/>
    <n v="6223664"/>
    <x v="220"/>
    <x v="6"/>
    <x v="0"/>
    <n v="680475"/>
    <n v="15680475"/>
  </r>
  <r>
    <x v="858"/>
    <x v="7"/>
    <x v="4"/>
    <n v="28072711"/>
    <s v="Efectivo"/>
    <n v="6260102"/>
    <x v="134"/>
    <x v="2"/>
    <x v="5"/>
    <n v="436252"/>
    <n v="15436252"/>
  </r>
  <r>
    <x v="859"/>
    <x v="6"/>
    <x v="3"/>
    <n v="6703296"/>
    <s v="Crédito"/>
    <n v="46802"/>
    <x v="169"/>
    <x v="4"/>
    <x v="4"/>
    <n v="124706"/>
    <n v="15124706"/>
  </r>
  <r>
    <x v="860"/>
    <x v="7"/>
    <x v="1"/>
    <n v="3951046"/>
    <s v="Crédito"/>
    <n v="8186306"/>
    <x v="170"/>
    <x v="1"/>
    <x v="2"/>
    <n v="626483"/>
    <n v="15626483"/>
  </r>
  <r>
    <x v="861"/>
    <x v="0"/>
    <x v="3"/>
    <n v="46033742"/>
    <s v="Efectivo"/>
    <n v="303708"/>
    <x v="302"/>
    <x v="0"/>
    <x v="3"/>
    <n v="914601"/>
    <n v="15914601"/>
  </r>
  <r>
    <x v="862"/>
    <x v="0"/>
    <x v="4"/>
    <n v="3448094"/>
    <s v="Crédito"/>
    <n v="359816"/>
    <x v="220"/>
    <x v="2"/>
    <x v="5"/>
    <n v="61766"/>
    <n v="15061766"/>
  </r>
  <r>
    <x v="863"/>
    <x v="0"/>
    <x v="4"/>
    <n v="21547378"/>
    <s v="Efectivo"/>
    <n v="4143532"/>
    <x v="337"/>
    <x v="2"/>
    <x v="4"/>
    <n v="348077"/>
    <n v="15348077"/>
  </r>
  <r>
    <x v="864"/>
    <x v="2"/>
    <x v="2"/>
    <n v="24110262"/>
    <s v="Efectivo"/>
    <n v="1677609"/>
    <x v="175"/>
    <x v="9"/>
    <x v="1"/>
    <n v="448653"/>
    <n v="15448653"/>
  </r>
  <r>
    <x v="865"/>
    <x v="5"/>
    <x v="4"/>
    <n v="17371014"/>
    <s v="Crédito"/>
    <n v="3198075"/>
    <x v="97"/>
    <x v="9"/>
    <x v="5"/>
    <n v="283459"/>
    <n v="15283459"/>
  </r>
  <r>
    <x v="866"/>
    <x v="1"/>
    <x v="2"/>
    <n v="40328115"/>
    <s v="Efectivo"/>
    <n v="3567716"/>
    <x v="39"/>
    <x v="4"/>
    <x v="3"/>
    <n v="735208"/>
    <n v="15735208"/>
  </r>
  <r>
    <x v="867"/>
    <x v="6"/>
    <x v="0"/>
    <n v="13588561"/>
    <s v="Efectivo"/>
    <n v="930142"/>
    <x v="157"/>
    <x v="0"/>
    <x v="4"/>
    <n v="253168"/>
    <n v="15253168"/>
  </r>
  <r>
    <x v="868"/>
    <x v="2"/>
    <x v="3"/>
    <n v="17605035"/>
    <s v="Crédito"/>
    <n v="3706455"/>
    <x v="290"/>
    <x v="7"/>
    <x v="0"/>
    <n v="277972"/>
    <n v="15277972"/>
  </r>
  <r>
    <x v="869"/>
    <x v="7"/>
    <x v="2"/>
    <n v="6854849"/>
    <s v="Efectivo"/>
    <n v="1379277"/>
    <x v="287"/>
    <x v="2"/>
    <x v="0"/>
    <n v="109511"/>
    <n v="15109511"/>
  </r>
  <r>
    <x v="870"/>
    <x v="3"/>
    <x v="0"/>
    <n v="15363459"/>
    <s v="Efectivo"/>
    <n v="1839391"/>
    <x v="333"/>
    <x v="5"/>
    <x v="0"/>
    <n v="270481"/>
    <n v="15270481"/>
  </r>
  <r>
    <x v="871"/>
    <x v="2"/>
    <x v="3"/>
    <n v="13943772"/>
    <s v="Crédito"/>
    <n v="325104"/>
    <x v="214"/>
    <x v="4"/>
    <x v="4"/>
    <n v="213855"/>
    <n v="15213855"/>
  </r>
  <r>
    <x v="872"/>
    <x v="1"/>
    <x v="1"/>
    <n v="40772342"/>
    <s v="Efectivo"/>
    <n v="4766256"/>
    <x v="242"/>
    <x v="3"/>
    <x v="1"/>
    <n v="720122"/>
    <n v="15720122"/>
  </r>
  <r>
    <x v="873"/>
    <x v="2"/>
    <x v="0"/>
    <n v="34773203"/>
    <s v="Transferencia"/>
    <n v="439990"/>
    <x v="329"/>
    <x v="6"/>
    <x v="0"/>
    <n v="607466"/>
    <n v="15607466"/>
  </r>
  <r>
    <x v="874"/>
    <x v="2"/>
    <x v="1"/>
    <n v="47002056"/>
    <s v="Efectivo"/>
    <n v="10265979"/>
    <x v="338"/>
    <x v="8"/>
    <x v="2"/>
    <n v="734722"/>
    <n v="15734722"/>
  </r>
  <r>
    <x v="875"/>
    <x v="6"/>
    <x v="3"/>
    <n v="1723784"/>
    <s v="Efectivo"/>
    <n v="3945978"/>
    <x v="56"/>
    <x v="2"/>
    <x v="1"/>
    <n v="265837"/>
    <n v="15265837"/>
  </r>
  <r>
    <x v="876"/>
    <x v="3"/>
    <x v="3"/>
    <n v="10295592"/>
    <s v="Transferencia"/>
    <n v="620977"/>
    <x v="198"/>
    <x v="4"/>
    <x v="1"/>
    <n v="193492"/>
    <n v="15193492"/>
  </r>
  <r>
    <x v="877"/>
    <x v="1"/>
    <x v="2"/>
    <n v="37932685"/>
    <s v="Crédito"/>
    <n v="6896123"/>
    <x v="322"/>
    <x v="3"/>
    <x v="2"/>
    <n v="620731"/>
    <n v="15620731"/>
  </r>
  <r>
    <x v="878"/>
    <x v="8"/>
    <x v="2"/>
    <n v="20742728"/>
    <s v="Efectivo"/>
    <n v="2017934"/>
    <x v="336"/>
    <x v="8"/>
    <x v="5"/>
    <n v="374496"/>
    <n v="15374496"/>
  </r>
  <r>
    <x v="879"/>
    <x v="3"/>
    <x v="0"/>
    <n v="1192453"/>
    <s v="Transferencia"/>
    <n v="85331"/>
    <x v="201"/>
    <x v="5"/>
    <x v="5"/>
    <n v="236784"/>
    <n v="15236784"/>
  </r>
  <r>
    <x v="880"/>
    <x v="2"/>
    <x v="0"/>
    <n v="45237626"/>
    <s v="Efectivo"/>
    <n v="2750606"/>
    <x v="314"/>
    <x v="3"/>
    <x v="2"/>
    <n v="84974"/>
    <n v="1584974"/>
  </r>
  <r>
    <x v="881"/>
    <x v="9"/>
    <x v="1"/>
    <n v="9954043"/>
    <s v="Efectivo"/>
    <n v="1369645"/>
    <x v="198"/>
    <x v="4"/>
    <x v="0"/>
    <n v="171688"/>
    <n v="15171688"/>
  </r>
  <r>
    <x v="882"/>
    <x v="4"/>
    <x v="4"/>
    <n v="49942534"/>
    <s v="Transferencia"/>
    <n v="4621288"/>
    <x v="279"/>
    <x v="2"/>
    <x v="4"/>
    <n v="906425"/>
    <n v="15906425"/>
  </r>
  <r>
    <x v="883"/>
    <x v="1"/>
    <x v="0"/>
    <n v="3030837"/>
    <s v="Crédito"/>
    <n v="664814"/>
    <x v="176"/>
    <x v="0"/>
    <x v="3"/>
    <n v="4732"/>
    <n v="1504732"/>
  </r>
  <r>
    <x v="884"/>
    <x v="8"/>
    <x v="1"/>
    <n v="39197503"/>
    <s v="Transferencia"/>
    <n v="586735"/>
    <x v="288"/>
    <x v="0"/>
    <x v="3"/>
    <n v="772215"/>
    <n v="15772215"/>
  </r>
  <r>
    <x v="885"/>
    <x v="9"/>
    <x v="0"/>
    <n v="32942457"/>
    <s v="Crédito"/>
    <n v="4923037"/>
    <x v="32"/>
    <x v="6"/>
    <x v="4"/>
    <n v="560388"/>
    <n v="15560388"/>
  </r>
  <r>
    <x v="886"/>
    <x v="1"/>
    <x v="2"/>
    <n v="811885"/>
    <s v="Transferencia"/>
    <n v="2003017"/>
    <x v="260"/>
    <x v="5"/>
    <x v="4"/>
    <n v="122317"/>
    <n v="15122317"/>
  </r>
  <r>
    <x v="887"/>
    <x v="8"/>
    <x v="0"/>
    <n v="2065763"/>
    <s v="Transferencia"/>
    <n v="222761"/>
    <x v="165"/>
    <x v="7"/>
    <x v="4"/>
    <n v="3686"/>
    <n v="1503686"/>
  </r>
  <r>
    <x v="888"/>
    <x v="0"/>
    <x v="4"/>
    <n v="2629604"/>
    <s v="Efectivo"/>
    <n v="393592"/>
    <x v="136"/>
    <x v="3"/>
    <x v="4"/>
    <n v="447202"/>
    <n v="15447202"/>
  </r>
  <r>
    <x v="889"/>
    <x v="7"/>
    <x v="1"/>
    <n v="48016205"/>
    <s v="Efectivo"/>
    <n v="992174"/>
    <x v="258"/>
    <x v="8"/>
    <x v="1"/>
    <n v="940481"/>
    <n v="15940481"/>
  </r>
  <r>
    <x v="890"/>
    <x v="7"/>
    <x v="4"/>
    <n v="356319"/>
    <s v="Efectivo"/>
    <n v="301283"/>
    <x v="327"/>
    <x v="9"/>
    <x v="0"/>
    <n v="65238"/>
    <n v="15065238"/>
  </r>
  <r>
    <x v="891"/>
    <x v="4"/>
    <x v="4"/>
    <n v="22000281"/>
    <s v="Efectivo"/>
    <n v="468057"/>
    <x v="299"/>
    <x v="3"/>
    <x v="3"/>
    <n v="346394"/>
    <n v="15346394"/>
  </r>
  <r>
    <x v="892"/>
    <x v="9"/>
    <x v="1"/>
    <n v="18198635"/>
    <s v="Efectivo"/>
    <n v="3264318"/>
    <x v="70"/>
    <x v="0"/>
    <x v="3"/>
    <n v="298686"/>
    <n v="15298686"/>
  </r>
  <r>
    <x v="893"/>
    <x v="0"/>
    <x v="3"/>
    <n v="48423189"/>
    <s v="Crédito"/>
    <n v="2007053"/>
    <x v="339"/>
    <x v="4"/>
    <x v="5"/>
    <n v="928323"/>
    <n v="15928323"/>
  </r>
  <r>
    <x v="894"/>
    <x v="7"/>
    <x v="0"/>
    <n v="29523689"/>
    <s v="Transferencia"/>
    <n v="4792572"/>
    <x v="258"/>
    <x v="8"/>
    <x v="4"/>
    <n v="494622"/>
    <n v="15494622"/>
  </r>
  <r>
    <x v="895"/>
    <x v="7"/>
    <x v="4"/>
    <n v="4107215"/>
    <s v="Transferencia"/>
    <n v="14172"/>
    <x v="326"/>
    <x v="4"/>
    <x v="0"/>
    <n v="81861"/>
    <n v="15081861"/>
  </r>
  <r>
    <x v="896"/>
    <x v="3"/>
    <x v="4"/>
    <n v="18866769"/>
    <s v="Crédito"/>
    <n v="3244389"/>
    <x v="340"/>
    <x v="3"/>
    <x v="0"/>
    <n v="312448"/>
    <n v="15312448"/>
  </r>
  <r>
    <x v="897"/>
    <x v="1"/>
    <x v="4"/>
    <n v="7181694"/>
    <s v="Crédito"/>
    <n v="1111174"/>
    <x v="120"/>
    <x v="9"/>
    <x v="2"/>
    <n v="12141"/>
    <n v="1512141"/>
  </r>
  <r>
    <x v="898"/>
    <x v="1"/>
    <x v="0"/>
    <n v="27424036"/>
    <s v="Crédito"/>
    <n v="5710216"/>
    <x v="235"/>
    <x v="1"/>
    <x v="4"/>
    <n v="434276"/>
    <n v="15434276"/>
  </r>
  <r>
    <x v="899"/>
    <x v="0"/>
    <x v="3"/>
    <n v="18239694"/>
    <s v="Efectivo"/>
    <n v="383171"/>
    <x v="48"/>
    <x v="2"/>
    <x v="5"/>
    <n v="35713"/>
    <n v="1535713"/>
  </r>
  <r>
    <x v="900"/>
    <x v="0"/>
    <x v="2"/>
    <n v="3914966"/>
    <s v="Crédito"/>
    <n v="340277"/>
    <x v="94"/>
    <x v="3"/>
    <x v="2"/>
    <n v="71494"/>
    <n v="15071494"/>
  </r>
  <r>
    <x v="901"/>
    <x v="7"/>
    <x v="3"/>
    <n v="16139634"/>
    <s v="Crédito"/>
    <n v="2773553"/>
    <x v="197"/>
    <x v="1"/>
    <x v="0"/>
    <n v="267322"/>
    <n v="15267322"/>
  </r>
  <r>
    <x v="902"/>
    <x v="6"/>
    <x v="0"/>
    <n v="38947884"/>
    <s v="Efectivo"/>
    <n v="4699904"/>
    <x v="6"/>
    <x v="0"/>
    <x v="5"/>
    <n v="68496"/>
    <n v="1568496"/>
  </r>
  <r>
    <x v="903"/>
    <x v="4"/>
    <x v="0"/>
    <n v="19777497"/>
    <s v="Transferencia"/>
    <n v="4127232"/>
    <x v="341"/>
    <x v="9"/>
    <x v="4"/>
    <n v="313005"/>
    <n v="15313005"/>
  </r>
  <r>
    <x v="904"/>
    <x v="4"/>
    <x v="2"/>
    <n v="4953492"/>
    <s v="Efectivo"/>
    <n v="722678"/>
    <x v="342"/>
    <x v="3"/>
    <x v="2"/>
    <n v="84616"/>
    <n v="15084616"/>
  </r>
  <r>
    <x v="905"/>
    <x v="5"/>
    <x v="2"/>
    <n v="26594612"/>
    <s v="Efectivo"/>
    <n v="2826558"/>
    <x v="97"/>
    <x v="2"/>
    <x v="4"/>
    <n v="475361"/>
    <n v="15475361"/>
  </r>
  <r>
    <x v="906"/>
    <x v="1"/>
    <x v="4"/>
    <n v="34840971"/>
    <s v="Efectivo"/>
    <n v="1933419"/>
    <x v="188"/>
    <x v="0"/>
    <x v="4"/>
    <n v="658151"/>
    <n v="15658151"/>
  </r>
  <r>
    <x v="907"/>
    <x v="5"/>
    <x v="0"/>
    <n v="3213377"/>
    <s v="Transferencia"/>
    <n v="119889"/>
    <x v="48"/>
    <x v="1"/>
    <x v="5"/>
    <n v="6187"/>
    <n v="1506187"/>
  </r>
  <r>
    <x v="908"/>
    <x v="1"/>
    <x v="0"/>
    <n v="17364344"/>
    <s v="Efectivo"/>
    <n v="181596"/>
    <x v="13"/>
    <x v="1"/>
    <x v="2"/>
    <n v="343655"/>
    <n v="15343655"/>
  </r>
  <r>
    <x v="909"/>
    <x v="9"/>
    <x v="4"/>
    <n v="6513302"/>
    <s v="Transferencia"/>
    <n v="235884"/>
    <x v="88"/>
    <x v="1"/>
    <x v="2"/>
    <n v="125548"/>
    <n v="15125548"/>
  </r>
  <r>
    <x v="910"/>
    <x v="4"/>
    <x v="3"/>
    <n v="2469776"/>
    <s v="Transferencia"/>
    <n v="490334"/>
    <x v="121"/>
    <x v="3"/>
    <x v="2"/>
    <n v="39589"/>
    <n v="15039589"/>
  </r>
  <r>
    <x v="911"/>
    <x v="0"/>
    <x v="1"/>
    <n v="9680346"/>
    <s v="Transferencia"/>
    <n v="144833"/>
    <x v="238"/>
    <x v="2"/>
    <x v="4"/>
    <n v="19071"/>
    <n v="1519071"/>
  </r>
  <r>
    <x v="912"/>
    <x v="3"/>
    <x v="1"/>
    <n v="29389829"/>
    <s v="Efectivo"/>
    <n v="3165311"/>
    <x v="58"/>
    <x v="1"/>
    <x v="1"/>
    <n v="52449"/>
    <n v="1552449"/>
  </r>
  <r>
    <x v="913"/>
    <x v="4"/>
    <x v="3"/>
    <n v="37488228"/>
    <s v="Crédito"/>
    <n v="9174674"/>
    <x v="1"/>
    <x v="7"/>
    <x v="5"/>
    <n v="566271"/>
    <n v="15566271"/>
  </r>
  <r>
    <x v="914"/>
    <x v="2"/>
    <x v="0"/>
    <n v="13790068"/>
    <s v="Crédito"/>
    <n v="1979284"/>
    <x v="181"/>
    <x v="4"/>
    <x v="1"/>
    <n v="236216"/>
    <n v="15236216"/>
  </r>
  <r>
    <x v="915"/>
    <x v="4"/>
    <x v="0"/>
    <n v="35116398"/>
    <s v="Efectivo"/>
    <n v="5757029"/>
    <x v="23"/>
    <x v="0"/>
    <x v="2"/>
    <n v="587187"/>
    <n v="15587187"/>
  </r>
  <r>
    <x v="916"/>
    <x v="5"/>
    <x v="4"/>
    <n v="2146437"/>
    <s v="Efectivo"/>
    <n v="3916441"/>
    <x v="253"/>
    <x v="4"/>
    <x v="2"/>
    <n v="350959"/>
    <n v="15350959"/>
  </r>
  <r>
    <x v="917"/>
    <x v="3"/>
    <x v="1"/>
    <n v="29403827"/>
    <s v="Crédito"/>
    <n v="772006"/>
    <x v="262"/>
    <x v="5"/>
    <x v="0"/>
    <n v="572636"/>
    <n v="15572636"/>
  </r>
  <r>
    <x v="918"/>
    <x v="2"/>
    <x v="4"/>
    <n v="37062089"/>
    <s v="Crédito"/>
    <n v="1370522"/>
    <x v="75"/>
    <x v="3"/>
    <x v="1"/>
    <n v="713831"/>
    <n v="15713831"/>
  </r>
  <r>
    <x v="919"/>
    <x v="3"/>
    <x v="3"/>
    <n v="106605"/>
    <s v="Transferencia"/>
    <n v="13890"/>
    <x v="27"/>
    <x v="2"/>
    <x v="0"/>
    <n v="18543"/>
    <n v="15018543"/>
  </r>
  <r>
    <x v="920"/>
    <x v="9"/>
    <x v="0"/>
    <n v="20079636"/>
    <s v="Efectivo"/>
    <n v="4649073"/>
    <x v="289"/>
    <x v="0"/>
    <x v="4"/>
    <n v="308611"/>
    <n v="15308611"/>
  </r>
  <r>
    <x v="921"/>
    <x v="9"/>
    <x v="3"/>
    <n v="27724879"/>
    <s v="Efectivo"/>
    <n v="3353947"/>
    <x v="180"/>
    <x v="8"/>
    <x v="4"/>
    <n v="487419"/>
    <n v="15487419"/>
  </r>
  <r>
    <x v="922"/>
    <x v="3"/>
    <x v="4"/>
    <n v="32077834"/>
    <s v="Transferencia"/>
    <n v="6855655"/>
    <x v="47"/>
    <x v="8"/>
    <x v="3"/>
    <n v="504444"/>
    <n v="15504444"/>
  </r>
  <r>
    <x v="923"/>
    <x v="3"/>
    <x v="4"/>
    <n v="12546607"/>
    <s v="Efectivo"/>
    <n v="1878851"/>
    <x v="92"/>
    <x v="6"/>
    <x v="5"/>
    <n v="213355"/>
    <n v="15213355"/>
  </r>
  <r>
    <x v="924"/>
    <x v="3"/>
    <x v="1"/>
    <n v="46758786"/>
    <s v="Transferencia"/>
    <n v="8181705"/>
    <x v="340"/>
    <x v="9"/>
    <x v="5"/>
    <n v="771542"/>
    <n v="15771542"/>
  </r>
  <r>
    <x v="925"/>
    <x v="2"/>
    <x v="3"/>
    <n v="4910231"/>
    <s v="Efectivo"/>
    <n v="1170324"/>
    <x v="179"/>
    <x v="0"/>
    <x v="5"/>
    <n v="74798"/>
    <n v="15074798"/>
  </r>
  <r>
    <x v="926"/>
    <x v="8"/>
    <x v="0"/>
    <n v="28374158"/>
    <s v="Crédito"/>
    <n v="5980245"/>
    <x v="209"/>
    <x v="2"/>
    <x v="3"/>
    <n v="447878"/>
    <n v="15447878"/>
  </r>
  <r>
    <x v="927"/>
    <x v="8"/>
    <x v="1"/>
    <n v="34672001"/>
    <s v="Transferencia"/>
    <n v="806494"/>
    <x v="73"/>
    <x v="7"/>
    <x v="5"/>
    <n v="532141"/>
    <n v="15532141"/>
  </r>
  <r>
    <x v="928"/>
    <x v="6"/>
    <x v="3"/>
    <n v="29101361"/>
    <s v="Efectivo"/>
    <n v="1513758"/>
    <x v="247"/>
    <x v="2"/>
    <x v="5"/>
    <n v="551752"/>
    <n v="15551752"/>
  </r>
  <r>
    <x v="929"/>
    <x v="4"/>
    <x v="2"/>
    <n v="6074263"/>
    <s v="Transferencia"/>
    <n v="149080"/>
    <x v="286"/>
    <x v="8"/>
    <x v="4"/>
    <n v="91669"/>
    <n v="15091669"/>
  </r>
  <r>
    <x v="930"/>
    <x v="0"/>
    <x v="4"/>
    <n v="6298165"/>
    <s v="Crédito"/>
    <n v="1457863"/>
    <x v="89"/>
    <x v="8"/>
    <x v="2"/>
    <n v="96806"/>
    <n v="15096806"/>
  </r>
  <r>
    <x v="931"/>
    <x v="5"/>
    <x v="3"/>
    <n v="48401954"/>
    <s v="Crédito"/>
    <n v="508221"/>
    <x v="44"/>
    <x v="0"/>
    <x v="0"/>
    <n v="866395"/>
    <n v="15866395"/>
  </r>
  <r>
    <x v="932"/>
    <x v="1"/>
    <x v="1"/>
    <n v="415243"/>
    <s v="Transferencia"/>
    <n v="743899"/>
    <x v="268"/>
    <x v="7"/>
    <x v="0"/>
    <n v="68171"/>
    <n v="15068171"/>
  </r>
  <r>
    <x v="933"/>
    <x v="2"/>
    <x v="4"/>
    <n v="17555532"/>
    <s v="Transferencia"/>
    <n v="861668"/>
    <x v="315"/>
    <x v="2"/>
    <x v="0"/>
    <n v="333877"/>
    <n v="15333877"/>
  </r>
  <r>
    <x v="934"/>
    <x v="3"/>
    <x v="0"/>
    <n v="13201377"/>
    <s v="Efectivo"/>
    <n v="1105466"/>
    <x v="305"/>
    <x v="0"/>
    <x v="2"/>
    <n v="241918"/>
    <n v="15241918"/>
  </r>
  <r>
    <x v="935"/>
    <x v="3"/>
    <x v="2"/>
    <n v="5452766"/>
    <s v="Crédito"/>
    <n v="1210733"/>
    <x v="195"/>
    <x v="2"/>
    <x v="1"/>
    <n v="84841"/>
    <n v="15084841"/>
  </r>
  <r>
    <x v="936"/>
    <x v="8"/>
    <x v="2"/>
    <n v="13027768"/>
    <s v="Transferencia"/>
    <n v="2623027"/>
    <x v="72"/>
    <x v="8"/>
    <x v="5"/>
    <n v="208095"/>
    <n v="15208095"/>
  </r>
  <r>
    <x v="937"/>
    <x v="4"/>
    <x v="4"/>
    <n v="1936159"/>
    <s v="Efectivo"/>
    <n v="3119053"/>
    <x v="132"/>
    <x v="9"/>
    <x v="3"/>
    <n v="324851"/>
    <n v="15324851"/>
  </r>
  <r>
    <x v="938"/>
    <x v="5"/>
    <x v="3"/>
    <n v="6436663"/>
    <s v="Efectivo"/>
    <n v="80599"/>
    <x v="20"/>
    <x v="2"/>
    <x v="5"/>
    <n v="112613"/>
    <n v="15112613"/>
  </r>
  <r>
    <x v="939"/>
    <x v="7"/>
    <x v="1"/>
    <n v="42321744"/>
    <s v="Efectivo"/>
    <n v="5834835"/>
    <x v="343"/>
    <x v="3"/>
    <x v="3"/>
    <n v="729738"/>
    <n v="15729738"/>
  </r>
  <r>
    <x v="940"/>
    <x v="7"/>
    <x v="4"/>
    <n v="34623359"/>
    <s v="Efectivo"/>
    <n v="6790228"/>
    <x v="180"/>
    <x v="6"/>
    <x v="0"/>
    <n v="556663"/>
    <n v="15556663"/>
  </r>
  <r>
    <x v="941"/>
    <x v="3"/>
    <x v="0"/>
    <n v="9691997"/>
    <s v="Efectivo"/>
    <n v="1822925"/>
    <x v="175"/>
    <x v="9"/>
    <x v="2"/>
    <n v="157381"/>
    <n v="15157381"/>
  </r>
  <r>
    <x v="942"/>
    <x v="8"/>
    <x v="3"/>
    <n v="43736933"/>
    <s v="Transferencia"/>
    <n v="51276"/>
    <x v="185"/>
    <x v="4"/>
    <x v="4"/>
    <n v="864483"/>
    <n v="15864483"/>
  </r>
  <r>
    <x v="943"/>
    <x v="9"/>
    <x v="0"/>
    <n v="6755693"/>
    <s v="Crédito"/>
    <n v="678528"/>
    <x v="334"/>
    <x v="5"/>
    <x v="3"/>
    <n v="121543"/>
    <n v="15121543"/>
  </r>
  <r>
    <x v="944"/>
    <x v="3"/>
    <x v="0"/>
    <n v="6372826"/>
    <s v="Transferencia"/>
    <n v="249641"/>
    <x v="153"/>
    <x v="2"/>
    <x v="0"/>
    <n v="122464"/>
    <n v="15122464"/>
  </r>
  <r>
    <x v="945"/>
    <x v="8"/>
    <x v="0"/>
    <n v="4003124"/>
    <s v="Crédito"/>
    <n v="94353"/>
    <x v="151"/>
    <x v="0"/>
    <x v="3"/>
    <n v="61192"/>
    <n v="15061192"/>
  </r>
  <r>
    <x v="946"/>
    <x v="2"/>
    <x v="4"/>
    <n v="1994142"/>
    <s v="Efectivo"/>
    <n v="2766591"/>
    <x v="146"/>
    <x v="9"/>
    <x v="3"/>
    <n v="343497"/>
    <n v="15343497"/>
  </r>
  <r>
    <x v="947"/>
    <x v="7"/>
    <x v="3"/>
    <n v="26118402"/>
    <s v="Efectivo"/>
    <n v="96172"/>
    <x v="177"/>
    <x v="6"/>
    <x v="5"/>
    <n v="520445"/>
    <n v="15520445"/>
  </r>
  <r>
    <x v="948"/>
    <x v="3"/>
    <x v="0"/>
    <n v="21969048"/>
    <s v="Efectivo"/>
    <n v="277723"/>
    <x v="93"/>
    <x v="0"/>
    <x v="0"/>
    <n v="433827"/>
    <n v="15433827"/>
  </r>
  <r>
    <x v="949"/>
    <x v="9"/>
    <x v="3"/>
    <n v="33662925"/>
    <s v="Efectivo"/>
    <n v="7667412"/>
    <x v="329"/>
    <x v="6"/>
    <x v="1"/>
    <n v="51991"/>
    <n v="1551991"/>
  </r>
  <r>
    <x v="950"/>
    <x v="4"/>
    <x v="0"/>
    <n v="3813488"/>
    <s v="Efectivo"/>
    <n v="1213544"/>
    <x v="278"/>
    <x v="9"/>
    <x v="4"/>
    <n v="738427"/>
    <n v="15738427"/>
  </r>
  <r>
    <x v="951"/>
    <x v="3"/>
    <x v="0"/>
    <n v="24173938"/>
    <s v="Crédito"/>
    <n v="4653249"/>
    <x v="57"/>
    <x v="4"/>
    <x v="4"/>
    <n v="390414"/>
    <n v="15390414"/>
  </r>
  <r>
    <x v="952"/>
    <x v="4"/>
    <x v="1"/>
    <n v="3718248"/>
    <s v="Transferencia"/>
    <n v="42134"/>
    <x v="135"/>
    <x v="1"/>
    <x v="0"/>
    <n v="73522"/>
    <n v="15073522"/>
  </r>
  <r>
    <x v="953"/>
    <x v="1"/>
    <x v="2"/>
    <n v="32071221"/>
    <s v="Crédito"/>
    <n v="7690337"/>
    <x v="344"/>
    <x v="1"/>
    <x v="0"/>
    <n v="487618"/>
    <n v="15487618"/>
  </r>
  <r>
    <x v="954"/>
    <x v="0"/>
    <x v="4"/>
    <n v="36667517"/>
    <s v="Crédito"/>
    <n v="6999871"/>
    <x v="345"/>
    <x v="3"/>
    <x v="3"/>
    <n v="593353"/>
    <n v="15593353"/>
  </r>
  <r>
    <x v="955"/>
    <x v="0"/>
    <x v="0"/>
    <n v="37902679"/>
    <s v="Transferencia"/>
    <n v="67624"/>
    <x v="129"/>
    <x v="8"/>
    <x v="2"/>
    <n v="744529"/>
    <n v="15744529"/>
  </r>
  <r>
    <x v="956"/>
    <x v="6"/>
    <x v="2"/>
    <n v="36933556"/>
    <s v="Transferencia"/>
    <n v="1970459"/>
    <x v="178"/>
    <x v="8"/>
    <x v="4"/>
    <n v="699262"/>
    <n v="15699262"/>
  </r>
  <r>
    <x v="957"/>
    <x v="4"/>
    <x v="0"/>
    <n v="46507518"/>
    <s v="Efectivo"/>
    <n v="2024445"/>
    <x v="22"/>
    <x v="4"/>
    <x v="3"/>
    <n v="889661"/>
    <n v="15889661"/>
  </r>
  <r>
    <x v="958"/>
    <x v="9"/>
    <x v="0"/>
    <n v="6301592"/>
    <s v="Efectivo"/>
    <n v="706068"/>
    <x v="212"/>
    <x v="5"/>
    <x v="3"/>
    <n v="11191"/>
    <n v="1511191"/>
  </r>
  <r>
    <x v="959"/>
    <x v="0"/>
    <x v="4"/>
    <n v="20352896"/>
    <s v="Transferencia"/>
    <n v="321894"/>
    <x v="10"/>
    <x v="6"/>
    <x v="2"/>
    <n v="40062"/>
    <n v="1540062"/>
  </r>
  <r>
    <x v="960"/>
    <x v="1"/>
    <x v="3"/>
    <n v="14224286"/>
    <s v="Efectivo"/>
    <n v="90233"/>
    <x v="79"/>
    <x v="0"/>
    <x v="0"/>
    <n v="266439"/>
    <n v="15266439"/>
  </r>
  <r>
    <x v="961"/>
    <x v="9"/>
    <x v="4"/>
    <n v="6428637"/>
    <s v="Transferencia"/>
    <n v="17122"/>
    <x v="101"/>
    <x v="1"/>
    <x v="1"/>
    <n v="125148"/>
    <n v="15125148"/>
  </r>
  <r>
    <x v="962"/>
    <x v="6"/>
    <x v="4"/>
    <n v="18987259"/>
    <s v="Efectivo"/>
    <n v="1697439"/>
    <x v="187"/>
    <x v="4"/>
    <x v="1"/>
    <n v="345796"/>
    <n v="15345796"/>
  </r>
  <r>
    <x v="963"/>
    <x v="1"/>
    <x v="4"/>
    <n v="31520421"/>
    <s v="Transferencia"/>
    <n v="5781904"/>
    <x v="314"/>
    <x v="8"/>
    <x v="4"/>
    <n v="51477"/>
    <n v="1551477"/>
  </r>
  <r>
    <x v="964"/>
    <x v="9"/>
    <x v="2"/>
    <n v="43215485"/>
    <s v="Efectivo"/>
    <n v="2224128"/>
    <x v="73"/>
    <x v="7"/>
    <x v="3"/>
    <n v="819827"/>
    <n v="15819827"/>
  </r>
  <r>
    <x v="965"/>
    <x v="9"/>
    <x v="2"/>
    <n v="4938153"/>
    <s v="Efectivo"/>
    <n v="4852614"/>
    <x v="74"/>
    <x v="4"/>
    <x v="0"/>
    <n v="890578"/>
    <n v="15890578"/>
  </r>
  <r>
    <x v="966"/>
    <x v="1"/>
    <x v="0"/>
    <n v="36638502"/>
    <s v="Crédito"/>
    <n v="3240981"/>
    <x v="41"/>
    <x v="9"/>
    <x v="2"/>
    <n v="66795"/>
    <n v="1566795"/>
  </r>
  <r>
    <x v="967"/>
    <x v="7"/>
    <x v="2"/>
    <n v="47619544"/>
    <s v="Crédito"/>
    <n v="5088615"/>
    <x v="138"/>
    <x v="0"/>
    <x v="2"/>
    <n v="850619"/>
    <n v="15850619"/>
  </r>
  <r>
    <x v="968"/>
    <x v="5"/>
    <x v="0"/>
    <n v="28484039"/>
    <s v="Transferencia"/>
    <n v="5480082"/>
    <x v="2"/>
    <x v="7"/>
    <x v="0"/>
    <n v="460079"/>
    <n v="15460079"/>
  </r>
  <r>
    <x v="969"/>
    <x v="6"/>
    <x v="2"/>
    <n v="1488453"/>
    <s v="Transferencia"/>
    <n v="294078"/>
    <x v="0"/>
    <x v="4"/>
    <x v="0"/>
    <n v="23888"/>
    <n v="15023888"/>
  </r>
  <r>
    <x v="970"/>
    <x v="8"/>
    <x v="3"/>
    <n v="37993124"/>
    <s v="Efectivo"/>
    <n v="1358181"/>
    <x v="81"/>
    <x v="0"/>
    <x v="2"/>
    <n v="732699"/>
    <n v="15732699"/>
  </r>
  <r>
    <x v="971"/>
    <x v="2"/>
    <x v="2"/>
    <n v="41646326"/>
    <s v="Crédito"/>
    <n v="7496827"/>
    <x v="223"/>
    <x v="1"/>
    <x v="1"/>
    <n v="68299"/>
    <n v="1568299"/>
  </r>
  <r>
    <x v="972"/>
    <x v="6"/>
    <x v="4"/>
    <n v="3187792"/>
    <s v="Efectivo"/>
    <n v="1839562"/>
    <x v="140"/>
    <x v="8"/>
    <x v="5"/>
    <n v="600767"/>
    <n v="15600767"/>
  </r>
  <r>
    <x v="973"/>
    <x v="0"/>
    <x v="0"/>
    <n v="6049053"/>
    <s v="Transferencia"/>
    <n v="1091623"/>
    <x v="128"/>
    <x v="2"/>
    <x v="5"/>
    <n v="99149"/>
    <n v="15099149"/>
  </r>
  <r>
    <x v="974"/>
    <x v="1"/>
    <x v="3"/>
    <n v="3051845"/>
    <s v="Transferencia"/>
    <n v="240827"/>
    <x v="1"/>
    <x v="6"/>
    <x v="2"/>
    <n v="605552"/>
    <n v="15605552"/>
  </r>
  <r>
    <x v="975"/>
    <x v="3"/>
    <x v="4"/>
    <n v="6727957"/>
    <s v="Crédito"/>
    <n v="745191"/>
    <x v="30"/>
    <x v="5"/>
    <x v="3"/>
    <n v="119655"/>
    <n v="15119655"/>
  </r>
  <r>
    <x v="976"/>
    <x v="2"/>
    <x v="0"/>
    <n v="27108739"/>
    <s v="Efectivo"/>
    <n v="1174742"/>
    <x v="219"/>
    <x v="9"/>
    <x v="3"/>
    <n v="51868"/>
    <n v="1551868"/>
  </r>
  <r>
    <x v="977"/>
    <x v="0"/>
    <x v="1"/>
    <n v="7395751"/>
    <s v="Efectivo"/>
    <n v="47752"/>
    <x v="318"/>
    <x v="4"/>
    <x v="0"/>
    <n v="138365"/>
    <n v="15138365"/>
  </r>
  <r>
    <x v="978"/>
    <x v="6"/>
    <x v="0"/>
    <n v="10206511"/>
    <s v="Transferencia"/>
    <n v="116114"/>
    <x v="242"/>
    <x v="0"/>
    <x v="1"/>
    <n v="180907"/>
    <n v="15180907"/>
  </r>
  <r>
    <x v="979"/>
    <x v="2"/>
    <x v="1"/>
    <n v="212132"/>
    <s v="Crédito"/>
    <n v="175466"/>
    <x v="343"/>
    <x v="3"/>
    <x v="1"/>
    <n v="38917"/>
    <n v="15038917"/>
  </r>
  <r>
    <x v="980"/>
    <x v="6"/>
    <x v="1"/>
    <n v="495265"/>
    <s v="Efectivo"/>
    <n v="205594"/>
    <x v="198"/>
    <x v="3"/>
    <x v="5"/>
    <n v="94941"/>
    <n v="15094941"/>
  </r>
  <r>
    <x v="981"/>
    <x v="6"/>
    <x v="2"/>
    <n v="31424952"/>
    <s v="Crédito"/>
    <n v="1032131"/>
    <x v="186"/>
    <x v="3"/>
    <x v="2"/>
    <n v="607856"/>
    <n v="15607856"/>
  </r>
  <r>
    <x v="982"/>
    <x v="2"/>
    <x v="0"/>
    <n v="21650459"/>
    <s v="Crédito"/>
    <n v="93736"/>
    <x v="26"/>
    <x v="0"/>
    <x v="2"/>
    <n v="431134"/>
    <n v="15431134"/>
  </r>
  <r>
    <x v="983"/>
    <x v="5"/>
    <x v="2"/>
    <n v="13600837"/>
    <s v="Crédito"/>
    <n v="1318182"/>
    <x v="199"/>
    <x v="6"/>
    <x v="5"/>
    <n v="245653"/>
    <n v="15245653"/>
  </r>
  <r>
    <x v="984"/>
    <x v="2"/>
    <x v="3"/>
    <n v="17673345"/>
    <s v="Crédito"/>
    <n v="847019"/>
    <x v="22"/>
    <x v="6"/>
    <x v="1"/>
    <n v="336527"/>
    <n v="15336527"/>
  </r>
  <r>
    <x v="985"/>
    <x v="6"/>
    <x v="2"/>
    <n v="8671162"/>
    <s v="Crédito"/>
    <n v="1629711"/>
    <x v="306"/>
    <x v="4"/>
    <x v="4"/>
    <n v="140829"/>
    <n v="15140829"/>
  </r>
  <r>
    <x v="986"/>
    <x v="6"/>
    <x v="3"/>
    <n v="6597439"/>
    <s v="Efectivo"/>
    <n v="1453777"/>
    <x v="89"/>
    <x v="0"/>
    <x v="1"/>
    <n v="102873"/>
    <n v="15102873"/>
  </r>
  <r>
    <x v="987"/>
    <x v="0"/>
    <x v="3"/>
    <n v="47352832"/>
    <s v="Crédito"/>
    <n v="476080"/>
    <x v="107"/>
    <x v="0"/>
    <x v="4"/>
    <n v="851841"/>
    <n v="15851841"/>
  </r>
  <r>
    <x v="988"/>
    <x v="4"/>
    <x v="2"/>
    <n v="25596945"/>
    <s v="Transferencia"/>
    <n v="5091313"/>
    <x v="189"/>
    <x v="2"/>
    <x v="3"/>
    <n v="410113"/>
    <n v="15410113"/>
  </r>
  <r>
    <x v="989"/>
    <x v="5"/>
    <x v="4"/>
    <n v="21907625"/>
    <s v="Crédito"/>
    <n v="1251843"/>
    <x v="91"/>
    <x v="6"/>
    <x v="0"/>
    <n v="413116"/>
    <n v="15413116"/>
  </r>
  <r>
    <x v="990"/>
    <x v="2"/>
    <x v="4"/>
    <n v="30569066"/>
    <s v="Efectivo"/>
    <n v="4885304"/>
    <x v="150"/>
    <x v="5"/>
    <x v="1"/>
    <n v="513675"/>
    <n v="15513675"/>
  </r>
  <r>
    <x v="991"/>
    <x v="0"/>
    <x v="3"/>
    <n v="37835348"/>
    <s v="Transferencia"/>
    <n v="484937"/>
    <x v="346"/>
    <x v="7"/>
    <x v="2"/>
    <n v="65972"/>
    <n v="1565972"/>
  </r>
  <r>
    <x v="992"/>
    <x v="5"/>
    <x v="3"/>
    <n v="40164531"/>
    <s v="Efectivo"/>
    <n v="948610"/>
    <x v="198"/>
    <x v="7"/>
    <x v="5"/>
    <n v="613569"/>
    <n v="15613569"/>
  </r>
  <r>
    <x v="993"/>
    <x v="6"/>
    <x v="4"/>
    <n v="36910604"/>
    <s v="Crédito"/>
    <n v="8932944"/>
    <x v="235"/>
    <x v="5"/>
    <x v="0"/>
    <n v="559553"/>
    <n v="15559553"/>
  </r>
  <r>
    <x v="994"/>
    <x v="7"/>
    <x v="2"/>
    <n v="12590013"/>
    <s v="Transferencia"/>
    <n v="257263"/>
    <x v="271"/>
    <x v="0"/>
    <x v="2"/>
    <n v="246655"/>
    <n v="15246655"/>
  </r>
  <r>
    <x v="995"/>
    <x v="1"/>
    <x v="3"/>
    <n v="33079821"/>
    <s v="Efectivo"/>
    <n v="1194666"/>
    <x v="132"/>
    <x v="9"/>
    <x v="5"/>
    <n v="637703"/>
    <n v="15637703"/>
  </r>
  <r>
    <x v="996"/>
    <x v="6"/>
    <x v="1"/>
    <n v="28783277"/>
    <s v="Transferencia"/>
    <n v="6286545"/>
    <x v="80"/>
    <x v="7"/>
    <x v="4"/>
    <n v="449935"/>
    <n v="15449935"/>
  </r>
  <r>
    <x v="997"/>
    <x v="9"/>
    <x v="4"/>
    <n v="41339195"/>
    <s v="Transferencia"/>
    <n v="9577492"/>
    <x v="130"/>
    <x v="0"/>
    <x v="4"/>
    <n v="635234"/>
    <n v="15635234"/>
  </r>
  <r>
    <x v="998"/>
    <x v="6"/>
    <x v="2"/>
    <n v="26517563"/>
    <s v="Efectivo"/>
    <n v="3003044"/>
    <x v="336"/>
    <x v="2"/>
    <x v="0"/>
    <n v="47029"/>
    <n v="1547029"/>
  </r>
  <r>
    <x v="999"/>
    <x v="2"/>
    <x v="2"/>
    <n v="37874679"/>
    <s v="Efectivo"/>
    <n v="7805451"/>
    <x v="311"/>
    <x v="6"/>
    <x v="4"/>
    <n v="601385"/>
    <n v="15601385"/>
  </r>
  <r>
    <x v="1000"/>
    <x v="3"/>
    <x v="0"/>
    <n v="27963797"/>
    <s v="Crédito"/>
    <n v="6834795"/>
    <x v="263"/>
    <x v="9"/>
    <x v="5"/>
    <n v="42258"/>
    <n v="1542258"/>
  </r>
  <r>
    <x v="1001"/>
    <x v="9"/>
    <x v="0"/>
    <n v="1173551"/>
    <s v="Crédito"/>
    <n v="1630028"/>
    <x v="123"/>
    <x v="0"/>
    <x v="0"/>
    <n v="20211"/>
    <n v="1520211"/>
  </r>
  <r>
    <x v="1002"/>
    <x v="9"/>
    <x v="0"/>
    <n v="38103202"/>
    <s v="Crédito"/>
    <n v="3747003"/>
    <x v="89"/>
    <x v="5"/>
    <x v="5"/>
    <n v="687124"/>
    <n v="15687124"/>
  </r>
  <r>
    <x v="1003"/>
    <x v="4"/>
    <x v="0"/>
    <n v="39559537"/>
    <s v="Efectivo"/>
    <n v="5790692"/>
    <x v="238"/>
    <x v="5"/>
    <x v="1"/>
    <n v="675377"/>
    <n v="15675377"/>
  </r>
  <r>
    <x v="1004"/>
    <x v="0"/>
    <x v="1"/>
    <n v="41511749"/>
    <s v="Efectivo"/>
    <n v="5664085"/>
    <x v="95"/>
    <x v="1"/>
    <x v="3"/>
    <n v="716953"/>
    <n v="15716953"/>
  </r>
  <r>
    <x v="1005"/>
    <x v="5"/>
    <x v="1"/>
    <n v="14538999"/>
    <s v="Crédito"/>
    <n v="862395"/>
    <x v="236"/>
    <x v="5"/>
    <x v="0"/>
    <n v="273532"/>
    <n v="15273532"/>
  </r>
  <r>
    <x v="1006"/>
    <x v="0"/>
    <x v="2"/>
    <n v="20161386"/>
    <s v="Transferencia"/>
    <n v="2393225"/>
    <x v="216"/>
    <x v="0"/>
    <x v="3"/>
    <n v="355363"/>
    <n v="15355363"/>
  </r>
  <r>
    <x v="1007"/>
    <x v="3"/>
    <x v="0"/>
    <n v="11344672"/>
    <s v="Crédito"/>
    <n v="990926"/>
    <x v="235"/>
    <x v="3"/>
    <x v="5"/>
    <n v="207075"/>
    <n v="15207075"/>
  </r>
  <r>
    <x v="1008"/>
    <x v="7"/>
    <x v="4"/>
    <n v="39371584"/>
    <s v="Efectivo"/>
    <n v="1318425"/>
    <x v="72"/>
    <x v="0"/>
    <x v="4"/>
    <n v="761063"/>
    <n v="15761063"/>
  </r>
  <r>
    <x v="1009"/>
    <x v="4"/>
    <x v="0"/>
    <n v="41517025"/>
    <s v="Efectivo"/>
    <n v="5947137"/>
    <x v="17"/>
    <x v="7"/>
    <x v="1"/>
    <n v="711398"/>
    <n v="15711398"/>
  </r>
  <r>
    <x v="1010"/>
    <x v="2"/>
    <x v="1"/>
    <n v="46548956"/>
    <s v="Crédito"/>
    <n v="9887742"/>
    <x v="347"/>
    <x v="0"/>
    <x v="0"/>
    <n v="733224"/>
    <n v="15733224"/>
  </r>
  <r>
    <x v="1011"/>
    <x v="1"/>
    <x v="3"/>
    <n v="8298377"/>
    <s v="Efectivo"/>
    <n v="1115269"/>
    <x v="47"/>
    <x v="4"/>
    <x v="1"/>
    <n v="143662"/>
    <n v="15143662"/>
  </r>
  <r>
    <x v="1012"/>
    <x v="5"/>
    <x v="1"/>
    <n v="39842892"/>
    <s v="Efectivo"/>
    <n v="7717353"/>
    <x v="348"/>
    <x v="2"/>
    <x v="4"/>
    <n v="642511"/>
    <n v="15642511"/>
  </r>
  <r>
    <x v="1013"/>
    <x v="2"/>
    <x v="1"/>
    <n v="10415993"/>
    <s v="Transferencia"/>
    <n v="2068454"/>
    <x v="72"/>
    <x v="1"/>
    <x v="1"/>
    <n v="166951"/>
    <n v="15166951"/>
  </r>
  <r>
    <x v="1014"/>
    <x v="6"/>
    <x v="3"/>
    <n v="3116660"/>
    <s v="Efectivo"/>
    <n v="500352"/>
    <x v="81"/>
    <x v="7"/>
    <x v="4"/>
    <n v="613325"/>
    <n v="15613325"/>
  </r>
  <r>
    <x v="1015"/>
    <x v="8"/>
    <x v="4"/>
    <n v="14175565"/>
    <s v="Efectivo"/>
    <n v="2883171"/>
    <x v="317"/>
    <x v="2"/>
    <x v="5"/>
    <n v="225848"/>
    <n v="15225848"/>
  </r>
  <r>
    <x v="1016"/>
    <x v="2"/>
    <x v="2"/>
    <n v="33258242"/>
    <s v="Transferencia"/>
    <n v="4789573"/>
    <x v="36"/>
    <x v="6"/>
    <x v="4"/>
    <n v="569373"/>
    <n v="15569373"/>
  </r>
  <r>
    <x v="1017"/>
    <x v="9"/>
    <x v="1"/>
    <n v="9098939"/>
    <s v="Crédito"/>
    <n v="55293"/>
    <x v="280"/>
    <x v="6"/>
    <x v="1"/>
    <n v="17092"/>
    <n v="1517092"/>
  </r>
  <r>
    <x v="1018"/>
    <x v="9"/>
    <x v="4"/>
    <n v="33048458"/>
    <s v="Transferencia"/>
    <n v="7287254"/>
    <x v="24"/>
    <x v="7"/>
    <x v="4"/>
    <n v="515224"/>
    <n v="15515224"/>
  </r>
  <r>
    <x v="1019"/>
    <x v="2"/>
    <x v="4"/>
    <n v="1100808"/>
    <s v="Crédito"/>
    <n v="2677151"/>
    <x v="31"/>
    <x v="8"/>
    <x v="1"/>
    <n v="166619"/>
    <n v="15166619"/>
  </r>
  <r>
    <x v="1020"/>
    <x v="9"/>
    <x v="2"/>
    <n v="47133116"/>
    <s v="Crédito"/>
    <n v="10887287"/>
    <x v="51"/>
    <x v="0"/>
    <x v="2"/>
    <n v="724917"/>
    <n v="15724917"/>
  </r>
  <r>
    <x v="1021"/>
    <x v="8"/>
    <x v="1"/>
    <n v="44709981"/>
    <s v="Transferencia"/>
    <n v="8139434"/>
    <x v="72"/>
    <x v="1"/>
    <x v="4"/>
    <n v="731411"/>
    <n v="15731411"/>
  </r>
  <r>
    <x v="1022"/>
    <x v="0"/>
    <x v="2"/>
    <n v="33461796"/>
    <s v="Transferencia"/>
    <n v="3055526"/>
    <x v="109"/>
    <x v="7"/>
    <x v="0"/>
    <n v="608125"/>
    <n v="15608125"/>
  </r>
  <r>
    <x v="1023"/>
    <x v="3"/>
    <x v="4"/>
    <n v="10159989"/>
    <s v="Efectivo"/>
    <n v="116818"/>
    <x v="329"/>
    <x v="9"/>
    <x v="2"/>
    <n v="179836"/>
    <n v="15179836"/>
  </r>
  <r>
    <x v="1024"/>
    <x v="2"/>
    <x v="4"/>
    <n v="46681385"/>
    <s v="Efectivo"/>
    <n v="3869568"/>
    <x v="124"/>
    <x v="6"/>
    <x v="4"/>
    <n v="856236"/>
    <n v="15856236"/>
  </r>
  <r>
    <x v="1025"/>
    <x v="2"/>
    <x v="0"/>
    <n v="21814188"/>
    <s v="Transferencia"/>
    <n v="3231048"/>
    <x v="127"/>
    <x v="4"/>
    <x v="5"/>
    <n v="371663"/>
    <n v="15371663"/>
  </r>
  <r>
    <x v="1026"/>
    <x v="2"/>
    <x v="0"/>
    <n v="17205775"/>
    <s v="Transferencia"/>
    <n v="317244"/>
    <x v="140"/>
    <x v="3"/>
    <x v="1"/>
    <n v="337771"/>
    <n v="15337771"/>
  </r>
  <r>
    <x v="1027"/>
    <x v="4"/>
    <x v="0"/>
    <n v="20264974"/>
    <s v="Crédito"/>
    <n v="3687663"/>
    <x v="207"/>
    <x v="3"/>
    <x v="2"/>
    <n v="331546"/>
    <n v="15331546"/>
  </r>
  <r>
    <x v="1028"/>
    <x v="5"/>
    <x v="2"/>
    <n v="1908284"/>
    <s v="Efectivo"/>
    <n v="3651237"/>
    <x v="69"/>
    <x v="0"/>
    <x v="3"/>
    <n v="308632"/>
    <n v="15308632"/>
  </r>
  <r>
    <x v="1029"/>
    <x v="2"/>
    <x v="3"/>
    <n v="37001912"/>
    <s v="Transferencia"/>
    <n v="8606929"/>
    <x v="227"/>
    <x v="3"/>
    <x v="0"/>
    <n v="56790"/>
    <n v="1556790"/>
  </r>
  <r>
    <x v="1030"/>
    <x v="4"/>
    <x v="2"/>
    <n v="25479579"/>
    <s v="Crédito"/>
    <n v="2178497"/>
    <x v="200"/>
    <x v="8"/>
    <x v="1"/>
    <n v="466022"/>
    <n v="15466022"/>
  </r>
  <r>
    <x v="1031"/>
    <x v="5"/>
    <x v="0"/>
    <n v="45608375"/>
    <s v="Crédito"/>
    <n v="273242"/>
    <x v="275"/>
    <x v="9"/>
    <x v="0"/>
    <n v="857519"/>
    <n v="15857519"/>
  </r>
  <r>
    <x v="1032"/>
    <x v="7"/>
    <x v="0"/>
    <n v="32194845"/>
    <s v="Transferencia"/>
    <n v="1361518"/>
    <x v="136"/>
    <x v="1"/>
    <x v="2"/>
    <n v="616667"/>
    <n v="15616667"/>
  </r>
  <r>
    <x v="1033"/>
    <x v="8"/>
    <x v="1"/>
    <n v="3517821"/>
    <s v="Efectivo"/>
    <n v="2791155"/>
    <x v="324"/>
    <x v="2"/>
    <x v="1"/>
    <n v="647741"/>
    <n v="15647741"/>
  </r>
  <r>
    <x v="1034"/>
    <x v="8"/>
    <x v="1"/>
    <n v="35069239"/>
    <s v="Transferencia"/>
    <n v="904331"/>
    <x v="341"/>
    <x v="6"/>
    <x v="5"/>
    <n v="683298"/>
    <n v="15683298"/>
  </r>
  <r>
    <x v="1035"/>
    <x v="5"/>
    <x v="2"/>
    <n v="18745692"/>
    <s v="Efectivo"/>
    <n v="4176492"/>
    <x v="185"/>
    <x v="7"/>
    <x v="1"/>
    <n v="291384"/>
    <n v="15291384"/>
  </r>
  <r>
    <x v="1036"/>
    <x v="5"/>
    <x v="1"/>
    <n v="16324686"/>
    <s v="Crédito"/>
    <n v="2077595"/>
    <x v="84"/>
    <x v="6"/>
    <x v="1"/>
    <n v="284942"/>
    <n v="15284942"/>
  </r>
  <r>
    <x v="1037"/>
    <x v="5"/>
    <x v="1"/>
    <n v="48642534"/>
    <s v="Efectivo"/>
    <n v="8645762"/>
    <x v="15"/>
    <x v="5"/>
    <x v="4"/>
    <n v="799935"/>
    <n v="15799935"/>
  </r>
  <r>
    <x v="1038"/>
    <x v="6"/>
    <x v="3"/>
    <n v="13249922"/>
    <s v="Efectivo"/>
    <n v="2896935"/>
    <x v="130"/>
    <x v="2"/>
    <x v="3"/>
    <n v="20706"/>
    <n v="1520706"/>
  </r>
  <r>
    <x v="1039"/>
    <x v="9"/>
    <x v="3"/>
    <n v="21158241"/>
    <s v="Transferencia"/>
    <n v="1161302"/>
    <x v="87"/>
    <x v="1"/>
    <x v="1"/>
    <n v="399939"/>
    <n v="15399939"/>
  </r>
  <r>
    <x v="1040"/>
    <x v="1"/>
    <x v="3"/>
    <n v="22576625"/>
    <s v="Crédito"/>
    <n v="561707"/>
    <x v="228"/>
    <x v="2"/>
    <x v="0"/>
    <n v="339191"/>
    <n v="15339191"/>
  </r>
  <r>
    <x v="1041"/>
    <x v="8"/>
    <x v="2"/>
    <n v="2183028"/>
    <s v="Efectivo"/>
    <n v="3952679"/>
    <x v="208"/>
    <x v="2"/>
    <x v="3"/>
    <n v="357552"/>
    <n v="15357552"/>
  </r>
  <r>
    <x v="1042"/>
    <x v="2"/>
    <x v="4"/>
    <n v="47626921"/>
    <s v="Crédito"/>
    <n v="1570789"/>
    <x v="194"/>
    <x v="9"/>
    <x v="5"/>
    <n v="921123"/>
    <n v="15921123"/>
  </r>
  <r>
    <x v="1043"/>
    <x v="8"/>
    <x v="0"/>
    <n v="21696696"/>
    <s v="Transferencia"/>
    <n v="1675885"/>
    <x v="128"/>
    <x v="6"/>
    <x v="1"/>
    <n v="400416"/>
    <n v="15400416"/>
  </r>
  <r>
    <x v="1044"/>
    <x v="4"/>
    <x v="3"/>
    <n v="15467026"/>
    <s v="Crédito"/>
    <n v="2222491"/>
    <x v="51"/>
    <x v="8"/>
    <x v="5"/>
    <n v="264891"/>
    <n v="15264891"/>
  </r>
  <r>
    <x v="1045"/>
    <x v="3"/>
    <x v="4"/>
    <n v="46077136"/>
    <s v="Transferencia"/>
    <n v="3060128"/>
    <x v="35"/>
    <x v="5"/>
    <x v="2"/>
    <n v="86034"/>
    <n v="1586034"/>
  </r>
  <r>
    <x v="1046"/>
    <x v="7"/>
    <x v="4"/>
    <n v="8199268"/>
    <s v="Efectivo"/>
    <n v="184488"/>
    <x v="249"/>
    <x v="8"/>
    <x v="0"/>
    <n v="127088"/>
    <n v="15127088"/>
  </r>
  <r>
    <x v="1047"/>
    <x v="0"/>
    <x v="2"/>
    <n v="25102559"/>
    <s v="Transferencia"/>
    <n v="998407"/>
    <x v="150"/>
    <x v="3"/>
    <x v="1"/>
    <n v="482083"/>
    <n v="15482083"/>
  </r>
  <r>
    <x v="1048"/>
    <x v="3"/>
    <x v="0"/>
    <n v="10896126"/>
    <s v="Crédito"/>
    <n v="2575062"/>
    <x v="312"/>
    <x v="0"/>
    <x v="3"/>
    <n v="166421"/>
    <n v="15166421"/>
  </r>
  <r>
    <x v="1049"/>
    <x v="6"/>
    <x v="3"/>
    <n v="13977514"/>
    <s v="Efectivo"/>
    <n v="992681"/>
    <x v="248"/>
    <x v="3"/>
    <x v="1"/>
    <n v="259697"/>
    <n v="15259697"/>
  </r>
  <r>
    <x v="1050"/>
    <x v="2"/>
    <x v="3"/>
    <n v="23732197"/>
    <s v="Crédito"/>
    <n v="2470714"/>
    <x v="112"/>
    <x v="0"/>
    <x v="4"/>
    <n v="42523"/>
    <n v="1542523"/>
  </r>
  <r>
    <x v="1051"/>
    <x v="9"/>
    <x v="0"/>
    <n v="45148208"/>
    <s v="Efectivo"/>
    <n v="5357422"/>
    <x v="349"/>
    <x v="6"/>
    <x v="1"/>
    <n v="795816"/>
    <n v="15795816"/>
  </r>
  <r>
    <x v="1052"/>
    <x v="5"/>
    <x v="0"/>
    <n v="11068624"/>
    <s v="Transferencia"/>
    <n v="1900711"/>
    <x v="73"/>
    <x v="3"/>
    <x v="2"/>
    <n v="183358"/>
    <n v="15183358"/>
  </r>
  <r>
    <x v="1053"/>
    <x v="9"/>
    <x v="1"/>
    <n v="3947306"/>
    <s v="Crédito"/>
    <n v="4234012"/>
    <x v="174"/>
    <x v="8"/>
    <x v="0"/>
    <n v="704781"/>
    <n v="15704781"/>
  </r>
  <r>
    <x v="1054"/>
    <x v="2"/>
    <x v="4"/>
    <n v="22539119"/>
    <s v="Transferencia"/>
    <n v="4833252"/>
    <x v="74"/>
    <x v="3"/>
    <x v="3"/>
    <n v="354117"/>
    <n v="15354117"/>
  </r>
  <r>
    <x v="1055"/>
    <x v="5"/>
    <x v="4"/>
    <n v="49750895"/>
    <s v="Efectivo"/>
    <n v="521033"/>
    <x v="285"/>
    <x v="6"/>
    <x v="4"/>
    <n v="984597"/>
    <n v="15984597"/>
  </r>
  <r>
    <x v="1056"/>
    <x v="1"/>
    <x v="2"/>
    <n v="17536883"/>
    <s v="Transferencia"/>
    <n v="1756004"/>
    <x v="5"/>
    <x v="4"/>
    <x v="1"/>
    <n v="315618"/>
    <n v="15315618"/>
  </r>
  <r>
    <x v="1057"/>
    <x v="4"/>
    <x v="4"/>
    <n v="21703686"/>
    <s v="Efectivo"/>
    <n v="3011814"/>
    <x v="66"/>
    <x v="4"/>
    <x v="3"/>
    <n v="373837"/>
    <n v="15373837"/>
  </r>
  <r>
    <x v="1058"/>
    <x v="4"/>
    <x v="3"/>
    <n v="17685127"/>
    <s v="Efectivo"/>
    <n v="1599084"/>
    <x v="22"/>
    <x v="2"/>
    <x v="1"/>
    <n v="321721"/>
    <n v="15321721"/>
  </r>
  <r>
    <x v="1059"/>
    <x v="9"/>
    <x v="2"/>
    <n v="32159558"/>
    <s v="Efectivo"/>
    <n v="1533614"/>
    <x v="110"/>
    <x v="6"/>
    <x v="0"/>
    <n v="612519"/>
    <n v="15612519"/>
  </r>
  <r>
    <x v="1060"/>
    <x v="0"/>
    <x v="3"/>
    <n v="2646496"/>
    <s v="Efectivo"/>
    <n v="5953752"/>
    <x v="159"/>
    <x v="5"/>
    <x v="0"/>
    <n v="410224"/>
    <n v="15410224"/>
  </r>
  <r>
    <x v="1061"/>
    <x v="5"/>
    <x v="4"/>
    <n v="2829132"/>
    <s v="Efectivo"/>
    <n v="287188"/>
    <x v="350"/>
    <x v="7"/>
    <x v="0"/>
    <n v="50839"/>
    <n v="15050839"/>
  </r>
  <r>
    <x v="1062"/>
    <x v="2"/>
    <x v="3"/>
    <n v="38935587"/>
    <s v="Transferencia"/>
    <n v="9610755"/>
    <x v="244"/>
    <x v="6"/>
    <x v="5"/>
    <n v="586497"/>
    <n v="15586497"/>
  </r>
  <r>
    <x v="1063"/>
    <x v="6"/>
    <x v="1"/>
    <n v="31029302"/>
    <s v="Crédito"/>
    <n v="6854295"/>
    <x v="334"/>
    <x v="1"/>
    <x v="5"/>
    <n v="48350"/>
    <n v="1548350"/>
  </r>
  <r>
    <x v="1064"/>
    <x v="8"/>
    <x v="0"/>
    <n v="8241738"/>
    <s v="Efectivo"/>
    <n v="1371362"/>
    <x v="45"/>
    <x v="7"/>
    <x v="1"/>
    <n v="137408"/>
    <n v="15137408"/>
  </r>
  <r>
    <x v="1065"/>
    <x v="9"/>
    <x v="3"/>
    <n v="29653022"/>
    <s v="Efectivo"/>
    <n v="477879"/>
    <x v="137"/>
    <x v="1"/>
    <x v="5"/>
    <n v="497485"/>
    <n v="15497485"/>
  </r>
  <r>
    <x v="1066"/>
    <x v="4"/>
    <x v="2"/>
    <n v="3005997"/>
    <s v="Transferencia"/>
    <n v="2908954"/>
    <x v="327"/>
    <x v="8"/>
    <x v="4"/>
    <n v="54302"/>
    <n v="1554302"/>
  </r>
  <r>
    <x v="1067"/>
    <x v="7"/>
    <x v="0"/>
    <n v="21923382"/>
    <s v="Crédito"/>
    <n v="2007449"/>
    <x v="238"/>
    <x v="0"/>
    <x v="4"/>
    <n v="398319"/>
    <n v="15398319"/>
  </r>
  <r>
    <x v="1068"/>
    <x v="0"/>
    <x v="0"/>
    <n v="1819444"/>
    <s v="Efectivo"/>
    <n v="1813051"/>
    <x v="330"/>
    <x v="8"/>
    <x v="3"/>
    <n v="327628"/>
    <n v="15327628"/>
  </r>
  <r>
    <x v="1069"/>
    <x v="6"/>
    <x v="1"/>
    <n v="7427612"/>
    <s v="Crédito"/>
    <n v="1851266"/>
    <x v="89"/>
    <x v="8"/>
    <x v="3"/>
    <n v="111527"/>
    <n v="15111527"/>
  </r>
  <r>
    <x v="1070"/>
    <x v="6"/>
    <x v="1"/>
    <n v="14077312"/>
    <s v="Crédito"/>
    <n v="2126912"/>
    <x v="5"/>
    <x v="9"/>
    <x v="0"/>
    <n v="239008"/>
    <n v="15239008"/>
  </r>
  <r>
    <x v="1071"/>
    <x v="1"/>
    <x v="1"/>
    <n v="19609366"/>
    <s v="Transferencia"/>
    <n v="83217"/>
    <x v="91"/>
    <x v="3"/>
    <x v="4"/>
    <n v="375544"/>
    <n v="15375544"/>
  </r>
  <r>
    <x v="1072"/>
    <x v="9"/>
    <x v="1"/>
    <n v="7429664"/>
    <s v="Efectivo"/>
    <n v="217741"/>
    <x v="351"/>
    <x v="2"/>
    <x v="1"/>
    <n v="144238"/>
    <n v="15144238"/>
  </r>
  <r>
    <x v="1073"/>
    <x v="6"/>
    <x v="4"/>
    <n v="4006310"/>
    <s v="Transferencia"/>
    <n v="432453"/>
    <x v="87"/>
    <x v="4"/>
    <x v="2"/>
    <n v="792613"/>
    <n v="15792613"/>
  </r>
  <r>
    <x v="1074"/>
    <x v="9"/>
    <x v="1"/>
    <n v="24338528"/>
    <s v="Crédito"/>
    <n v="1799761"/>
    <x v="32"/>
    <x v="6"/>
    <x v="0"/>
    <n v="450775"/>
    <n v="15450775"/>
  </r>
  <r>
    <x v="1075"/>
    <x v="8"/>
    <x v="3"/>
    <n v="28412279"/>
    <s v="Transferencia"/>
    <n v="6607017"/>
    <x v="57"/>
    <x v="9"/>
    <x v="3"/>
    <n v="436105"/>
    <n v="15436105"/>
  </r>
  <r>
    <x v="1076"/>
    <x v="7"/>
    <x v="2"/>
    <n v="43483871"/>
    <s v="Efectivo"/>
    <n v="6077237"/>
    <x v="245"/>
    <x v="4"/>
    <x v="5"/>
    <n v="748133"/>
    <n v="15748133"/>
  </r>
  <r>
    <x v="1077"/>
    <x v="8"/>
    <x v="4"/>
    <n v="23780725"/>
    <s v="Efectivo"/>
    <n v="2613161"/>
    <x v="46"/>
    <x v="6"/>
    <x v="5"/>
    <n v="423351"/>
    <n v="15423351"/>
  </r>
  <r>
    <x v="1078"/>
    <x v="9"/>
    <x v="2"/>
    <n v="27530684"/>
    <s v="Crédito"/>
    <n v="5838076"/>
    <x v="247"/>
    <x v="9"/>
    <x v="1"/>
    <n v="433852"/>
    <n v="15433852"/>
  </r>
  <r>
    <x v="1079"/>
    <x v="0"/>
    <x v="3"/>
    <n v="12862802"/>
    <s v="Transferencia"/>
    <n v="749769"/>
    <x v="299"/>
    <x v="3"/>
    <x v="2"/>
    <n v="242261"/>
    <n v="15242261"/>
  </r>
  <r>
    <x v="1080"/>
    <x v="1"/>
    <x v="0"/>
    <n v="26806533"/>
    <s v="Crédito"/>
    <n v="4286037"/>
    <x v="178"/>
    <x v="3"/>
    <x v="4"/>
    <n v="45041"/>
    <n v="1545041"/>
  </r>
  <r>
    <x v="1081"/>
    <x v="6"/>
    <x v="4"/>
    <n v="9390841"/>
    <s v="Efectivo"/>
    <n v="403227"/>
    <x v="99"/>
    <x v="5"/>
    <x v="3"/>
    <n v="179752"/>
    <n v="15179752"/>
  </r>
  <r>
    <x v="1082"/>
    <x v="6"/>
    <x v="2"/>
    <n v="42905252"/>
    <s v="Crédito"/>
    <n v="87020"/>
    <x v="331"/>
    <x v="7"/>
    <x v="2"/>
    <n v="840701"/>
    <n v="15840701"/>
  </r>
  <r>
    <x v="1083"/>
    <x v="6"/>
    <x v="1"/>
    <n v="42025033"/>
    <s v="Transferencia"/>
    <n v="400384"/>
    <x v="343"/>
    <x v="7"/>
    <x v="1"/>
    <n v="760424"/>
    <n v="15760424"/>
  </r>
  <r>
    <x v="1084"/>
    <x v="9"/>
    <x v="0"/>
    <n v="18441162"/>
    <s v="Transferencia"/>
    <n v="2643191"/>
    <x v="149"/>
    <x v="4"/>
    <x v="0"/>
    <n v="315959"/>
    <n v="15315959"/>
  </r>
  <r>
    <x v="1085"/>
    <x v="5"/>
    <x v="1"/>
    <n v="10052702"/>
    <s v="Transferencia"/>
    <n v="127947"/>
    <x v="59"/>
    <x v="7"/>
    <x v="1"/>
    <n v="175465"/>
    <n v="15175465"/>
  </r>
  <r>
    <x v="1086"/>
    <x v="0"/>
    <x v="3"/>
    <n v="4086144"/>
    <s v="Efectivo"/>
    <n v="3236737"/>
    <x v="215"/>
    <x v="2"/>
    <x v="2"/>
    <n v="752494"/>
    <n v="15752494"/>
  </r>
  <r>
    <x v="1087"/>
    <x v="9"/>
    <x v="3"/>
    <n v="11020452"/>
    <s v="Crédito"/>
    <n v="1533213"/>
    <x v="143"/>
    <x v="5"/>
    <x v="2"/>
    <n v="189745"/>
    <n v="15189745"/>
  </r>
  <r>
    <x v="1088"/>
    <x v="9"/>
    <x v="4"/>
    <n v="3856821"/>
    <s v="Crédito"/>
    <n v="583203"/>
    <x v="28"/>
    <x v="6"/>
    <x v="1"/>
    <n v="65472"/>
    <n v="15065472"/>
  </r>
  <r>
    <x v="1089"/>
    <x v="5"/>
    <x v="2"/>
    <n v="30404628"/>
    <s v="Efectivo"/>
    <n v="46521"/>
    <x v="237"/>
    <x v="5"/>
    <x v="0"/>
    <n v="598788"/>
    <n v="15598788"/>
  </r>
  <r>
    <x v="1090"/>
    <x v="7"/>
    <x v="4"/>
    <n v="12226912"/>
    <s v="Transferencia"/>
    <n v="2193745"/>
    <x v="83"/>
    <x v="7"/>
    <x v="5"/>
    <n v="200663"/>
    <n v="15200663"/>
  </r>
  <r>
    <x v="1091"/>
    <x v="5"/>
    <x v="2"/>
    <n v="1144735"/>
    <s v="Efectivo"/>
    <n v="36648"/>
    <x v="86"/>
    <x v="9"/>
    <x v="0"/>
    <n v="22162"/>
    <n v="15022162"/>
  </r>
  <r>
    <x v="1092"/>
    <x v="3"/>
    <x v="1"/>
    <n v="48180832"/>
    <s v="Crédito"/>
    <n v="366561"/>
    <x v="36"/>
    <x v="7"/>
    <x v="2"/>
    <n v="890304"/>
    <n v="15890304"/>
  </r>
  <r>
    <x v="1093"/>
    <x v="6"/>
    <x v="1"/>
    <n v="19049772"/>
    <s v="Transferencia"/>
    <n v="1724992"/>
    <x v="104"/>
    <x v="8"/>
    <x v="5"/>
    <n v="346496"/>
    <n v="15346496"/>
  </r>
  <r>
    <x v="1094"/>
    <x v="3"/>
    <x v="0"/>
    <n v="4623935"/>
    <s v="Efectivo"/>
    <n v="841404"/>
    <x v="167"/>
    <x v="7"/>
    <x v="0"/>
    <n v="756506"/>
    <n v="15756506"/>
  </r>
  <r>
    <x v="1095"/>
    <x v="6"/>
    <x v="2"/>
    <n v="2293296"/>
    <s v="Efectivo"/>
    <n v="493673"/>
    <x v="68"/>
    <x v="4"/>
    <x v="1"/>
    <n v="35992"/>
    <n v="15035992"/>
  </r>
  <r>
    <x v="1096"/>
    <x v="3"/>
    <x v="2"/>
    <n v="10664952"/>
    <s v="Efectivo"/>
    <n v="265982"/>
    <x v="260"/>
    <x v="6"/>
    <x v="5"/>
    <n v="207979"/>
    <n v="15207979"/>
  </r>
  <r>
    <x v="1097"/>
    <x v="6"/>
    <x v="1"/>
    <n v="4809634"/>
    <s v="Transferencia"/>
    <n v="7958548"/>
    <x v="223"/>
    <x v="5"/>
    <x v="5"/>
    <n v="802756"/>
    <n v="15802756"/>
  </r>
  <r>
    <x v="1098"/>
    <x v="4"/>
    <x v="2"/>
    <n v="14403794"/>
    <s v="Transferencia"/>
    <n v="1617563"/>
    <x v="347"/>
    <x v="2"/>
    <x v="3"/>
    <n v="255725"/>
    <n v="15255725"/>
  </r>
  <r>
    <x v="1099"/>
    <x v="8"/>
    <x v="4"/>
    <n v="24244906"/>
    <s v="Crédito"/>
    <n v="1363273"/>
    <x v="174"/>
    <x v="1"/>
    <x v="5"/>
    <n v="457633"/>
    <n v="15457633"/>
  </r>
  <r>
    <x v="1100"/>
    <x v="8"/>
    <x v="2"/>
    <n v="5691301"/>
    <s v="Crédito"/>
    <n v="136081"/>
    <x v="214"/>
    <x v="2"/>
    <x v="5"/>
    <n v="111104"/>
    <n v="15111104"/>
  </r>
  <r>
    <x v="1101"/>
    <x v="2"/>
    <x v="4"/>
    <n v="30586026"/>
    <s v="Transferencia"/>
    <n v="1735833"/>
    <x v="287"/>
    <x v="4"/>
    <x v="4"/>
    <n v="577004"/>
    <n v="15577004"/>
  </r>
  <r>
    <x v="1102"/>
    <x v="0"/>
    <x v="3"/>
    <n v="37775312"/>
    <s v="Transferencia"/>
    <n v="9179046"/>
    <x v="141"/>
    <x v="9"/>
    <x v="5"/>
    <n v="571925"/>
    <n v="15571925"/>
  </r>
  <r>
    <x v="1103"/>
    <x v="1"/>
    <x v="1"/>
    <n v="40010398"/>
    <s v="Efectivo"/>
    <n v="4556712"/>
    <x v="5"/>
    <x v="4"/>
    <x v="5"/>
    <n v="709074"/>
    <n v="15709074"/>
  </r>
  <r>
    <x v="1104"/>
    <x v="4"/>
    <x v="1"/>
    <n v="2927561"/>
    <s v="Efectivo"/>
    <n v="289986"/>
    <x v="212"/>
    <x v="7"/>
    <x v="1"/>
    <n v="579712"/>
    <n v="15579712"/>
  </r>
  <r>
    <x v="1105"/>
    <x v="5"/>
    <x v="3"/>
    <n v="11831852"/>
    <s v="Efectivo"/>
    <n v="570416"/>
    <x v="77"/>
    <x v="5"/>
    <x v="1"/>
    <n v="225229"/>
    <n v="15225229"/>
  </r>
  <r>
    <x v="1106"/>
    <x v="7"/>
    <x v="1"/>
    <n v="38473526"/>
    <s v="Crédito"/>
    <n v="9542586"/>
    <x v="251"/>
    <x v="0"/>
    <x v="0"/>
    <n v="578619"/>
    <n v="15578619"/>
  </r>
  <r>
    <x v="1107"/>
    <x v="6"/>
    <x v="0"/>
    <n v="16471304"/>
    <s v="Transferencia"/>
    <n v="1655716"/>
    <x v="251"/>
    <x v="8"/>
    <x v="4"/>
    <n v="296312"/>
    <n v="15296312"/>
  </r>
  <r>
    <x v="1108"/>
    <x v="9"/>
    <x v="3"/>
    <n v="36873708"/>
    <s v="Efectivo"/>
    <n v="603890"/>
    <x v="96"/>
    <x v="5"/>
    <x v="2"/>
    <n v="616696"/>
    <n v="15616696"/>
  </r>
  <r>
    <x v="1109"/>
    <x v="3"/>
    <x v="0"/>
    <n v="18092795"/>
    <s v="Transferencia"/>
    <n v="4365617"/>
    <x v="335"/>
    <x v="0"/>
    <x v="5"/>
    <n v="274544"/>
    <n v="15274544"/>
  </r>
  <r>
    <x v="1110"/>
    <x v="9"/>
    <x v="1"/>
    <n v="24133945"/>
    <s v="Efectivo"/>
    <n v="3414235"/>
    <x v="68"/>
    <x v="5"/>
    <x v="4"/>
    <n v="414394"/>
    <n v="15414394"/>
  </r>
  <r>
    <x v="1111"/>
    <x v="7"/>
    <x v="0"/>
    <n v="3335239"/>
    <s v="Crédito"/>
    <n v="315487"/>
    <x v="122"/>
    <x v="2"/>
    <x v="1"/>
    <n v="60395"/>
    <n v="15060395"/>
  </r>
  <r>
    <x v="1112"/>
    <x v="2"/>
    <x v="2"/>
    <n v="18065956"/>
    <s v="Efectivo"/>
    <n v="4457418"/>
    <x v="261"/>
    <x v="4"/>
    <x v="5"/>
    <n v="272171"/>
    <n v="15272171"/>
  </r>
  <r>
    <x v="1113"/>
    <x v="6"/>
    <x v="3"/>
    <n v="32461277"/>
    <s v="Transferencia"/>
    <n v="6570251"/>
    <x v="155"/>
    <x v="9"/>
    <x v="0"/>
    <n v="517821"/>
    <n v="15517821"/>
  </r>
  <r>
    <x v="1114"/>
    <x v="9"/>
    <x v="1"/>
    <n v="3677800"/>
    <s v="Crédito"/>
    <n v="4098471"/>
    <x v="135"/>
    <x v="8"/>
    <x v="0"/>
    <n v="653591"/>
    <n v="15653591"/>
  </r>
  <r>
    <x v="1115"/>
    <x v="2"/>
    <x v="0"/>
    <n v="42311603"/>
    <s v="Crédito"/>
    <n v="4723156"/>
    <x v="220"/>
    <x v="9"/>
    <x v="3"/>
    <n v="751769"/>
    <n v="15751769"/>
  </r>
  <r>
    <x v="1116"/>
    <x v="7"/>
    <x v="0"/>
    <n v="15744167"/>
    <s v="Crédito"/>
    <n v="483596"/>
    <x v="15"/>
    <x v="2"/>
    <x v="3"/>
    <n v="305211"/>
    <n v="15305211"/>
  </r>
  <r>
    <x v="1117"/>
    <x v="2"/>
    <x v="0"/>
    <n v="46289887"/>
    <s v="Efectivo"/>
    <n v="5649283"/>
    <x v="352"/>
    <x v="2"/>
    <x v="0"/>
    <n v="812812"/>
    <n v="15812812"/>
  </r>
  <r>
    <x v="1118"/>
    <x v="8"/>
    <x v="0"/>
    <n v="38240826"/>
    <s v="Crédito"/>
    <n v="2747128"/>
    <x v="225"/>
    <x v="4"/>
    <x v="2"/>
    <n v="709874"/>
    <n v="15709874"/>
  </r>
  <r>
    <x v="1119"/>
    <x v="4"/>
    <x v="1"/>
    <n v="11172293"/>
    <s v="Crédito"/>
    <n v="607457"/>
    <x v="148"/>
    <x v="1"/>
    <x v="3"/>
    <n v="211297"/>
    <n v="15211297"/>
  </r>
  <r>
    <x v="1120"/>
    <x v="4"/>
    <x v="2"/>
    <n v="26893947"/>
    <s v="Efectivo"/>
    <n v="2234264"/>
    <x v="177"/>
    <x v="8"/>
    <x v="5"/>
    <n v="493194"/>
    <n v="15493194"/>
  </r>
  <r>
    <x v="1121"/>
    <x v="9"/>
    <x v="3"/>
    <n v="32420377"/>
    <s v="Transferencia"/>
    <n v="7686479"/>
    <x v="91"/>
    <x v="5"/>
    <x v="2"/>
    <n v="494678"/>
    <n v="15494678"/>
  </r>
  <r>
    <x v="1122"/>
    <x v="1"/>
    <x v="2"/>
    <n v="27799117"/>
    <s v="Efectivo"/>
    <n v="3739839"/>
    <x v="119"/>
    <x v="8"/>
    <x v="3"/>
    <n v="481186"/>
    <n v="15481186"/>
  </r>
  <r>
    <x v="1123"/>
    <x v="5"/>
    <x v="3"/>
    <n v="5782187"/>
    <s v="Transferencia"/>
    <n v="59326"/>
    <x v="353"/>
    <x v="0"/>
    <x v="4"/>
    <n v="103779"/>
    <n v="15103779"/>
  </r>
  <r>
    <x v="1124"/>
    <x v="1"/>
    <x v="1"/>
    <n v="37003516"/>
    <s v="Transferencia"/>
    <n v="4499472"/>
    <x v="118"/>
    <x v="9"/>
    <x v="1"/>
    <n v="650081"/>
    <n v="15650081"/>
  </r>
  <r>
    <x v="1125"/>
    <x v="8"/>
    <x v="2"/>
    <n v="8655814"/>
    <s v="Transferencia"/>
    <n v="923217"/>
    <x v="263"/>
    <x v="2"/>
    <x v="5"/>
    <n v="154652"/>
    <n v="15154652"/>
  </r>
  <r>
    <x v="1126"/>
    <x v="5"/>
    <x v="1"/>
    <n v="49581612"/>
    <s v="Transferencia"/>
    <n v="11316764"/>
    <x v="173"/>
    <x v="2"/>
    <x v="3"/>
    <n v="765297"/>
    <n v="15765297"/>
  </r>
  <r>
    <x v="1127"/>
    <x v="8"/>
    <x v="4"/>
    <n v="13683027"/>
    <s v="Efectivo"/>
    <n v="1129691"/>
    <x v="39"/>
    <x v="5"/>
    <x v="5"/>
    <n v="251067"/>
    <n v="15251067"/>
  </r>
  <r>
    <x v="1128"/>
    <x v="3"/>
    <x v="4"/>
    <n v="25812788"/>
    <s v="Crédito"/>
    <n v="4230218"/>
    <x v="326"/>
    <x v="6"/>
    <x v="3"/>
    <n v="431651"/>
    <n v="15431651"/>
  </r>
  <r>
    <x v="1129"/>
    <x v="5"/>
    <x v="2"/>
    <n v="21416568"/>
    <s v="Crédito"/>
    <n v="370377"/>
    <x v="187"/>
    <x v="4"/>
    <x v="4"/>
    <n v="354256"/>
    <n v="15354256"/>
  </r>
  <r>
    <x v="1130"/>
    <x v="7"/>
    <x v="3"/>
    <n v="33948311"/>
    <s v="Efectivo"/>
    <n v="1920182"/>
    <x v="323"/>
    <x v="9"/>
    <x v="2"/>
    <n v="640563"/>
    <n v="15640563"/>
  </r>
  <r>
    <x v="1131"/>
    <x v="2"/>
    <x v="4"/>
    <n v="48177313"/>
    <s v="Crédito"/>
    <n v="2002987"/>
    <x v="221"/>
    <x v="1"/>
    <x v="0"/>
    <n v="923487"/>
    <n v="15923487"/>
  </r>
  <r>
    <x v="1132"/>
    <x v="0"/>
    <x v="3"/>
    <n v="32152833"/>
    <s v="Transferencia"/>
    <n v="7367413"/>
    <x v="55"/>
    <x v="0"/>
    <x v="2"/>
    <n v="495708"/>
    <n v="15495708"/>
  </r>
  <r>
    <x v="1133"/>
    <x v="7"/>
    <x v="1"/>
    <n v="15569476"/>
    <s v="Efectivo"/>
    <n v="17198"/>
    <x v="114"/>
    <x v="1"/>
    <x v="0"/>
    <n v="30795"/>
    <n v="1530795"/>
  </r>
  <r>
    <x v="1134"/>
    <x v="4"/>
    <x v="1"/>
    <n v="10741345"/>
    <s v="Crédito"/>
    <n v="14387"/>
    <x v="216"/>
    <x v="7"/>
    <x v="1"/>
    <n v="211949"/>
    <n v="15211949"/>
  </r>
  <r>
    <x v="1135"/>
    <x v="0"/>
    <x v="4"/>
    <n v="30825236"/>
    <s v="Efectivo"/>
    <n v="5550617"/>
    <x v="53"/>
    <x v="9"/>
    <x v="5"/>
    <n v="505492"/>
    <n v="15505492"/>
  </r>
  <r>
    <x v="1136"/>
    <x v="6"/>
    <x v="3"/>
    <n v="147723"/>
    <s v="Crédito"/>
    <n v="3475"/>
    <x v="134"/>
    <x v="4"/>
    <x v="1"/>
    <n v="29475"/>
    <n v="15029475"/>
  </r>
  <r>
    <x v="1137"/>
    <x v="9"/>
    <x v="4"/>
    <n v="10686363"/>
    <s v="Efectivo"/>
    <n v="2345991"/>
    <x v="118"/>
    <x v="1"/>
    <x v="5"/>
    <n v="166807"/>
    <n v="15166807"/>
  </r>
  <r>
    <x v="1138"/>
    <x v="6"/>
    <x v="1"/>
    <n v="24217716"/>
    <s v="Crédito"/>
    <n v="2408325"/>
    <x v="76"/>
    <x v="0"/>
    <x v="2"/>
    <n v="436188"/>
    <n v="15436188"/>
  </r>
  <r>
    <x v="1139"/>
    <x v="7"/>
    <x v="4"/>
    <n v="150058"/>
    <s v="Transferencia"/>
    <n v="206261"/>
    <x v="265"/>
    <x v="4"/>
    <x v="4"/>
    <n v="25886"/>
    <n v="15025886"/>
  </r>
  <r>
    <x v="1140"/>
    <x v="5"/>
    <x v="1"/>
    <n v="16571966"/>
    <s v="Crédito"/>
    <n v="1664136"/>
    <x v="129"/>
    <x v="6"/>
    <x v="0"/>
    <n v="298157"/>
    <n v="15298157"/>
  </r>
  <r>
    <x v="1141"/>
    <x v="3"/>
    <x v="4"/>
    <n v="21515527"/>
    <s v="Efectivo"/>
    <n v="2320894"/>
    <x v="303"/>
    <x v="4"/>
    <x v="5"/>
    <n v="383893"/>
    <n v="15383893"/>
  </r>
  <r>
    <x v="1142"/>
    <x v="0"/>
    <x v="1"/>
    <n v="20728229"/>
    <s v="Efectivo"/>
    <n v="4966022"/>
    <x v="103"/>
    <x v="7"/>
    <x v="4"/>
    <n v="315244"/>
    <n v="15315244"/>
  </r>
  <r>
    <x v="1143"/>
    <x v="2"/>
    <x v="1"/>
    <n v="3859290"/>
    <s v="Crédito"/>
    <n v="7778352"/>
    <x v="145"/>
    <x v="5"/>
    <x v="4"/>
    <n v="616291"/>
    <n v="15616291"/>
  </r>
  <r>
    <x v="1144"/>
    <x v="7"/>
    <x v="2"/>
    <n v="47059467"/>
    <s v="Crédito"/>
    <n v="6955234"/>
    <x v="37"/>
    <x v="5"/>
    <x v="2"/>
    <n v="802085"/>
    <n v="15802085"/>
  </r>
  <r>
    <x v="1145"/>
    <x v="9"/>
    <x v="2"/>
    <n v="42252485"/>
    <s v="Efectivo"/>
    <n v="2154595"/>
    <x v="329"/>
    <x v="0"/>
    <x v="5"/>
    <n v="801958"/>
    <n v="15801958"/>
  </r>
  <r>
    <x v="1146"/>
    <x v="4"/>
    <x v="1"/>
    <n v="13397142"/>
    <s v="Efectivo"/>
    <n v="2614432"/>
    <x v="258"/>
    <x v="4"/>
    <x v="1"/>
    <n v="215654"/>
    <n v="15215654"/>
  </r>
  <r>
    <x v="1147"/>
    <x v="4"/>
    <x v="2"/>
    <n v="36460317"/>
    <s v="Efectivo"/>
    <n v="2912821"/>
    <x v="243"/>
    <x v="9"/>
    <x v="3"/>
    <n v="67095"/>
    <n v="1567095"/>
  </r>
  <r>
    <x v="1148"/>
    <x v="2"/>
    <x v="4"/>
    <n v="48181043"/>
    <s v="Efectivo"/>
    <n v="3740543"/>
    <x v="206"/>
    <x v="4"/>
    <x v="3"/>
    <n v="88881"/>
    <n v="1588881"/>
  </r>
  <r>
    <x v="1149"/>
    <x v="0"/>
    <x v="3"/>
    <n v="46804834"/>
    <s v="Crédito"/>
    <n v="3411271"/>
    <x v="21"/>
    <x v="1"/>
    <x v="0"/>
    <n v="867871"/>
    <n v="15867871"/>
  </r>
  <r>
    <x v="1150"/>
    <x v="9"/>
    <x v="2"/>
    <n v="25860987"/>
    <s v="Transferencia"/>
    <n v="1247365"/>
    <x v="354"/>
    <x v="9"/>
    <x v="2"/>
    <n v="492272"/>
    <n v="15492272"/>
  </r>
  <r>
    <x v="1151"/>
    <x v="8"/>
    <x v="1"/>
    <n v="23399428"/>
    <s v="Transferencia"/>
    <n v="601225"/>
    <x v="192"/>
    <x v="7"/>
    <x v="1"/>
    <n v="455964"/>
    <n v="15455964"/>
  </r>
  <r>
    <x v="1152"/>
    <x v="2"/>
    <x v="3"/>
    <n v="39321843"/>
    <s v="Efectivo"/>
    <n v="847045"/>
    <x v="355"/>
    <x v="9"/>
    <x v="5"/>
    <n v="617028"/>
    <n v="15617028"/>
  </r>
  <r>
    <x v="1153"/>
    <x v="6"/>
    <x v="1"/>
    <n v="39468135"/>
    <s v="Transferencia"/>
    <n v="3629968"/>
    <x v="291"/>
    <x v="2"/>
    <x v="0"/>
    <n v="716763"/>
    <n v="15716763"/>
  </r>
  <r>
    <x v="1154"/>
    <x v="8"/>
    <x v="2"/>
    <n v="4444287"/>
    <s v="Transferencia"/>
    <n v="594294"/>
    <x v="122"/>
    <x v="7"/>
    <x v="0"/>
    <n v="769999"/>
    <n v="15769999"/>
  </r>
  <r>
    <x v="1155"/>
    <x v="2"/>
    <x v="1"/>
    <n v="33023841"/>
    <s v="Transferencia"/>
    <n v="1203475"/>
    <x v="155"/>
    <x v="5"/>
    <x v="5"/>
    <n v="636407"/>
    <n v="15636407"/>
  </r>
  <r>
    <x v="1156"/>
    <x v="9"/>
    <x v="2"/>
    <n v="44158485"/>
    <s v="Transferencia"/>
    <n v="3826156"/>
    <x v="176"/>
    <x v="3"/>
    <x v="0"/>
    <n v="806647"/>
    <n v="15806647"/>
  </r>
  <r>
    <x v="1157"/>
    <x v="7"/>
    <x v="0"/>
    <n v="682518"/>
    <s v="Efectivo"/>
    <n v="567374"/>
    <x v="35"/>
    <x v="1"/>
    <x v="4"/>
    <n v="125156"/>
    <n v="15125156"/>
  </r>
  <r>
    <x v="1158"/>
    <x v="5"/>
    <x v="1"/>
    <n v="12958894"/>
    <s v="Efectivo"/>
    <n v="278253"/>
    <x v="167"/>
    <x v="6"/>
    <x v="3"/>
    <n v="203527"/>
    <n v="15203527"/>
  </r>
  <r>
    <x v="1159"/>
    <x v="9"/>
    <x v="1"/>
    <n v="169056"/>
    <s v="Transferencia"/>
    <n v="102424"/>
    <x v="346"/>
    <x v="5"/>
    <x v="1"/>
    <n v="31763"/>
    <n v="15031763"/>
  </r>
  <r>
    <x v="1160"/>
    <x v="2"/>
    <x v="2"/>
    <n v="7386215"/>
    <s v="Efectivo"/>
    <n v="1453675"/>
    <x v="37"/>
    <x v="3"/>
    <x v="2"/>
    <n v="118651"/>
    <n v="15118651"/>
  </r>
  <r>
    <x v="1161"/>
    <x v="4"/>
    <x v="3"/>
    <n v="11948962"/>
    <s v="Efectivo"/>
    <n v="1183939"/>
    <x v="206"/>
    <x v="0"/>
    <x v="5"/>
    <n v="21530"/>
    <n v="1521530"/>
  </r>
  <r>
    <x v="1162"/>
    <x v="6"/>
    <x v="2"/>
    <n v="36917485"/>
    <s v="Transferencia"/>
    <n v="7289086"/>
    <x v="219"/>
    <x v="8"/>
    <x v="4"/>
    <n v="592568"/>
    <n v="15592568"/>
  </r>
  <r>
    <x v="1163"/>
    <x v="1"/>
    <x v="0"/>
    <n v="47865538"/>
    <s v="Efectivo"/>
    <n v="4714355"/>
    <x v="215"/>
    <x v="2"/>
    <x v="3"/>
    <n v="863024"/>
    <n v="15863024"/>
  </r>
  <r>
    <x v="1164"/>
    <x v="9"/>
    <x v="1"/>
    <n v="20140208"/>
    <s v="Efectivo"/>
    <n v="4565423"/>
    <x v="180"/>
    <x v="0"/>
    <x v="1"/>
    <n v="311496"/>
    <n v="15311496"/>
  </r>
  <r>
    <x v="1165"/>
    <x v="5"/>
    <x v="1"/>
    <n v="17925852"/>
    <s v="Transferencia"/>
    <n v="679035"/>
    <x v="148"/>
    <x v="9"/>
    <x v="0"/>
    <n v="344936"/>
    <n v="15344936"/>
  </r>
  <r>
    <x v="1166"/>
    <x v="6"/>
    <x v="3"/>
    <n v="41338448"/>
    <s v="Crédito"/>
    <n v="1200165"/>
    <x v="88"/>
    <x v="9"/>
    <x v="5"/>
    <n v="802766"/>
    <n v="15802766"/>
  </r>
  <r>
    <x v="1167"/>
    <x v="6"/>
    <x v="1"/>
    <n v="3966387"/>
    <s v="Transferencia"/>
    <n v="553475"/>
    <x v="101"/>
    <x v="9"/>
    <x v="5"/>
    <n v="782208"/>
    <n v="15782208"/>
  </r>
  <r>
    <x v="1168"/>
    <x v="9"/>
    <x v="4"/>
    <n v="5159511"/>
    <s v="Transferencia"/>
    <n v="691173"/>
    <x v="161"/>
    <x v="7"/>
    <x v="3"/>
    <n v="89367"/>
    <n v="15089367"/>
  </r>
  <r>
    <x v="1169"/>
    <x v="7"/>
    <x v="4"/>
    <n v="24450568"/>
    <s v="Crédito"/>
    <n v="381388"/>
    <x v="49"/>
    <x v="3"/>
    <x v="5"/>
    <n v="412734"/>
    <n v="15412734"/>
  </r>
  <r>
    <x v="1170"/>
    <x v="5"/>
    <x v="0"/>
    <n v="8006865"/>
    <s v="Transferencia"/>
    <n v="1371973"/>
    <x v="222"/>
    <x v="3"/>
    <x v="3"/>
    <n v="132698"/>
    <n v="15132698"/>
  </r>
  <r>
    <x v="1171"/>
    <x v="5"/>
    <x v="0"/>
    <n v="16060027"/>
    <s v="Crédito"/>
    <n v="269472"/>
    <x v="156"/>
    <x v="2"/>
    <x v="4"/>
    <n v="315811"/>
    <n v="15315811"/>
  </r>
  <r>
    <x v="1172"/>
    <x v="4"/>
    <x v="0"/>
    <n v="27999567"/>
    <s v="Crédito"/>
    <n v="909416"/>
    <x v="139"/>
    <x v="7"/>
    <x v="2"/>
    <n v="541803"/>
    <n v="15541803"/>
  </r>
  <r>
    <x v="1173"/>
    <x v="9"/>
    <x v="4"/>
    <n v="21490005"/>
    <s v="Crédito"/>
    <n v="2670069"/>
    <x v="166"/>
    <x v="9"/>
    <x v="5"/>
    <n v="376399"/>
    <n v="15376399"/>
  </r>
  <r>
    <x v="1174"/>
    <x v="3"/>
    <x v="3"/>
    <n v="5815471"/>
    <s v="Efectivo"/>
    <n v="619391"/>
    <x v="262"/>
    <x v="3"/>
    <x v="4"/>
    <n v="103922"/>
    <n v="15103922"/>
  </r>
  <r>
    <x v="1175"/>
    <x v="7"/>
    <x v="3"/>
    <n v="45731048"/>
    <s v="Transferencia"/>
    <n v="6860465"/>
    <x v="96"/>
    <x v="4"/>
    <x v="1"/>
    <n v="777412"/>
    <n v="15777412"/>
  </r>
  <r>
    <x v="1176"/>
    <x v="2"/>
    <x v="0"/>
    <n v="24930426"/>
    <s v="Crédito"/>
    <n v="3687192"/>
    <x v="159"/>
    <x v="7"/>
    <x v="4"/>
    <n v="424865"/>
    <n v="15424865"/>
  </r>
  <r>
    <x v="1177"/>
    <x v="4"/>
    <x v="0"/>
    <n v="19989303"/>
    <s v="Efectivo"/>
    <n v="4439087"/>
    <x v="208"/>
    <x v="1"/>
    <x v="2"/>
    <n v="311004"/>
    <n v="15311004"/>
  </r>
  <r>
    <x v="1178"/>
    <x v="5"/>
    <x v="4"/>
    <n v="34539943"/>
    <s v="Crédito"/>
    <n v="7927013"/>
    <x v="131"/>
    <x v="1"/>
    <x v="5"/>
    <n v="532259"/>
    <n v="15532259"/>
  </r>
  <r>
    <x v="1179"/>
    <x v="4"/>
    <x v="1"/>
    <n v="40074349"/>
    <s v="Crédito"/>
    <n v="6839977"/>
    <x v="187"/>
    <x v="1"/>
    <x v="2"/>
    <n v="664687"/>
    <n v="15664687"/>
  </r>
  <r>
    <x v="1180"/>
    <x v="4"/>
    <x v="2"/>
    <n v="30121953"/>
    <s v="Efectivo"/>
    <n v="202375"/>
    <x v="228"/>
    <x v="1"/>
    <x v="4"/>
    <n v="561964"/>
    <n v="15561964"/>
  </r>
  <r>
    <x v="1181"/>
    <x v="9"/>
    <x v="1"/>
    <n v="46623794"/>
    <s v="Crédito"/>
    <n v="598845"/>
    <x v="356"/>
    <x v="5"/>
    <x v="1"/>
    <n v="812707"/>
    <n v="15812707"/>
  </r>
  <r>
    <x v="1182"/>
    <x v="1"/>
    <x v="1"/>
    <n v="4497878"/>
    <s v="Efectivo"/>
    <n v="1022303"/>
    <x v="138"/>
    <x v="3"/>
    <x v="0"/>
    <n v="69512"/>
    <n v="15069512"/>
  </r>
  <r>
    <x v="1183"/>
    <x v="3"/>
    <x v="1"/>
    <n v="48456957"/>
    <s v="Efectivo"/>
    <n v="10092287"/>
    <x v="161"/>
    <x v="5"/>
    <x v="2"/>
    <n v="767293"/>
    <n v="15767293"/>
  </r>
  <r>
    <x v="1184"/>
    <x v="9"/>
    <x v="3"/>
    <n v="3155393"/>
    <s v="Transferencia"/>
    <n v="150297"/>
    <x v="210"/>
    <x v="9"/>
    <x v="5"/>
    <n v="60102"/>
    <n v="15060102"/>
  </r>
  <r>
    <x v="1185"/>
    <x v="1"/>
    <x v="1"/>
    <n v="21025331"/>
    <s v="Crédito"/>
    <n v="5126102"/>
    <x v="297"/>
    <x v="0"/>
    <x v="0"/>
    <n v="317985"/>
    <n v="15317985"/>
  </r>
  <r>
    <x v="1186"/>
    <x v="5"/>
    <x v="2"/>
    <n v="48510191"/>
    <s v="Efectivo"/>
    <n v="5912579"/>
    <x v="63"/>
    <x v="9"/>
    <x v="3"/>
    <n v="851952"/>
    <n v="15851952"/>
  </r>
  <r>
    <x v="1187"/>
    <x v="5"/>
    <x v="1"/>
    <n v="6139932"/>
    <s v="Crédito"/>
    <n v="1046592"/>
    <x v="83"/>
    <x v="2"/>
    <x v="2"/>
    <n v="101867"/>
    <n v="15101867"/>
  </r>
  <r>
    <x v="1188"/>
    <x v="7"/>
    <x v="1"/>
    <n v="1119333"/>
    <s v="Efectivo"/>
    <n v="1588514"/>
    <x v="152"/>
    <x v="0"/>
    <x v="0"/>
    <n v="192096"/>
    <n v="15192096"/>
  </r>
  <r>
    <x v="1189"/>
    <x v="1"/>
    <x v="2"/>
    <n v="3194734"/>
    <s v="Efectivo"/>
    <n v="6663003"/>
    <x v="28"/>
    <x v="6"/>
    <x v="3"/>
    <n v="505687"/>
    <n v="15505687"/>
  </r>
  <r>
    <x v="1190"/>
    <x v="2"/>
    <x v="0"/>
    <n v="15687981"/>
    <s v="Efectivo"/>
    <n v="2346725"/>
    <x v="88"/>
    <x v="8"/>
    <x v="2"/>
    <n v="266825"/>
    <n v="15266825"/>
  </r>
  <r>
    <x v="1191"/>
    <x v="0"/>
    <x v="1"/>
    <n v="22827718"/>
    <s v="Transferencia"/>
    <n v="5683765"/>
    <x v="76"/>
    <x v="1"/>
    <x v="3"/>
    <n v="342879"/>
    <n v="15342879"/>
  </r>
  <r>
    <x v="1192"/>
    <x v="7"/>
    <x v="0"/>
    <n v="35695811"/>
    <s v="Transferencia"/>
    <n v="597165"/>
    <x v="22"/>
    <x v="0"/>
    <x v="4"/>
    <n v="701973"/>
    <n v="15701973"/>
  </r>
  <r>
    <x v="1193"/>
    <x v="5"/>
    <x v="0"/>
    <n v="29785378"/>
    <s v="Efectivo"/>
    <n v="5420136"/>
    <x v="141"/>
    <x v="5"/>
    <x v="2"/>
    <n v="487305"/>
    <n v="15487305"/>
  </r>
  <r>
    <x v="1194"/>
    <x v="4"/>
    <x v="4"/>
    <n v="21964282"/>
    <s v="Efectivo"/>
    <n v="935686"/>
    <x v="328"/>
    <x v="6"/>
    <x v="3"/>
    <n v="420572"/>
    <n v="15420572"/>
  </r>
  <r>
    <x v="1195"/>
    <x v="2"/>
    <x v="0"/>
    <n v="15747483"/>
    <s v="Crédito"/>
    <n v="179943"/>
    <x v="11"/>
    <x v="3"/>
    <x v="0"/>
    <n v="311351"/>
    <n v="15311351"/>
  </r>
  <r>
    <x v="1196"/>
    <x v="9"/>
    <x v="1"/>
    <n v="2119865"/>
    <s v="Crédito"/>
    <n v="2055896"/>
    <x v="357"/>
    <x v="5"/>
    <x v="3"/>
    <n v="382855"/>
    <n v="15382855"/>
  </r>
  <r>
    <x v="1197"/>
    <x v="4"/>
    <x v="0"/>
    <n v="6082739"/>
    <s v="Crédito"/>
    <n v="1150954"/>
    <x v="236"/>
    <x v="2"/>
    <x v="0"/>
    <n v="98636"/>
    <n v="15098636"/>
  </r>
  <r>
    <x v="1198"/>
    <x v="5"/>
    <x v="2"/>
    <n v="3312425"/>
    <s v="Transferencia"/>
    <n v="7833773"/>
    <x v="299"/>
    <x v="2"/>
    <x v="0"/>
    <n v="50581"/>
    <n v="1550581"/>
  </r>
  <r>
    <x v="1199"/>
    <x v="2"/>
    <x v="3"/>
    <n v="14937947"/>
    <s v="Transferencia"/>
    <n v="1648861"/>
    <x v="154"/>
    <x v="4"/>
    <x v="1"/>
    <n v="265782"/>
    <n v="15265782"/>
  </r>
  <r>
    <x v="1200"/>
    <x v="8"/>
    <x v="2"/>
    <n v="3384365"/>
    <s v="Crédito"/>
    <n v="10232"/>
    <x v="199"/>
    <x v="2"/>
    <x v="0"/>
    <n v="65641"/>
    <n v="15065641"/>
  </r>
  <r>
    <x v="1201"/>
    <x v="6"/>
    <x v="1"/>
    <n v="47079312"/>
    <s v="Efectivo"/>
    <n v="4871941"/>
    <x v="7"/>
    <x v="3"/>
    <x v="4"/>
    <n v="844147"/>
    <n v="15844147"/>
  </r>
  <r>
    <x v="1202"/>
    <x v="2"/>
    <x v="0"/>
    <n v="30761342"/>
    <s v="Transferencia"/>
    <n v="6785566"/>
    <x v="97"/>
    <x v="6"/>
    <x v="0"/>
    <n v="479516"/>
    <n v="15479516"/>
  </r>
  <r>
    <x v="1203"/>
    <x v="9"/>
    <x v="2"/>
    <n v="2262545"/>
    <s v="Transferencia"/>
    <n v="116767"/>
    <x v="113"/>
    <x v="1"/>
    <x v="2"/>
    <n v="42916"/>
    <n v="15042916"/>
  </r>
  <r>
    <x v="1204"/>
    <x v="1"/>
    <x v="0"/>
    <n v="10477673"/>
    <s v="Crédito"/>
    <n v="1497846"/>
    <x v="254"/>
    <x v="2"/>
    <x v="1"/>
    <n v="179597"/>
    <n v="15179597"/>
  </r>
  <r>
    <x v="1205"/>
    <x v="1"/>
    <x v="1"/>
    <n v="29124415"/>
    <s v="Efectivo"/>
    <n v="6520145"/>
    <x v="358"/>
    <x v="2"/>
    <x v="0"/>
    <n v="452085"/>
    <n v="15452085"/>
  </r>
  <r>
    <x v="1206"/>
    <x v="6"/>
    <x v="3"/>
    <n v="31839891"/>
    <s v="Efectivo"/>
    <n v="3607462"/>
    <x v="62"/>
    <x v="3"/>
    <x v="5"/>
    <n v="564649"/>
    <n v="15564649"/>
  </r>
  <r>
    <x v="1207"/>
    <x v="6"/>
    <x v="4"/>
    <n v="5842087"/>
    <s v="Crédito"/>
    <n v="903463"/>
    <x v="271"/>
    <x v="5"/>
    <x v="1"/>
    <n v="98772"/>
    <n v="15098772"/>
  </r>
  <r>
    <x v="1208"/>
    <x v="0"/>
    <x v="2"/>
    <n v="43158555"/>
    <s v="Crédito"/>
    <n v="3837418"/>
    <x v="89"/>
    <x v="1"/>
    <x v="4"/>
    <n v="786423"/>
    <n v="15786423"/>
  </r>
  <r>
    <x v="1209"/>
    <x v="0"/>
    <x v="2"/>
    <n v="746899"/>
    <s v="Transferencia"/>
    <n v="323363"/>
    <x v="236"/>
    <x v="4"/>
    <x v="4"/>
    <n v="142913"/>
    <n v="15142913"/>
  </r>
  <r>
    <x v="1210"/>
    <x v="3"/>
    <x v="3"/>
    <n v="33527486"/>
    <s v="Crédito"/>
    <n v="3542399"/>
    <x v="212"/>
    <x v="1"/>
    <x v="4"/>
    <n v="599702"/>
    <n v="15599702"/>
  </r>
  <r>
    <x v="1211"/>
    <x v="2"/>
    <x v="0"/>
    <n v="34840968"/>
    <s v="Efectivo"/>
    <n v="5095631"/>
    <x v="292"/>
    <x v="5"/>
    <x v="5"/>
    <n v="594907"/>
    <n v="15594907"/>
  </r>
  <r>
    <x v="1212"/>
    <x v="7"/>
    <x v="3"/>
    <n v="35040992"/>
    <s v="Efectivo"/>
    <n v="5763178"/>
    <x v="0"/>
    <x v="0"/>
    <x v="3"/>
    <n v="585556"/>
    <n v="15585556"/>
  </r>
  <r>
    <x v="1213"/>
    <x v="1"/>
    <x v="2"/>
    <n v="27774482"/>
    <s v="Efectivo"/>
    <n v="249463"/>
    <x v="170"/>
    <x v="3"/>
    <x v="0"/>
    <n v="505597"/>
    <n v="15505597"/>
  </r>
  <r>
    <x v="1214"/>
    <x v="6"/>
    <x v="4"/>
    <n v="9954896"/>
    <s v="Efectivo"/>
    <n v="653794"/>
    <x v="213"/>
    <x v="0"/>
    <x v="5"/>
    <n v="186022"/>
    <n v="15186022"/>
  </r>
  <r>
    <x v="1215"/>
    <x v="9"/>
    <x v="1"/>
    <n v="18876045"/>
    <s v="Efectivo"/>
    <n v="1841704"/>
    <x v="155"/>
    <x v="7"/>
    <x v="0"/>
    <n v="340687"/>
    <n v="15340687"/>
  </r>
  <r>
    <x v="1216"/>
    <x v="8"/>
    <x v="3"/>
    <n v="21223755"/>
    <s v="Transferencia"/>
    <n v="4755185"/>
    <x v="215"/>
    <x v="8"/>
    <x v="2"/>
    <n v="329371"/>
    <n v="15329371"/>
  </r>
  <r>
    <x v="1217"/>
    <x v="2"/>
    <x v="1"/>
    <n v="31192457"/>
    <s v="Crédito"/>
    <n v="5956732"/>
    <x v="23"/>
    <x v="3"/>
    <x v="5"/>
    <n v="504715"/>
    <n v="15504715"/>
  </r>
  <r>
    <x v="1218"/>
    <x v="5"/>
    <x v="0"/>
    <n v="33709065"/>
    <s v="Efectivo"/>
    <n v="890348"/>
    <x v="224"/>
    <x v="0"/>
    <x v="0"/>
    <n v="656374"/>
    <n v="15656374"/>
  </r>
  <r>
    <x v="1219"/>
    <x v="9"/>
    <x v="4"/>
    <n v="37864593"/>
    <s v="Crédito"/>
    <n v="7802461"/>
    <x v="94"/>
    <x v="4"/>
    <x v="3"/>
    <n v="601243"/>
    <n v="15601243"/>
  </r>
  <r>
    <x v="1220"/>
    <x v="1"/>
    <x v="0"/>
    <n v="9199417"/>
    <s v="Efectivo"/>
    <n v="773712"/>
    <x v="54"/>
    <x v="3"/>
    <x v="3"/>
    <n v="168514"/>
    <n v="15168514"/>
  </r>
  <r>
    <x v="1221"/>
    <x v="1"/>
    <x v="3"/>
    <n v="46936843"/>
    <s v="Crédito"/>
    <n v="11080054"/>
    <x v="19"/>
    <x v="5"/>
    <x v="0"/>
    <n v="717136"/>
    <n v="15717136"/>
  </r>
  <r>
    <x v="1222"/>
    <x v="5"/>
    <x v="2"/>
    <n v="44085775"/>
    <s v="Efectivo"/>
    <n v="7497281"/>
    <x v="219"/>
    <x v="1"/>
    <x v="3"/>
    <n v="73177"/>
    <n v="1573177"/>
  </r>
  <r>
    <x v="1223"/>
    <x v="8"/>
    <x v="1"/>
    <n v="27988974"/>
    <s v="Transferencia"/>
    <n v="4359239"/>
    <x v="291"/>
    <x v="6"/>
    <x v="3"/>
    <n v="472595"/>
    <n v="15472595"/>
  </r>
  <r>
    <x v="1224"/>
    <x v="1"/>
    <x v="1"/>
    <n v="20440853"/>
    <s v="Transferencia"/>
    <n v="233316"/>
    <x v="101"/>
    <x v="6"/>
    <x v="2"/>
    <n v="362154"/>
    <n v="15362154"/>
  </r>
  <r>
    <x v="1225"/>
    <x v="8"/>
    <x v="0"/>
    <n v="6037273"/>
    <s v="Transferencia"/>
    <n v="574625"/>
    <x v="118"/>
    <x v="9"/>
    <x v="0"/>
    <n v="109253"/>
    <n v="15109253"/>
  </r>
  <r>
    <x v="1226"/>
    <x v="3"/>
    <x v="0"/>
    <n v="18211834"/>
    <s v="Efectivo"/>
    <n v="1198057"/>
    <x v="275"/>
    <x v="4"/>
    <x v="0"/>
    <n v="340276"/>
    <n v="15340276"/>
  </r>
  <r>
    <x v="1227"/>
    <x v="7"/>
    <x v="0"/>
    <n v="34311305"/>
    <s v="Efectivo"/>
    <n v="122484"/>
    <x v="148"/>
    <x v="3"/>
    <x v="5"/>
    <n v="683776"/>
    <n v="15683776"/>
  </r>
  <r>
    <x v="1228"/>
    <x v="4"/>
    <x v="0"/>
    <n v="15350183"/>
    <s v="Crédito"/>
    <n v="2652772"/>
    <x v="125"/>
    <x v="1"/>
    <x v="2"/>
    <n v="253948"/>
    <n v="15253948"/>
  </r>
  <r>
    <x v="1229"/>
    <x v="9"/>
    <x v="2"/>
    <n v="16899239"/>
    <s v="Transferencia"/>
    <n v="298758"/>
    <x v="97"/>
    <x v="4"/>
    <x v="2"/>
    <n v="33201"/>
    <n v="1533201"/>
  </r>
  <r>
    <x v="1230"/>
    <x v="5"/>
    <x v="1"/>
    <n v="12433619"/>
    <s v="Crédito"/>
    <n v="746474"/>
    <x v="131"/>
    <x v="8"/>
    <x v="3"/>
    <n v="233743"/>
    <n v="15233743"/>
  </r>
  <r>
    <x v="1231"/>
    <x v="9"/>
    <x v="2"/>
    <n v="39979558"/>
    <s v="Crédito"/>
    <n v="2588023"/>
    <x v="159"/>
    <x v="1"/>
    <x v="0"/>
    <n v="747831"/>
    <n v="15747831"/>
  </r>
  <r>
    <x v="1232"/>
    <x v="0"/>
    <x v="0"/>
    <n v="8371505"/>
    <s v="Crédito"/>
    <n v="1234883"/>
    <x v="60"/>
    <x v="7"/>
    <x v="4"/>
    <n v="142732"/>
    <n v="15142732"/>
  </r>
  <r>
    <x v="1233"/>
    <x v="3"/>
    <x v="3"/>
    <n v="25745483"/>
    <s v="Transferencia"/>
    <n v="234665"/>
    <x v="200"/>
    <x v="9"/>
    <x v="3"/>
    <n v="467977"/>
    <n v="15467977"/>
  </r>
  <r>
    <x v="1234"/>
    <x v="2"/>
    <x v="0"/>
    <n v="676257"/>
    <s v="Efectivo"/>
    <n v="774621"/>
    <x v="287"/>
    <x v="0"/>
    <x v="4"/>
    <n v="119759"/>
    <n v="15119759"/>
  </r>
  <r>
    <x v="1235"/>
    <x v="5"/>
    <x v="2"/>
    <n v="559453"/>
    <s v="Transferencia"/>
    <n v="904585"/>
    <x v="137"/>
    <x v="0"/>
    <x v="4"/>
    <n v="93799"/>
    <n v="15093799"/>
  </r>
  <r>
    <x v="1236"/>
    <x v="3"/>
    <x v="2"/>
    <n v="49358982"/>
    <s v="Crédito"/>
    <n v="4691569"/>
    <x v="322"/>
    <x v="3"/>
    <x v="1"/>
    <n v="893348"/>
    <n v="15893348"/>
  </r>
  <r>
    <x v="1237"/>
    <x v="4"/>
    <x v="3"/>
    <n v="1723311"/>
    <s v="Transferencia"/>
    <n v="1320237"/>
    <x v="221"/>
    <x v="8"/>
    <x v="5"/>
    <n v="318257"/>
    <n v="15318257"/>
  </r>
  <r>
    <x v="1238"/>
    <x v="3"/>
    <x v="1"/>
    <n v="1792671"/>
    <s v="Crédito"/>
    <n v="3949382"/>
    <x v="70"/>
    <x v="5"/>
    <x v="4"/>
    <n v="279547"/>
    <n v="15279547"/>
  </r>
  <r>
    <x v="1239"/>
    <x v="3"/>
    <x v="4"/>
    <n v="26759139"/>
    <s v="Efectivo"/>
    <n v="1421828"/>
    <x v="359"/>
    <x v="0"/>
    <x v="1"/>
    <n v="506746"/>
    <n v="15506746"/>
  </r>
  <r>
    <x v="1240"/>
    <x v="1"/>
    <x v="0"/>
    <n v="3841803"/>
    <s v="Crédito"/>
    <n v="102932"/>
    <x v="201"/>
    <x v="5"/>
    <x v="5"/>
    <n v="747774"/>
    <n v="15747774"/>
  </r>
  <r>
    <x v="1241"/>
    <x v="4"/>
    <x v="4"/>
    <n v="45956914"/>
    <s v="Crédito"/>
    <n v="415447"/>
    <x v="171"/>
    <x v="8"/>
    <x v="3"/>
    <n v="836049"/>
    <n v="15836049"/>
  </r>
  <r>
    <x v="1242"/>
    <x v="3"/>
    <x v="4"/>
    <n v="40869147"/>
    <s v="Transferencia"/>
    <n v="8214155"/>
    <x v="164"/>
    <x v="3"/>
    <x v="0"/>
    <n v="65310"/>
    <n v="1565310"/>
  </r>
  <r>
    <x v="1243"/>
    <x v="5"/>
    <x v="1"/>
    <n v="1693567"/>
    <s v="Crédito"/>
    <n v="25125"/>
    <x v="268"/>
    <x v="3"/>
    <x v="3"/>
    <n v="33369"/>
    <n v="15033369"/>
  </r>
  <r>
    <x v="1244"/>
    <x v="9"/>
    <x v="2"/>
    <n v="2728445"/>
    <s v="Transferencia"/>
    <n v="27319"/>
    <x v="210"/>
    <x v="0"/>
    <x v="2"/>
    <n v="54023"/>
    <n v="15054023"/>
  </r>
  <r>
    <x v="1245"/>
    <x v="7"/>
    <x v="2"/>
    <n v="23371031"/>
    <s v="Transferencia"/>
    <n v="61729"/>
    <x v="59"/>
    <x v="7"/>
    <x v="4"/>
    <n v="455075"/>
    <n v="15455075"/>
  </r>
  <r>
    <x v="1246"/>
    <x v="4"/>
    <x v="2"/>
    <n v="38040999"/>
    <s v="Crédito"/>
    <n v="2063839"/>
    <x v="210"/>
    <x v="6"/>
    <x v="3"/>
    <n v="719543"/>
    <n v="15719543"/>
  </r>
  <r>
    <x v="1247"/>
    <x v="7"/>
    <x v="3"/>
    <n v="37618459"/>
    <s v="Transferencia"/>
    <n v="3775387"/>
    <x v="11"/>
    <x v="7"/>
    <x v="3"/>
    <n v="676861"/>
    <n v="15676861"/>
  </r>
  <r>
    <x v="1248"/>
    <x v="3"/>
    <x v="1"/>
    <n v="7055604"/>
    <s v="Crédito"/>
    <n v="994939"/>
    <x v="139"/>
    <x v="7"/>
    <x v="5"/>
    <n v="121213"/>
    <n v="15121213"/>
  </r>
  <r>
    <x v="1249"/>
    <x v="4"/>
    <x v="4"/>
    <n v="19496466"/>
    <s v="Crédito"/>
    <n v="939233"/>
    <x v="245"/>
    <x v="3"/>
    <x v="3"/>
    <n v="371145"/>
    <n v="15371145"/>
  </r>
  <r>
    <x v="1250"/>
    <x v="9"/>
    <x v="3"/>
    <n v="37489151"/>
    <s v="Transferencia"/>
    <n v="7266311"/>
    <x v="92"/>
    <x v="7"/>
    <x v="0"/>
    <n v="604457"/>
    <n v="15604457"/>
  </r>
  <r>
    <x v="1251"/>
    <x v="7"/>
    <x v="4"/>
    <n v="24391999"/>
    <s v="Transferencia"/>
    <n v="253808"/>
    <x v="246"/>
    <x v="0"/>
    <x v="1"/>
    <n v="482764"/>
    <n v="15482764"/>
  </r>
  <r>
    <x v="1252"/>
    <x v="8"/>
    <x v="4"/>
    <n v="17523589"/>
    <s v="Crédito"/>
    <n v="2154252"/>
    <x v="14"/>
    <x v="0"/>
    <x v="1"/>
    <n v="307387"/>
    <n v="15307387"/>
  </r>
  <r>
    <x v="1253"/>
    <x v="2"/>
    <x v="1"/>
    <n v="34385778"/>
    <s v="Efectivo"/>
    <n v="5665292"/>
    <x v="205"/>
    <x v="0"/>
    <x v="5"/>
    <n v="57441"/>
    <n v="1557441"/>
  </r>
  <r>
    <x v="1254"/>
    <x v="4"/>
    <x v="4"/>
    <n v="4576773"/>
    <s v="Transferencia"/>
    <n v="143351"/>
    <x v="125"/>
    <x v="3"/>
    <x v="3"/>
    <n v="88668"/>
    <n v="15088668"/>
  </r>
  <r>
    <x v="1255"/>
    <x v="5"/>
    <x v="2"/>
    <n v="10233543"/>
    <s v="Crédito"/>
    <n v="1085724"/>
    <x v="26"/>
    <x v="7"/>
    <x v="3"/>
    <n v="182956"/>
    <n v="15182956"/>
  </r>
  <r>
    <x v="1256"/>
    <x v="7"/>
    <x v="1"/>
    <n v="27596204"/>
    <s v="Crédito"/>
    <n v="4118136"/>
    <x v="331"/>
    <x v="3"/>
    <x v="5"/>
    <n v="469561"/>
    <n v="15469561"/>
  </r>
  <r>
    <x v="1257"/>
    <x v="0"/>
    <x v="3"/>
    <n v="20037471"/>
    <s v="Efectivo"/>
    <n v="1817449"/>
    <x v="202"/>
    <x v="2"/>
    <x v="1"/>
    <n v="36440"/>
    <n v="1536440"/>
  </r>
  <r>
    <x v="1258"/>
    <x v="5"/>
    <x v="4"/>
    <n v="12123867"/>
    <s v="Efectivo"/>
    <n v="2381454"/>
    <x v="188"/>
    <x v="1"/>
    <x v="1"/>
    <n v="194848"/>
    <n v="15194848"/>
  </r>
  <r>
    <x v="1259"/>
    <x v="7"/>
    <x v="0"/>
    <n v="46833398"/>
    <s v="Crédito"/>
    <n v="4593702"/>
    <x v="97"/>
    <x v="1"/>
    <x v="2"/>
    <n v="844794"/>
    <n v="15844794"/>
  </r>
  <r>
    <x v="1260"/>
    <x v="5"/>
    <x v="4"/>
    <n v="36638505"/>
    <s v="Crédito"/>
    <n v="3566353"/>
    <x v="264"/>
    <x v="6"/>
    <x v="0"/>
    <n v="661443"/>
    <n v="15661443"/>
  </r>
  <r>
    <x v="1261"/>
    <x v="3"/>
    <x v="4"/>
    <n v="13067841"/>
    <s v="Transferencia"/>
    <n v="1843171"/>
    <x v="90"/>
    <x v="6"/>
    <x v="0"/>
    <n v="224493"/>
    <n v="15224493"/>
  </r>
  <r>
    <x v="1262"/>
    <x v="0"/>
    <x v="2"/>
    <n v="6084612"/>
    <s v="Efectivo"/>
    <n v="136240"/>
    <x v="107"/>
    <x v="8"/>
    <x v="3"/>
    <n v="94444"/>
    <n v="15094444"/>
  </r>
  <r>
    <x v="1263"/>
    <x v="4"/>
    <x v="1"/>
    <n v="44402871"/>
    <s v="Transferencia"/>
    <n v="5261045"/>
    <x v="275"/>
    <x v="8"/>
    <x v="3"/>
    <n v="782837"/>
    <n v="15782837"/>
  </r>
  <r>
    <x v="1264"/>
    <x v="8"/>
    <x v="4"/>
    <n v="40789072"/>
    <s v="Transferencia"/>
    <n v="7655528"/>
    <x v="167"/>
    <x v="0"/>
    <x v="2"/>
    <n v="662671"/>
    <n v="15662671"/>
  </r>
  <r>
    <x v="1265"/>
    <x v="6"/>
    <x v="3"/>
    <n v="3569545"/>
    <s v="Transferencia"/>
    <n v="7962684"/>
    <x v="151"/>
    <x v="0"/>
    <x v="0"/>
    <n v="554655"/>
    <n v="15554655"/>
  </r>
  <r>
    <x v="1266"/>
    <x v="7"/>
    <x v="1"/>
    <n v="33935421"/>
    <s v="Transferencia"/>
    <n v="1071885"/>
    <x v="49"/>
    <x v="2"/>
    <x v="4"/>
    <n v="657271"/>
    <n v="15657271"/>
  </r>
  <r>
    <x v="1267"/>
    <x v="3"/>
    <x v="0"/>
    <n v="49660702"/>
    <s v="Transferencia"/>
    <n v="337246"/>
    <x v="177"/>
    <x v="1"/>
    <x v="3"/>
    <n v="925765"/>
    <n v="15925765"/>
  </r>
  <r>
    <x v="1268"/>
    <x v="8"/>
    <x v="0"/>
    <n v="49750685"/>
    <s v="Efectivo"/>
    <n v="6398064"/>
    <x v="103"/>
    <x v="3"/>
    <x v="5"/>
    <n v="867052"/>
    <n v="15867052"/>
  </r>
  <r>
    <x v="1269"/>
    <x v="6"/>
    <x v="1"/>
    <n v="18158029"/>
    <s v="Efectivo"/>
    <n v="372086"/>
    <x v="139"/>
    <x v="3"/>
    <x v="3"/>
    <n v="288743"/>
    <n v="15288743"/>
  </r>
  <r>
    <x v="1270"/>
    <x v="9"/>
    <x v="0"/>
    <n v="41410253"/>
    <s v="Crédito"/>
    <n v="5380973"/>
    <x v="79"/>
    <x v="1"/>
    <x v="4"/>
    <n v="720586"/>
    <n v="15720586"/>
  </r>
  <r>
    <x v="1271"/>
    <x v="1"/>
    <x v="1"/>
    <n v="12007448"/>
    <s v="Crédito"/>
    <n v="1279458"/>
    <x v="94"/>
    <x v="6"/>
    <x v="1"/>
    <n v="21456"/>
    <n v="1521456"/>
  </r>
  <r>
    <x v="1272"/>
    <x v="2"/>
    <x v="2"/>
    <n v="4780219"/>
    <s v="Crédito"/>
    <n v="1064153"/>
    <x v="226"/>
    <x v="2"/>
    <x v="4"/>
    <n v="74321"/>
    <n v="15074321"/>
  </r>
  <r>
    <x v="1273"/>
    <x v="5"/>
    <x v="2"/>
    <n v="30915889"/>
    <s v="Efectivo"/>
    <n v="341022"/>
    <x v="360"/>
    <x v="9"/>
    <x v="2"/>
    <n v="550113"/>
    <n v="15550113"/>
  </r>
  <r>
    <x v="1274"/>
    <x v="5"/>
    <x v="0"/>
    <n v="45245414"/>
    <s v="Crédito"/>
    <n v="4774081"/>
    <x v="291"/>
    <x v="6"/>
    <x v="5"/>
    <n v="809427"/>
    <n v="15809427"/>
  </r>
  <r>
    <x v="1275"/>
    <x v="3"/>
    <x v="1"/>
    <n v="17285197"/>
    <s v="Crédito"/>
    <n v="1989294"/>
    <x v="125"/>
    <x v="3"/>
    <x v="1"/>
    <n v="305918"/>
    <n v="15305918"/>
  </r>
  <r>
    <x v="1276"/>
    <x v="9"/>
    <x v="0"/>
    <n v="25012012"/>
    <s v="Transferencia"/>
    <n v="1064648"/>
    <x v="149"/>
    <x v="7"/>
    <x v="1"/>
    <n v="478947"/>
    <n v="15478947"/>
  </r>
  <r>
    <x v="1277"/>
    <x v="2"/>
    <x v="3"/>
    <n v="1833653"/>
    <s v="Transferencia"/>
    <n v="141123"/>
    <x v="209"/>
    <x v="4"/>
    <x v="0"/>
    <n v="338506"/>
    <n v="15338506"/>
  </r>
  <r>
    <x v="1278"/>
    <x v="9"/>
    <x v="4"/>
    <n v="17366005"/>
    <s v="Transferencia"/>
    <n v="406375"/>
    <x v="324"/>
    <x v="3"/>
    <x v="0"/>
    <n v="266045"/>
    <n v="15266045"/>
  </r>
  <r>
    <x v="1279"/>
    <x v="8"/>
    <x v="0"/>
    <n v="39555955"/>
    <s v="Efectivo"/>
    <n v="2400362"/>
    <x v="235"/>
    <x v="0"/>
    <x v="0"/>
    <n v="743112"/>
    <n v="15743112"/>
  </r>
  <r>
    <x v="1280"/>
    <x v="2"/>
    <x v="2"/>
    <n v="29320771"/>
    <s v="Transferencia"/>
    <n v="5483778"/>
    <x v="294"/>
    <x v="8"/>
    <x v="4"/>
    <n v="47674"/>
    <n v="1547674"/>
  </r>
  <r>
    <x v="1281"/>
    <x v="7"/>
    <x v="4"/>
    <n v="1639912"/>
    <s v="Crédito"/>
    <n v="185441"/>
    <x v="171"/>
    <x v="7"/>
    <x v="0"/>
    <n v="29089"/>
    <n v="15029089"/>
  </r>
  <r>
    <x v="1282"/>
    <x v="1"/>
    <x v="3"/>
    <n v="1336342"/>
    <s v="Transferencia"/>
    <n v="89544"/>
    <x v="167"/>
    <x v="8"/>
    <x v="0"/>
    <n v="24936"/>
    <n v="15024936"/>
  </r>
  <r>
    <x v="1283"/>
    <x v="0"/>
    <x v="1"/>
    <n v="33034239"/>
    <s v="Efectivo"/>
    <n v="1165685"/>
    <x v="268"/>
    <x v="7"/>
    <x v="5"/>
    <n v="637371"/>
    <n v="15637371"/>
  </r>
  <r>
    <x v="1284"/>
    <x v="8"/>
    <x v="1"/>
    <n v="45249408"/>
    <s v="Transferencia"/>
    <n v="146374"/>
    <x v="87"/>
    <x v="6"/>
    <x v="3"/>
    <n v="875713"/>
    <n v="15875713"/>
  </r>
  <r>
    <x v="1285"/>
    <x v="3"/>
    <x v="4"/>
    <n v="40613588"/>
    <s v="Transferencia"/>
    <n v="923499"/>
    <x v="317"/>
    <x v="3"/>
    <x v="4"/>
    <n v="627572"/>
    <n v="15627572"/>
  </r>
  <r>
    <x v="1286"/>
    <x v="9"/>
    <x v="3"/>
    <n v="25123752"/>
    <s v="Efectivo"/>
    <n v="324683"/>
    <x v="207"/>
    <x v="1"/>
    <x v="4"/>
    <n v="495981"/>
    <n v="15495981"/>
  </r>
  <r>
    <x v="1287"/>
    <x v="4"/>
    <x v="2"/>
    <n v="40146534"/>
    <s v="Efectivo"/>
    <n v="3898178"/>
    <x v="321"/>
    <x v="2"/>
    <x v="0"/>
    <n v="724967"/>
    <n v="15724967"/>
  </r>
  <r>
    <x v="1288"/>
    <x v="2"/>
    <x v="1"/>
    <n v="12561701"/>
    <s v="Transferencia"/>
    <n v="1376352"/>
    <x v="49"/>
    <x v="7"/>
    <x v="4"/>
    <n v="223707"/>
    <n v="15223707"/>
  </r>
  <r>
    <x v="1289"/>
    <x v="2"/>
    <x v="0"/>
    <n v="37120012"/>
    <s v="Transferencia"/>
    <n v="635292"/>
    <x v="50"/>
    <x v="9"/>
    <x v="4"/>
    <n v="615342"/>
    <n v="15615342"/>
  </r>
  <r>
    <x v="1290"/>
    <x v="4"/>
    <x v="4"/>
    <n v="5324429"/>
    <s v="Efectivo"/>
    <n v="46602"/>
    <x v="342"/>
    <x v="0"/>
    <x v="5"/>
    <n v="97168"/>
    <n v="15097168"/>
  </r>
  <r>
    <x v="1291"/>
    <x v="3"/>
    <x v="0"/>
    <n v="31127234"/>
    <s v="Transferencia"/>
    <n v="2080317"/>
    <x v="279"/>
    <x v="2"/>
    <x v="1"/>
    <n v="580938"/>
    <n v="15580938"/>
  </r>
  <r>
    <x v="1292"/>
    <x v="2"/>
    <x v="0"/>
    <n v="38566367"/>
    <s v="Transferencia"/>
    <n v="1990312"/>
    <x v="309"/>
    <x v="5"/>
    <x v="1"/>
    <n v="731521"/>
    <n v="15731521"/>
  </r>
  <r>
    <x v="1293"/>
    <x v="9"/>
    <x v="3"/>
    <n v="31286922"/>
    <s v="Efectivo"/>
    <n v="7302267"/>
    <x v="257"/>
    <x v="5"/>
    <x v="3"/>
    <n v="479693"/>
    <n v="15479693"/>
  </r>
  <r>
    <x v="1294"/>
    <x v="2"/>
    <x v="1"/>
    <n v="27679989"/>
    <s v="Crédito"/>
    <n v="2161675"/>
    <x v="316"/>
    <x v="1"/>
    <x v="4"/>
    <n v="510366"/>
    <n v="15510366"/>
  </r>
  <r>
    <x v="1295"/>
    <x v="3"/>
    <x v="2"/>
    <n v="7265809"/>
    <s v="Transferencia"/>
    <n v="905346"/>
    <x v="335"/>
    <x v="0"/>
    <x v="4"/>
    <n v="127209"/>
    <n v="15127209"/>
  </r>
  <r>
    <x v="1296"/>
    <x v="6"/>
    <x v="3"/>
    <n v="19225017"/>
    <s v="Efectivo"/>
    <n v="1146335"/>
    <x v="25"/>
    <x v="5"/>
    <x v="2"/>
    <n v="361574"/>
    <n v="15361574"/>
  </r>
  <r>
    <x v="1297"/>
    <x v="1"/>
    <x v="2"/>
    <n v="22009332"/>
    <s v="Transferencia"/>
    <n v="4113141"/>
    <x v="217"/>
    <x v="3"/>
    <x v="3"/>
    <n v="357924"/>
    <n v="15357924"/>
  </r>
  <r>
    <x v="1298"/>
    <x v="9"/>
    <x v="2"/>
    <n v="27534997"/>
    <s v="Efectivo"/>
    <n v="677416"/>
    <x v="111"/>
    <x v="7"/>
    <x v="0"/>
    <n v="415217"/>
    <n v="15415217"/>
  </r>
  <r>
    <x v="1299"/>
    <x v="9"/>
    <x v="0"/>
    <n v="16336342"/>
    <s v="Crédito"/>
    <n v="1313296"/>
    <x v="56"/>
    <x v="6"/>
    <x v="0"/>
    <n v="300461"/>
    <n v="15300461"/>
  </r>
  <r>
    <x v="1300"/>
    <x v="4"/>
    <x v="2"/>
    <n v="5010316"/>
    <s v="Transferencia"/>
    <n v="276884"/>
    <x v="182"/>
    <x v="0"/>
    <x v="0"/>
    <n v="94669"/>
    <n v="15094669"/>
  </r>
  <r>
    <x v="1301"/>
    <x v="2"/>
    <x v="4"/>
    <n v="1424140"/>
    <s v="Crédito"/>
    <n v="2152835"/>
    <x v="185"/>
    <x v="6"/>
    <x v="2"/>
    <n v="241771"/>
    <n v="15241771"/>
  </r>
  <r>
    <x v="1302"/>
    <x v="6"/>
    <x v="0"/>
    <n v="47721622"/>
    <s v="Crédito"/>
    <n v="9102374"/>
    <x v="154"/>
    <x v="3"/>
    <x v="5"/>
    <n v="772385"/>
    <n v="15772385"/>
  </r>
  <r>
    <x v="1303"/>
    <x v="3"/>
    <x v="3"/>
    <n v="6718229"/>
    <s v="Crédito"/>
    <n v="371314"/>
    <x v="84"/>
    <x v="9"/>
    <x v="4"/>
    <n v="126938"/>
    <n v="15126938"/>
  </r>
  <r>
    <x v="1304"/>
    <x v="8"/>
    <x v="1"/>
    <n v="42262733"/>
    <s v="Crédito"/>
    <n v="998913"/>
    <x v="107"/>
    <x v="3"/>
    <x v="0"/>
    <n v="825276"/>
    <n v="15825276"/>
  </r>
  <r>
    <x v="1305"/>
    <x v="2"/>
    <x v="0"/>
    <n v="48197932"/>
    <s v="Crédito"/>
    <n v="3918446"/>
    <x v="23"/>
    <x v="2"/>
    <x v="5"/>
    <n v="88559"/>
    <n v="1588559"/>
  </r>
  <r>
    <x v="1306"/>
    <x v="6"/>
    <x v="2"/>
    <n v="46660318"/>
    <s v="Crédito"/>
    <n v="595493"/>
    <x v="38"/>
    <x v="2"/>
    <x v="5"/>
    <n v="921297"/>
    <n v="15921297"/>
  </r>
  <r>
    <x v="1307"/>
    <x v="9"/>
    <x v="0"/>
    <n v="37468776"/>
    <s v="Crédito"/>
    <n v="136864"/>
    <x v="206"/>
    <x v="6"/>
    <x v="0"/>
    <n v="722003"/>
    <n v="15722003"/>
  </r>
  <r>
    <x v="1308"/>
    <x v="4"/>
    <x v="2"/>
    <n v="1542670"/>
    <s v="Efectivo"/>
    <n v="626876"/>
    <x v="183"/>
    <x v="2"/>
    <x v="5"/>
    <n v="295996"/>
    <n v="15295996"/>
  </r>
  <r>
    <x v="1309"/>
    <x v="5"/>
    <x v="1"/>
    <n v="31753212"/>
    <s v="Transferencia"/>
    <n v="4056836"/>
    <x v="20"/>
    <x v="1"/>
    <x v="0"/>
    <n v="553928"/>
    <n v="15553928"/>
  </r>
  <r>
    <x v="1310"/>
    <x v="4"/>
    <x v="0"/>
    <n v="1937083"/>
    <s v="Transferencia"/>
    <n v="281029"/>
    <x v="253"/>
    <x v="2"/>
    <x v="0"/>
    <n v="381796"/>
    <n v="15381796"/>
  </r>
  <r>
    <x v="1311"/>
    <x v="9"/>
    <x v="4"/>
    <n v="20189621"/>
    <s v="Transferencia"/>
    <n v="909197"/>
    <x v="329"/>
    <x v="1"/>
    <x v="4"/>
    <n v="385608"/>
    <n v="15385608"/>
  </r>
  <r>
    <x v="1312"/>
    <x v="4"/>
    <x v="2"/>
    <n v="14160178"/>
    <s v="Efectivo"/>
    <n v="506239"/>
    <x v="10"/>
    <x v="3"/>
    <x v="4"/>
    <n v="273079"/>
    <n v="15273079"/>
  </r>
  <r>
    <x v="1313"/>
    <x v="3"/>
    <x v="0"/>
    <n v="27703985"/>
    <s v="Transferencia"/>
    <n v="1449048"/>
    <x v="198"/>
    <x v="0"/>
    <x v="0"/>
    <n v="525099"/>
    <n v="15525099"/>
  </r>
  <r>
    <x v="1314"/>
    <x v="0"/>
    <x v="3"/>
    <n v="19634542"/>
    <s v="Efectivo"/>
    <n v="419329"/>
    <x v="233"/>
    <x v="6"/>
    <x v="4"/>
    <n v="384304"/>
    <n v="15384304"/>
  </r>
  <r>
    <x v="1315"/>
    <x v="4"/>
    <x v="1"/>
    <n v="40861222"/>
    <s v="Crédito"/>
    <n v="9719887"/>
    <x v="170"/>
    <x v="7"/>
    <x v="0"/>
    <n v="622827"/>
    <n v="15622827"/>
  </r>
  <r>
    <x v="1316"/>
    <x v="7"/>
    <x v="3"/>
    <n v="3699500"/>
    <s v="Transferencia"/>
    <n v="671768"/>
    <x v="299"/>
    <x v="7"/>
    <x v="1"/>
    <n v="726465"/>
    <n v="15726465"/>
  </r>
  <r>
    <x v="1317"/>
    <x v="0"/>
    <x v="4"/>
    <n v="2442026"/>
    <s v="Transferencia"/>
    <n v="3545"/>
    <x v="347"/>
    <x v="0"/>
    <x v="0"/>
    <n v="488334"/>
    <n v="15488334"/>
  </r>
  <r>
    <x v="1318"/>
    <x v="7"/>
    <x v="4"/>
    <n v="16837499"/>
    <s v="Crédito"/>
    <n v="205217"/>
    <x v="232"/>
    <x v="4"/>
    <x v="5"/>
    <n v="332646"/>
    <n v="15332646"/>
  </r>
  <r>
    <x v="1319"/>
    <x v="7"/>
    <x v="1"/>
    <n v="32144525"/>
    <s v="Efectivo"/>
    <n v="694820"/>
    <x v="353"/>
    <x v="2"/>
    <x v="4"/>
    <n v="503927"/>
    <n v="15503927"/>
  </r>
  <r>
    <x v="1320"/>
    <x v="5"/>
    <x v="1"/>
    <n v="2171395"/>
    <s v="Transferencia"/>
    <n v="358725"/>
    <x v="153"/>
    <x v="3"/>
    <x v="1"/>
    <n v="36253"/>
    <n v="15036253"/>
  </r>
  <r>
    <x v="1321"/>
    <x v="8"/>
    <x v="1"/>
    <n v="35434597"/>
    <s v="Transferencia"/>
    <n v="194268"/>
    <x v="196"/>
    <x v="1"/>
    <x v="4"/>
    <n v="669838"/>
    <n v="15669838"/>
  </r>
  <r>
    <x v="1322"/>
    <x v="0"/>
    <x v="3"/>
    <n v="29902854"/>
    <s v="Crédito"/>
    <n v="6800403"/>
    <x v="185"/>
    <x v="9"/>
    <x v="2"/>
    <n v="462049"/>
    <n v="15462049"/>
  </r>
  <r>
    <x v="1323"/>
    <x v="8"/>
    <x v="4"/>
    <n v="34236675"/>
    <s v="Crédito"/>
    <n v="1012635"/>
    <x v="290"/>
    <x v="8"/>
    <x v="5"/>
    <n v="664481"/>
    <n v="15664481"/>
  </r>
  <r>
    <x v="1324"/>
    <x v="7"/>
    <x v="4"/>
    <n v="23630066"/>
    <s v="Transferencia"/>
    <n v="5212449"/>
    <x v="180"/>
    <x v="5"/>
    <x v="3"/>
    <n v="368352"/>
    <n v="15368352"/>
  </r>
  <r>
    <x v="1325"/>
    <x v="8"/>
    <x v="2"/>
    <n v="14271917"/>
    <s v="Transferencia"/>
    <n v="1594583"/>
    <x v="90"/>
    <x v="7"/>
    <x v="3"/>
    <n v="253547"/>
    <n v="15253547"/>
  </r>
  <r>
    <x v="1326"/>
    <x v="5"/>
    <x v="0"/>
    <n v="41211059"/>
    <s v="Transferencia"/>
    <n v="1293833"/>
    <x v="12"/>
    <x v="4"/>
    <x v="0"/>
    <n v="798345"/>
    <n v="15798345"/>
  </r>
  <r>
    <x v="1327"/>
    <x v="6"/>
    <x v="1"/>
    <n v="7881916"/>
    <s v="Efectivo"/>
    <n v="1801521"/>
    <x v="88"/>
    <x v="4"/>
    <x v="0"/>
    <n v="121608"/>
    <n v="15121608"/>
  </r>
  <r>
    <x v="1328"/>
    <x v="4"/>
    <x v="1"/>
    <n v="22863058"/>
    <s v="Crédito"/>
    <n v="2867619"/>
    <x v="247"/>
    <x v="4"/>
    <x v="4"/>
    <n v="399909"/>
    <n v="15399909"/>
  </r>
  <r>
    <x v="1329"/>
    <x v="0"/>
    <x v="3"/>
    <n v="31704373"/>
    <s v="Efectivo"/>
    <n v="2854515"/>
    <x v="243"/>
    <x v="6"/>
    <x v="4"/>
    <n v="576997"/>
    <n v="15576997"/>
  </r>
  <r>
    <x v="1330"/>
    <x v="2"/>
    <x v="1"/>
    <n v="6640173"/>
    <s v="Transferencia"/>
    <n v="108295"/>
    <x v="150"/>
    <x v="7"/>
    <x v="0"/>
    <n v="111144"/>
    <n v="15111144"/>
  </r>
  <r>
    <x v="1331"/>
    <x v="7"/>
    <x v="1"/>
    <n v="25497851"/>
    <s v="Crédito"/>
    <n v="204579"/>
    <x v="277"/>
    <x v="1"/>
    <x v="5"/>
    <n v="469041"/>
    <n v="15469041"/>
  </r>
  <r>
    <x v="1332"/>
    <x v="3"/>
    <x v="1"/>
    <n v="34386319"/>
    <s v="Transferencia"/>
    <n v="2959263"/>
    <x v="68"/>
    <x v="1"/>
    <x v="2"/>
    <n v="628541"/>
    <n v="15628541"/>
  </r>
  <r>
    <x v="1333"/>
    <x v="0"/>
    <x v="2"/>
    <n v="21382679"/>
    <s v="Transferencia"/>
    <n v="1616966"/>
    <x v="76"/>
    <x v="7"/>
    <x v="2"/>
    <n v="395314"/>
    <n v="15395314"/>
  </r>
  <r>
    <x v="1334"/>
    <x v="0"/>
    <x v="4"/>
    <n v="42700708"/>
    <s v="Crédito"/>
    <n v="3848669"/>
    <x v="290"/>
    <x v="8"/>
    <x v="0"/>
    <n v="777041"/>
    <n v="15777041"/>
  </r>
  <r>
    <x v="1335"/>
    <x v="0"/>
    <x v="1"/>
    <n v="47987256"/>
    <s v="Efectivo"/>
    <n v="5865092"/>
    <x v="158"/>
    <x v="9"/>
    <x v="0"/>
    <n v="842443"/>
    <n v="15842443"/>
  </r>
  <r>
    <x v="1336"/>
    <x v="0"/>
    <x v="4"/>
    <n v="15674834"/>
    <s v="Efectivo"/>
    <n v="1398815"/>
    <x v="231"/>
    <x v="9"/>
    <x v="5"/>
    <n v="28552"/>
    <n v="1528552"/>
  </r>
  <r>
    <x v="1337"/>
    <x v="9"/>
    <x v="4"/>
    <n v="23028825"/>
    <s v="Transferencia"/>
    <n v="2064727"/>
    <x v="321"/>
    <x v="9"/>
    <x v="3"/>
    <n v="419282"/>
    <n v="15419282"/>
  </r>
  <r>
    <x v="1338"/>
    <x v="0"/>
    <x v="0"/>
    <n v="33478739"/>
    <s v="Efectivo"/>
    <n v="2775751"/>
    <x v="98"/>
    <x v="0"/>
    <x v="5"/>
    <n v="61406"/>
    <n v="1561406"/>
  </r>
  <r>
    <x v="1339"/>
    <x v="1"/>
    <x v="1"/>
    <n v="20905561"/>
    <s v="Efectivo"/>
    <n v="1325672"/>
    <x v="80"/>
    <x v="3"/>
    <x v="4"/>
    <n v="391598"/>
    <n v="15391598"/>
  </r>
  <r>
    <x v="1340"/>
    <x v="3"/>
    <x v="4"/>
    <n v="37364114"/>
    <s v="Efectivo"/>
    <n v="9222165"/>
    <x v="339"/>
    <x v="2"/>
    <x v="0"/>
    <n v="562839"/>
    <n v="15562839"/>
  </r>
  <r>
    <x v="1341"/>
    <x v="4"/>
    <x v="4"/>
    <n v="37929725"/>
    <s v="Efectivo"/>
    <n v="2286117"/>
    <x v="59"/>
    <x v="5"/>
    <x v="0"/>
    <n v="712872"/>
    <n v="15712872"/>
  </r>
  <r>
    <x v="1342"/>
    <x v="0"/>
    <x v="4"/>
    <n v="18240362"/>
    <s v="Transferencia"/>
    <n v="378128"/>
    <x v="49"/>
    <x v="8"/>
    <x v="0"/>
    <n v="357245"/>
    <n v="15357245"/>
  </r>
  <r>
    <x v="1343"/>
    <x v="1"/>
    <x v="4"/>
    <n v="17143446"/>
    <s v="Crédito"/>
    <n v="84711"/>
    <x v="357"/>
    <x v="7"/>
    <x v="5"/>
    <n v="341175"/>
    <n v="15341175"/>
  </r>
  <r>
    <x v="1344"/>
    <x v="9"/>
    <x v="3"/>
    <n v="5897704"/>
    <s v="Efectivo"/>
    <n v="710129"/>
    <x v="23"/>
    <x v="8"/>
    <x v="0"/>
    <n v="103752"/>
    <n v="15103752"/>
  </r>
  <r>
    <x v="1345"/>
    <x v="1"/>
    <x v="3"/>
    <n v="24138842"/>
    <s v="Efectivo"/>
    <n v="414406"/>
    <x v="140"/>
    <x v="6"/>
    <x v="4"/>
    <n v="474489"/>
    <n v="15474489"/>
  </r>
  <r>
    <x v="1346"/>
    <x v="1"/>
    <x v="4"/>
    <n v="41874618"/>
    <s v="Transferencia"/>
    <n v="1832624"/>
    <x v="210"/>
    <x v="5"/>
    <x v="4"/>
    <n v="80084"/>
    <n v="1580084"/>
  </r>
  <r>
    <x v="1347"/>
    <x v="5"/>
    <x v="2"/>
    <n v="10226832"/>
    <s v="Crédito"/>
    <n v="237044"/>
    <x v="259"/>
    <x v="4"/>
    <x v="5"/>
    <n v="157128"/>
    <n v="15157128"/>
  </r>
  <r>
    <x v="1348"/>
    <x v="1"/>
    <x v="0"/>
    <n v="10252123"/>
    <s v="Efectivo"/>
    <n v="178500"/>
    <x v="206"/>
    <x v="5"/>
    <x v="0"/>
    <n v="169342"/>
    <n v="15169342"/>
  </r>
  <r>
    <x v="1349"/>
    <x v="8"/>
    <x v="1"/>
    <n v="2002142"/>
    <s v="Efectivo"/>
    <n v="1267117"/>
    <x v="361"/>
    <x v="7"/>
    <x v="3"/>
    <n v="375086"/>
    <n v="15375086"/>
  </r>
  <r>
    <x v="1350"/>
    <x v="4"/>
    <x v="0"/>
    <n v="39521413"/>
    <s v="Crédito"/>
    <n v="187988"/>
    <x v="306"/>
    <x v="7"/>
    <x v="3"/>
    <n v="752831"/>
    <n v="15752831"/>
  </r>
  <r>
    <x v="1351"/>
    <x v="2"/>
    <x v="4"/>
    <n v="19571668"/>
    <s v="Transferencia"/>
    <n v="185140"/>
    <x v="201"/>
    <x v="2"/>
    <x v="3"/>
    <n v="354405"/>
    <n v="15354405"/>
  </r>
  <r>
    <x v="1352"/>
    <x v="8"/>
    <x v="3"/>
    <n v="3837014"/>
    <s v="Crédito"/>
    <n v="770199"/>
    <x v="284"/>
    <x v="9"/>
    <x v="5"/>
    <n v="61336"/>
    <n v="15061336"/>
  </r>
  <r>
    <x v="1353"/>
    <x v="8"/>
    <x v="4"/>
    <n v="45753535"/>
    <s v="Efectivo"/>
    <n v="3670252"/>
    <x v="214"/>
    <x v="4"/>
    <x v="0"/>
    <n v="841666"/>
    <n v="15841666"/>
  </r>
  <r>
    <x v="1354"/>
    <x v="3"/>
    <x v="3"/>
    <n v="10654365"/>
    <s v="Crédito"/>
    <n v="673974"/>
    <x v="326"/>
    <x v="9"/>
    <x v="4"/>
    <n v="199608"/>
    <n v="15199608"/>
  </r>
  <r>
    <x v="1355"/>
    <x v="6"/>
    <x v="1"/>
    <n v="30628977"/>
    <s v="Transferencia"/>
    <n v="924674"/>
    <x v="191"/>
    <x v="9"/>
    <x v="4"/>
    <n v="594086"/>
    <n v="15594086"/>
  </r>
  <r>
    <x v="1356"/>
    <x v="4"/>
    <x v="0"/>
    <n v="39370521"/>
    <s v="Transferencia"/>
    <n v="1004152"/>
    <x v="95"/>
    <x v="4"/>
    <x v="3"/>
    <n v="767327"/>
    <n v="15767327"/>
  </r>
  <r>
    <x v="1357"/>
    <x v="4"/>
    <x v="3"/>
    <n v="31705844"/>
    <s v="Crédito"/>
    <n v="6588068"/>
    <x v="62"/>
    <x v="4"/>
    <x v="1"/>
    <n v="502356"/>
    <n v="15502356"/>
  </r>
  <r>
    <x v="1358"/>
    <x v="2"/>
    <x v="2"/>
    <n v="27542294"/>
    <s v="Efectivo"/>
    <n v="2863227"/>
    <x v="167"/>
    <x v="2"/>
    <x v="3"/>
    <n v="493581"/>
    <n v="15493581"/>
  </r>
  <r>
    <x v="1359"/>
    <x v="0"/>
    <x v="2"/>
    <n v="49383436"/>
    <s v="Efectivo"/>
    <n v="1198499"/>
    <x v="144"/>
    <x v="2"/>
    <x v="5"/>
    <n v="747969"/>
    <n v="15747969"/>
  </r>
  <r>
    <x v="1360"/>
    <x v="6"/>
    <x v="3"/>
    <n v="32947079"/>
    <s v="Transferencia"/>
    <n v="121099"/>
    <x v="115"/>
    <x v="4"/>
    <x v="3"/>
    <n v="634722"/>
    <n v="15634722"/>
  </r>
  <r>
    <x v="1361"/>
    <x v="1"/>
    <x v="0"/>
    <n v="2420859"/>
    <s v="Efectivo"/>
    <n v="3071084"/>
    <x v="173"/>
    <x v="0"/>
    <x v="5"/>
    <n v="42275"/>
    <n v="1542275"/>
  </r>
  <r>
    <x v="1362"/>
    <x v="7"/>
    <x v="3"/>
    <n v="5004561"/>
    <s v="Transferencia"/>
    <n v="101885"/>
    <x v="162"/>
    <x v="1"/>
    <x v="5"/>
    <n v="79714"/>
    <n v="15079714"/>
  </r>
  <r>
    <x v="1363"/>
    <x v="2"/>
    <x v="3"/>
    <n v="22632794"/>
    <s v="Efectivo"/>
    <n v="536383"/>
    <x v="168"/>
    <x v="5"/>
    <x v="3"/>
    <n v="345379"/>
    <n v="15345379"/>
  </r>
  <r>
    <x v="1364"/>
    <x v="0"/>
    <x v="0"/>
    <n v="46331953"/>
    <s v="Transferencia"/>
    <n v="2452579"/>
    <x v="264"/>
    <x v="6"/>
    <x v="5"/>
    <n v="877587"/>
    <n v="15877587"/>
  </r>
  <r>
    <x v="1365"/>
    <x v="1"/>
    <x v="2"/>
    <n v="37998418"/>
    <s v="Efectivo"/>
    <n v="3153174"/>
    <x v="272"/>
    <x v="8"/>
    <x v="4"/>
    <n v="696905"/>
    <n v="15696905"/>
  </r>
  <r>
    <x v="1366"/>
    <x v="1"/>
    <x v="2"/>
    <n v="289333"/>
    <s v="Efectivo"/>
    <n v="533396"/>
    <x v="259"/>
    <x v="0"/>
    <x v="5"/>
    <n v="47199"/>
    <n v="15047199"/>
  </r>
  <r>
    <x v="1367"/>
    <x v="3"/>
    <x v="4"/>
    <n v="12076604"/>
    <s v="Crédito"/>
    <n v="1597033"/>
    <x v="261"/>
    <x v="1"/>
    <x v="3"/>
    <n v="209591"/>
    <n v="15209591"/>
  </r>
  <r>
    <x v="1368"/>
    <x v="3"/>
    <x v="4"/>
    <n v="19579468"/>
    <s v="Transferencia"/>
    <n v="1581559"/>
    <x v="6"/>
    <x v="2"/>
    <x v="3"/>
    <n v="359958"/>
    <n v="15359958"/>
  </r>
  <r>
    <x v="1369"/>
    <x v="7"/>
    <x v="0"/>
    <n v="28816275"/>
    <s v="Efectivo"/>
    <n v="471716"/>
    <x v="360"/>
    <x v="5"/>
    <x v="4"/>
    <n v="481982"/>
    <n v="15481982"/>
  </r>
  <r>
    <x v="1370"/>
    <x v="2"/>
    <x v="3"/>
    <n v="17187397"/>
    <s v="Efectivo"/>
    <n v="3635277"/>
    <x v="223"/>
    <x v="5"/>
    <x v="5"/>
    <n v="271042"/>
    <n v="15271042"/>
  </r>
  <r>
    <x v="1371"/>
    <x v="5"/>
    <x v="4"/>
    <n v="165730"/>
    <s v="Efectivo"/>
    <n v="312029"/>
    <x v="362"/>
    <x v="9"/>
    <x v="4"/>
    <n v="26905"/>
    <n v="15026905"/>
  </r>
  <r>
    <x v="1372"/>
    <x v="1"/>
    <x v="0"/>
    <n v="1212101"/>
    <s v="Transferencia"/>
    <n v="801585"/>
    <x v="187"/>
    <x v="6"/>
    <x v="0"/>
    <n v="226389"/>
    <n v="15226389"/>
  </r>
  <r>
    <x v="1373"/>
    <x v="6"/>
    <x v="3"/>
    <n v="27702433"/>
    <s v="Efectivo"/>
    <n v="4150776"/>
    <x v="120"/>
    <x v="2"/>
    <x v="3"/>
    <n v="471033"/>
    <n v="15471033"/>
  </r>
  <r>
    <x v="1374"/>
    <x v="9"/>
    <x v="2"/>
    <n v="26959589"/>
    <s v="Crédito"/>
    <n v="353345"/>
    <x v="129"/>
    <x v="1"/>
    <x v="4"/>
    <n v="532125"/>
    <n v="15532125"/>
  </r>
  <r>
    <x v="1375"/>
    <x v="6"/>
    <x v="1"/>
    <n v="1875145"/>
    <s v="Crédito"/>
    <n v="211196"/>
    <x v="311"/>
    <x v="5"/>
    <x v="4"/>
    <n v="33279"/>
    <n v="15033279"/>
  </r>
  <r>
    <x v="1376"/>
    <x v="1"/>
    <x v="2"/>
    <n v="2523959"/>
    <s v="Efectivo"/>
    <n v="597098"/>
    <x v="303"/>
    <x v="0"/>
    <x v="1"/>
    <n v="38537"/>
    <n v="15038537"/>
  </r>
  <r>
    <x v="1377"/>
    <x v="0"/>
    <x v="2"/>
    <n v="19834639"/>
    <s v="Crédito"/>
    <n v="12440"/>
    <x v="27"/>
    <x v="7"/>
    <x v="5"/>
    <n v="394205"/>
    <n v="15394205"/>
  </r>
  <r>
    <x v="1378"/>
    <x v="2"/>
    <x v="0"/>
    <n v="26148166"/>
    <s v="Crédito"/>
    <n v="4545926"/>
    <x v="183"/>
    <x v="8"/>
    <x v="0"/>
    <n v="432045"/>
    <n v="15432045"/>
  </r>
  <r>
    <x v="1379"/>
    <x v="1"/>
    <x v="1"/>
    <n v="4428187"/>
    <s v="Efectivo"/>
    <n v="475947"/>
    <x v="248"/>
    <x v="2"/>
    <x v="4"/>
    <n v="79045"/>
    <n v="15079045"/>
  </r>
  <r>
    <x v="1380"/>
    <x v="3"/>
    <x v="1"/>
    <n v="36251039"/>
    <s v="Transferencia"/>
    <n v="3280637"/>
    <x v="14"/>
    <x v="4"/>
    <x v="5"/>
    <n v="659408"/>
    <n v="15659408"/>
  </r>
  <r>
    <x v="1381"/>
    <x v="7"/>
    <x v="1"/>
    <n v="5752318"/>
    <s v="Transferencia"/>
    <n v="1312749"/>
    <x v="264"/>
    <x v="1"/>
    <x v="4"/>
    <n v="88791"/>
    <n v="15088791"/>
  </r>
  <r>
    <x v="1382"/>
    <x v="0"/>
    <x v="1"/>
    <n v="5573012"/>
    <s v="Transferencia"/>
    <n v="233425"/>
    <x v="28"/>
    <x v="0"/>
    <x v="2"/>
    <n v="106792"/>
    <n v="15106792"/>
  </r>
  <r>
    <x v="1383"/>
    <x v="1"/>
    <x v="3"/>
    <n v="39561651"/>
    <s v="Crédito"/>
    <n v="9288736"/>
    <x v="99"/>
    <x v="7"/>
    <x v="1"/>
    <n v="605458"/>
    <n v="15605458"/>
  </r>
  <r>
    <x v="1384"/>
    <x v="3"/>
    <x v="4"/>
    <n v="2535988"/>
    <s v="Efectivo"/>
    <n v="35863"/>
    <x v="77"/>
    <x v="3"/>
    <x v="4"/>
    <n v="50003"/>
    <n v="15050003"/>
  </r>
  <r>
    <x v="1385"/>
    <x v="5"/>
    <x v="4"/>
    <n v="20047416"/>
    <s v="Transferencia"/>
    <n v="1785424"/>
    <x v="57"/>
    <x v="7"/>
    <x v="0"/>
    <n v="36524"/>
    <n v="1536524"/>
  </r>
  <r>
    <x v="1386"/>
    <x v="9"/>
    <x v="1"/>
    <n v="545082"/>
    <s v="Efectivo"/>
    <n v="143549"/>
    <x v="268"/>
    <x v="5"/>
    <x v="0"/>
    <n v="106145"/>
    <n v="15106145"/>
  </r>
  <r>
    <x v="1387"/>
    <x v="8"/>
    <x v="2"/>
    <n v="2663208"/>
    <s v="Crédito"/>
    <n v="367658"/>
    <x v="66"/>
    <x v="8"/>
    <x v="3"/>
    <n v="45911"/>
    <n v="15045911"/>
  </r>
  <r>
    <x v="1388"/>
    <x v="9"/>
    <x v="4"/>
    <n v="26712554"/>
    <s v="Transferencia"/>
    <n v="747474"/>
    <x v="287"/>
    <x v="7"/>
    <x v="4"/>
    <n v="519302"/>
    <n v="15519302"/>
  </r>
  <r>
    <x v="1389"/>
    <x v="2"/>
    <x v="0"/>
    <n v="28589603"/>
    <s v="Crédito"/>
    <n v="5667174"/>
    <x v="95"/>
    <x v="5"/>
    <x v="0"/>
    <n v="458449"/>
    <n v="15458449"/>
  </r>
  <r>
    <x v="1390"/>
    <x v="5"/>
    <x v="4"/>
    <n v="27320783"/>
    <s v="Efectivo"/>
    <n v="3414691"/>
    <x v="175"/>
    <x v="3"/>
    <x v="3"/>
    <n v="478122"/>
    <n v="15478122"/>
  </r>
  <r>
    <x v="1391"/>
    <x v="1"/>
    <x v="3"/>
    <n v="30622419"/>
    <s v="Transferencia"/>
    <n v="3336292"/>
    <x v="210"/>
    <x v="4"/>
    <x v="3"/>
    <n v="545723"/>
    <n v="15545723"/>
  </r>
  <r>
    <x v="1392"/>
    <x v="8"/>
    <x v="4"/>
    <n v="6211036"/>
    <s v="Efectivo"/>
    <n v="902876"/>
    <x v="119"/>
    <x v="6"/>
    <x v="2"/>
    <n v="106163"/>
    <n v="15106163"/>
  </r>
  <r>
    <x v="1393"/>
    <x v="0"/>
    <x v="4"/>
    <n v="648280"/>
    <s v="Transferencia"/>
    <n v="788531"/>
    <x v="292"/>
    <x v="3"/>
    <x v="1"/>
    <n v="113885"/>
    <n v="15113885"/>
  </r>
  <r>
    <x v="1394"/>
    <x v="6"/>
    <x v="0"/>
    <n v="10594394"/>
    <s v="Crédito"/>
    <n v="2292735"/>
    <x v="161"/>
    <x v="9"/>
    <x v="1"/>
    <n v="166033"/>
    <n v="15166033"/>
  </r>
  <r>
    <x v="1395"/>
    <x v="0"/>
    <x v="2"/>
    <n v="14076399"/>
    <s v="Efectivo"/>
    <n v="3260298"/>
    <x v="159"/>
    <x v="1"/>
    <x v="3"/>
    <n v="216322"/>
    <n v="15216322"/>
  </r>
  <r>
    <x v="1396"/>
    <x v="2"/>
    <x v="4"/>
    <n v="30351861"/>
    <s v="Crédito"/>
    <n v="6200205"/>
    <x v="115"/>
    <x v="9"/>
    <x v="0"/>
    <n v="483033"/>
    <n v="15483033"/>
  </r>
  <r>
    <x v="1397"/>
    <x v="4"/>
    <x v="0"/>
    <n v="25566303"/>
    <s v="Crédito"/>
    <n v="4812984"/>
    <x v="167"/>
    <x v="2"/>
    <x v="3"/>
    <n v="415066"/>
    <n v="15415066"/>
  </r>
  <r>
    <x v="1398"/>
    <x v="3"/>
    <x v="3"/>
    <n v="37063847"/>
    <s v="Crédito"/>
    <n v="276930"/>
    <x v="84"/>
    <x v="7"/>
    <x v="2"/>
    <n v="685891"/>
    <n v="15685891"/>
  </r>
  <r>
    <x v="1399"/>
    <x v="9"/>
    <x v="4"/>
    <n v="33345772"/>
    <s v="Efectivo"/>
    <n v="2478513"/>
    <x v="298"/>
    <x v="5"/>
    <x v="5"/>
    <n v="617345"/>
    <n v="15617345"/>
  </r>
  <r>
    <x v="1400"/>
    <x v="2"/>
    <x v="2"/>
    <n v="6675523"/>
    <s v="Efectivo"/>
    <n v="273074"/>
    <x v="62"/>
    <x v="8"/>
    <x v="4"/>
    <n v="128049"/>
    <n v="15128049"/>
  </r>
  <r>
    <x v="1401"/>
    <x v="3"/>
    <x v="4"/>
    <n v="2649861"/>
    <s v="Efectivo"/>
    <n v="286907"/>
    <x v="164"/>
    <x v="3"/>
    <x v="3"/>
    <n v="47259"/>
    <n v="15047259"/>
  </r>
  <r>
    <x v="1402"/>
    <x v="1"/>
    <x v="0"/>
    <n v="1352272"/>
    <s v="Transferencia"/>
    <n v="295272"/>
    <x v="22"/>
    <x v="6"/>
    <x v="2"/>
    <n v="2114"/>
    <n v="1502114"/>
  </r>
  <r>
    <x v="1403"/>
    <x v="5"/>
    <x v="2"/>
    <n v="46578589"/>
    <s v="Transferencia"/>
    <n v="4741279"/>
    <x v="93"/>
    <x v="6"/>
    <x v="0"/>
    <n v="836746"/>
    <n v="15836746"/>
  </r>
  <r>
    <x v="1404"/>
    <x v="9"/>
    <x v="0"/>
    <n v="3915769"/>
    <s v="Crédito"/>
    <n v="720459"/>
    <x v="313"/>
    <x v="4"/>
    <x v="0"/>
    <n v="63906"/>
    <n v="15063906"/>
  </r>
  <r>
    <x v="1405"/>
    <x v="5"/>
    <x v="3"/>
    <n v="42330061"/>
    <s v="Transferencia"/>
    <n v="6118137"/>
    <x v="89"/>
    <x v="7"/>
    <x v="1"/>
    <n v="724238"/>
    <n v="15724238"/>
  </r>
  <r>
    <x v="1406"/>
    <x v="6"/>
    <x v="4"/>
    <n v="35438494"/>
    <s v="Efectivo"/>
    <n v="5699349"/>
    <x v="148"/>
    <x v="5"/>
    <x v="1"/>
    <n v="594783"/>
    <n v="15594783"/>
  </r>
  <r>
    <x v="1407"/>
    <x v="9"/>
    <x v="0"/>
    <n v="14195099"/>
    <s v="Efectivo"/>
    <n v="1431255"/>
    <x v="53"/>
    <x v="7"/>
    <x v="4"/>
    <n v="255277"/>
    <n v="15255277"/>
  </r>
  <r>
    <x v="1408"/>
    <x v="1"/>
    <x v="2"/>
    <n v="8444919"/>
    <s v="Efectivo"/>
    <n v="54672"/>
    <x v="218"/>
    <x v="0"/>
    <x v="5"/>
    <n v="167805"/>
    <n v="15167805"/>
  </r>
  <r>
    <x v="1409"/>
    <x v="0"/>
    <x v="0"/>
    <n v="3088208"/>
    <s v="Efectivo"/>
    <n v="7461715"/>
    <x v="363"/>
    <x v="3"/>
    <x v="3"/>
    <n v="468407"/>
    <n v="15468407"/>
  </r>
  <r>
    <x v="1410"/>
    <x v="3"/>
    <x v="3"/>
    <n v="18896554"/>
    <s v="Transferencia"/>
    <n v="1170198"/>
    <x v="171"/>
    <x v="4"/>
    <x v="4"/>
    <n v="354527"/>
    <n v="15354527"/>
  </r>
  <r>
    <x v="1411"/>
    <x v="7"/>
    <x v="2"/>
    <n v="9863098"/>
    <s v="Transferencia"/>
    <n v="1391747"/>
    <x v="285"/>
    <x v="6"/>
    <x v="0"/>
    <n v="169427"/>
    <n v="15169427"/>
  </r>
  <r>
    <x v="1412"/>
    <x v="2"/>
    <x v="2"/>
    <n v="31601403"/>
    <s v="Transferencia"/>
    <n v="7682933"/>
    <x v="341"/>
    <x v="8"/>
    <x v="2"/>
    <n v="478369"/>
    <n v="15478369"/>
  </r>
  <r>
    <x v="1413"/>
    <x v="9"/>
    <x v="3"/>
    <n v="7846377"/>
    <s v="Crédito"/>
    <n v="378254"/>
    <x v="212"/>
    <x v="0"/>
    <x v="0"/>
    <n v="149362"/>
    <n v="15149362"/>
  </r>
  <r>
    <x v="1414"/>
    <x v="1"/>
    <x v="0"/>
    <n v="17433743"/>
    <s v="Efectivo"/>
    <n v="1425921"/>
    <x v="163"/>
    <x v="8"/>
    <x v="1"/>
    <n v="320156"/>
    <n v="15320156"/>
  </r>
  <r>
    <x v="1415"/>
    <x v="4"/>
    <x v="0"/>
    <n v="28639402"/>
    <s v="Transferencia"/>
    <n v="5448839"/>
    <x v="89"/>
    <x v="5"/>
    <x v="4"/>
    <n v="463811"/>
    <n v="15463811"/>
  </r>
  <r>
    <x v="1416"/>
    <x v="2"/>
    <x v="0"/>
    <n v="48264535"/>
    <s v="Efectivo"/>
    <n v="10287947"/>
    <x v="338"/>
    <x v="3"/>
    <x v="2"/>
    <n v="759532"/>
    <n v="15759532"/>
  </r>
  <r>
    <x v="1417"/>
    <x v="1"/>
    <x v="3"/>
    <n v="11595333"/>
    <s v="Transferencia"/>
    <n v="922952"/>
    <x v="210"/>
    <x v="5"/>
    <x v="3"/>
    <n v="213448"/>
    <n v="15213448"/>
  </r>
  <r>
    <x v="1418"/>
    <x v="1"/>
    <x v="1"/>
    <n v="4124371"/>
    <s v="Transferencia"/>
    <n v="396493"/>
    <x v="292"/>
    <x v="0"/>
    <x v="3"/>
    <n v="74558"/>
    <n v="15074558"/>
  </r>
  <r>
    <x v="1419"/>
    <x v="8"/>
    <x v="2"/>
    <n v="9890593"/>
    <s v="Crédito"/>
    <n v="338817"/>
    <x v="245"/>
    <x v="6"/>
    <x v="2"/>
    <n v="191036"/>
    <n v="15191036"/>
  </r>
  <r>
    <x v="1420"/>
    <x v="0"/>
    <x v="4"/>
    <n v="43156296"/>
    <s v="Efectivo"/>
    <n v="748802"/>
    <x v="287"/>
    <x v="2"/>
    <x v="2"/>
    <n v="713366"/>
    <n v="15713366"/>
  </r>
  <r>
    <x v="1421"/>
    <x v="1"/>
    <x v="4"/>
    <n v="5413192"/>
    <s v="Transferencia"/>
    <n v="512459"/>
    <x v="223"/>
    <x v="2"/>
    <x v="1"/>
    <n v="98015"/>
    <n v="15098015"/>
  </r>
  <r>
    <x v="1422"/>
    <x v="1"/>
    <x v="2"/>
    <n v="21285231"/>
    <s v="Transferencia"/>
    <n v="503103"/>
    <x v="12"/>
    <x v="5"/>
    <x v="4"/>
    <n v="325084"/>
    <n v="15325084"/>
  </r>
  <r>
    <x v="1423"/>
    <x v="6"/>
    <x v="3"/>
    <n v="3978887"/>
    <s v="Efectivo"/>
    <n v="109853"/>
    <x v="40"/>
    <x v="4"/>
    <x v="3"/>
    <n v="77381"/>
    <n v="15077381"/>
  </r>
  <r>
    <x v="1424"/>
    <x v="1"/>
    <x v="2"/>
    <n v="40687253"/>
    <s v="Transferencia"/>
    <n v="6813712"/>
    <x v="89"/>
    <x v="3"/>
    <x v="4"/>
    <n v="677471"/>
    <n v="15677471"/>
  </r>
  <r>
    <x v="1425"/>
    <x v="7"/>
    <x v="0"/>
    <n v="6269359"/>
    <s v="Crédito"/>
    <n v="113111"/>
    <x v="177"/>
    <x v="9"/>
    <x v="3"/>
    <n v="102765"/>
    <n v="15102765"/>
  </r>
  <r>
    <x v="1426"/>
    <x v="2"/>
    <x v="0"/>
    <n v="8691719"/>
    <s v="Transferencia"/>
    <n v="581783"/>
    <x v="102"/>
    <x v="8"/>
    <x v="2"/>
    <n v="162199"/>
    <n v="15162199"/>
  </r>
  <r>
    <x v="1427"/>
    <x v="8"/>
    <x v="2"/>
    <n v="6525192"/>
    <s v="Transferencia"/>
    <n v="962831"/>
    <x v="360"/>
    <x v="6"/>
    <x v="3"/>
    <n v="111247"/>
    <n v="15111247"/>
  </r>
  <r>
    <x v="1428"/>
    <x v="4"/>
    <x v="2"/>
    <n v="44373577"/>
    <s v="Efectivo"/>
    <n v="9335592"/>
    <x v="333"/>
    <x v="9"/>
    <x v="3"/>
    <n v="70076"/>
    <n v="1570076"/>
  </r>
  <r>
    <x v="1429"/>
    <x v="4"/>
    <x v="4"/>
    <n v="36664863"/>
    <s v="Crédito"/>
    <n v="2023834"/>
    <x v="95"/>
    <x v="8"/>
    <x v="5"/>
    <n v="692821"/>
    <n v="15692821"/>
  </r>
  <r>
    <x v="1430"/>
    <x v="9"/>
    <x v="1"/>
    <n v="49254244"/>
    <s v="Crédito"/>
    <n v="10282807"/>
    <x v="272"/>
    <x v="5"/>
    <x v="4"/>
    <n v="779429"/>
    <n v="15779429"/>
  </r>
  <r>
    <x v="1431"/>
    <x v="7"/>
    <x v="2"/>
    <n v="33335495"/>
    <s v="Transferencia"/>
    <n v="749299"/>
    <x v="363"/>
    <x v="4"/>
    <x v="3"/>
    <n v="51685"/>
    <n v="1551685"/>
  </r>
  <r>
    <x v="1432"/>
    <x v="5"/>
    <x v="0"/>
    <n v="6543227"/>
    <s v="Crédito"/>
    <n v="1393533"/>
    <x v="40"/>
    <x v="0"/>
    <x v="5"/>
    <n v="102994"/>
    <n v="15102994"/>
  </r>
  <r>
    <x v="1433"/>
    <x v="8"/>
    <x v="2"/>
    <n v="20422948"/>
    <s v="Transferencia"/>
    <n v="2276206"/>
    <x v="8"/>
    <x v="7"/>
    <x v="1"/>
    <n v="362935"/>
    <n v="15362935"/>
  </r>
  <r>
    <x v="1434"/>
    <x v="5"/>
    <x v="1"/>
    <n v="45198237"/>
    <s v="Crédito"/>
    <n v="520082"/>
    <x v="357"/>
    <x v="7"/>
    <x v="5"/>
    <n v="799948"/>
    <n v="15799948"/>
  </r>
  <r>
    <x v="1435"/>
    <x v="5"/>
    <x v="0"/>
    <n v="26285564"/>
    <s v="Efectivo"/>
    <n v="6287263"/>
    <x v="114"/>
    <x v="6"/>
    <x v="1"/>
    <n v="399966"/>
    <n v="15399966"/>
  </r>
  <r>
    <x v="1436"/>
    <x v="0"/>
    <x v="4"/>
    <n v="10975243"/>
    <s v="Transferencia"/>
    <n v="937966"/>
    <x v="152"/>
    <x v="2"/>
    <x v="4"/>
    <n v="200746"/>
    <n v="15200746"/>
  </r>
  <r>
    <x v="1437"/>
    <x v="5"/>
    <x v="0"/>
    <n v="36704315"/>
    <s v="Crédito"/>
    <n v="8275768"/>
    <x v="141"/>
    <x v="5"/>
    <x v="4"/>
    <n v="568571"/>
    <n v="15568571"/>
  </r>
  <r>
    <x v="1438"/>
    <x v="3"/>
    <x v="2"/>
    <n v="1917829"/>
    <s v="Transferencia"/>
    <n v="698061"/>
    <x v="218"/>
    <x v="8"/>
    <x v="4"/>
    <n v="369605"/>
    <n v="15369605"/>
  </r>
  <r>
    <x v="1439"/>
    <x v="4"/>
    <x v="2"/>
    <n v="47189985"/>
    <s v="Transferencia"/>
    <n v="2215853"/>
    <x v="298"/>
    <x v="6"/>
    <x v="4"/>
    <n v="899483"/>
    <n v="15899483"/>
  </r>
  <r>
    <x v="1440"/>
    <x v="7"/>
    <x v="0"/>
    <n v="47845251"/>
    <s v="Crédito"/>
    <n v="8931267"/>
    <x v="212"/>
    <x v="0"/>
    <x v="3"/>
    <n v="77828"/>
    <n v="1577828"/>
  </r>
  <r>
    <x v="1441"/>
    <x v="5"/>
    <x v="2"/>
    <n v="42346011"/>
    <s v="Efectivo"/>
    <n v="5176472"/>
    <x v="98"/>
    <x v="6"/>
    <x v="2"/>
    <n v="743391"/>
    <n v="15743391"/>
  </r>
  <r>
    <x v="1442"/>
    <x v="3"/>
    <x v="3"/>
    <n v="2236454"/>
    <s v="Efectivo"/>
    <n v="8561"/>
    <x v="336"/>
    <x v="8"/>
    <x v="2"/>
    <n v="43017"/>
    <n v="15043017"/>
  </r>
  <r>
    <x v="1443"/>
    <x v="1"/>
    <x v="1"/>
    <n v="5221835"/>
    <s v="Efectivo"/>
    <n v="191981"/>
    <x v="361"/>
    <x v="6"/>
    <x v="3"/>
    <n v="100597"/>
    <n v="15100597"/>
  </r>
  <r>
    <x v="1444"/>
    <x v="4"/>
    <x v="3"/>
    <n v="26211529"/>
    <s v="Transferencia"/>
    <n v="2763649"/>
    <x v="225"/>
    <x v="5"/>
    <x v="1"/>
    <n v="468958"/>
    <n v="15468958"/>
  </r>
  <r>
    <x v="1445"/>
    <x v="2"/>
    <x v="4"/>
    <n v="4133076"/>
    <s v="Crédito"/>
    <n v="3144613"/>
    <x v="225"/>
    <x v="8"/>
    <x v="4"/>
    <n v="763723"/>
    <n v="15763723"/>
  </r>
  <r>
    <x v="1446"/>
    <x v="6"/>
    <x v="2"/>
    <n v="22982569"/>
    <s v="Efectivo"/>
    <n v="2992822"/>
    <x v="349"/>
    <x v="8"/>
    <x v="2"/>
    <n v="399795"/>
    <n v="15399795"/>
  </r>
  <r>
    <x v="1447"/>
    <x v="4"/>
    <x v="2"/>
    <n v="43970549"/>
    <s v="Transferencia"/>
    <n v="1258804"/>
    <x v="64"/>
    <x v="5"/>
    <x v="4"/>
    <n v="854235"/>
    <n v="15854235"/>
  </r>
  <r>
    <x v="1448"/>
    <x v="3"/>
    <x v="0"/>
    <n v="41499155"/>
    <s v="Crédito"/>
    <n v="7094953"/>
    <x v="245"/>
    <x v="3"/>
    <x v="3"/>
    <n v="688084"/>
    <n v="15688084"/>
  </r>
  <r>
    <x v="1449"/>
    <x v="4"/>
    <x v="4"/>
    <n v="41122352"/>
    <s v="Efectivo"/>
    <n v="6348375"/>
    <x v="334"/>
    <x v="8"/>
    <x v="5"/>
    <n v="69548"/>
    <n v="1569548"/>
  </r>
  <r>
    <x v="1450"/>
    <x v="3"/>
    <x v="1"/>
    <n v="40330647"/>
    <s v="Efectivo"/>
    <n v="8311803"/>
    <x v="257"/>
    <x v="8"/>
    <x v="2"/>
    <n v="640377"/>
    <n v="15640377"/>
  </r>
  <r>
    <x v="1451"/>
    <x v="7"/>
    <x v="4"/>
    <n v="21350991"/>
    <s v="Transferencia"/>
    <n v="162175"/>
    <x v="121"/>
    <x v="4"/>
    <x v="0"/>
    <n v="394585"/>
    <n v="15394585"/>
  </r>
  <r>
    <x v="1452"/>
    <x v="6"/>
    <x v="0"/>
    <n v="27928044"/>
    <s v="Transferencia"/>
    <n v="5600159"/>
    <x v="297"/>
    <x v="9"/>
    <x v="0"/>
    <n v="446558"/>
    <n v="15446558"/>
  </r>
  <r>
    <x v="1453"/>
    <x v="9"/>
    <x v="0"/>
    <n v="41562784"/>
    <s v="Efectivo"/>
    <n v="4901932"/>
    <x v="228"/>
    <x v="1"/>
    <x v="1"/>
    <n v="733217"/>
    <n v="15733217"/>
  </r>
  <r>
    <x v="1454"/>
    <x v="3"/>
    <x v="2"/>
    <n v="40624612"/>
    <s v="Efectivo"/>
    <n v="9340615"/>
    <x v="194"/>
    <x v="0"/>
    <x v="2"/>
    <n v="62568"/>
    <n v="1562568"/>
  </r>
  <r>
    <x v="1455"/>
    <x v="1"/>
    <x v="4"/>
    <n v="16563538"/>
    <s v="Crédito"/>
    <n v="365698"/>
    <x v="338"/>
    <x v="2"/>
    <x v="1"/>
    <n v="323957"/>
    <n v="15323957"/>
  </r>
  <r>
    <x v="1456"/>
    <x v="8"/>
    <x v="4"/>
    <n v="2002245"/>
    <s v="Efectivo"/>
    <n v="491111"/>
    <x v="219"/>
    <x v="8"/>
    <x v="4"/>
    <n v="30223"/>
    <n v="15030223"/>
  </r>
  <r>
    <x v="1457"/>
    <x v="1"/>
    <x v="3"/>
    <n v="26935703"/>
    <s v="Crédito"/>
    <n v="5012905"/>
    <x v="59"/>
    <x v="4"/>
    <x v="2"/>
    <n v="438456"/>
    <n v="15438456"/>
  </r>
  <r>
    <x v="1458"/>
    <x v="0"/>
    <x v="3"/>
    <n v="38976623"/>
    <s v="Efectivo"/>
    <n v="8765514"/>
    <x v="71"/>
    <x v="2"/>
    <x v="5"/>
    <n v="604222"/>
    <n v="15604222"/>
  </r>
  <r>
    <x v="1459"/>
    <x v="5"/>
    <x v="1"/>
    <n v="2029591"/>
    <s v="Transferencia"/>
    <n v="422127"/>
    <x v="54"/>
    <x v="6"/>
    <x v="0"/>
    <n v="397476"/>
    <n v="15397476"/>
  </r>
  <r>
    <x v="1460"/>
    <x v="7"/>
    <x v="3"/>
    <n v="15250485"/>
    <s v="Crédito"/>
    <n v="229130"/>
    <x v="85"/>
    <x v="5"/>
    <x v="1"/>
    <n v="259184"/>
    <n v="15259184"/>
  </r>
  <r>
    <x v="1461"/>
    <x v="5"/>
    <x v="0"/>
    <n v="2610257"/>
    <s v="Transferencia"/>
    <n v="3155174"/>
    <x v="309"/>
    <x v="4"/>
    <x v="3"/>
    <n v="458948"/>
    <n v="15458948"/>
  </r>
  <r>
    <x v="1462"/>
    <x v="1"/>
    <x v="0"/>
    <n v="2043321"/>
    <s v="Crédito"/>
    <n v="2069055"/>
    <x v="21"/>
    <x v="8"/>
    <x v="4"/>
    <n v="367283"/>
    <n v="15367283"/>
  </r>
  <r>
    <x v="1463"/>
    <x v="2"/>
    <x v="0"/>
    <n v="8396696"/>
    <s v="Efectivo"/>
    <n v="25898"/>
    <x v="118"/>
    <x v="9"/>
    <x v="4"/>
    <n v="162754"/>
    <n v="15162754"/>
  </r>
  <r>
    <x v="1464"/>
    <x v="7"/>
    <x v="0"/>
    <n v="10716045"/>
    <s v="Efectivo"/>
    <n v="283077"/>
    <x v="70"/>
    <x v="9"/>
    <x v="0"/>
    <n v="208659"/>
    <n v="15208659"/>
  </r>
  <r>
    <x v="1465"/>
    <x v="0"/>
    <x v="0"/>
    <n v="21733255"/>
    <s v="Crédito"/>
    <n v="66758"/>
    <x v="113"/>
    <x v="7"/>
    <x v="1"/>
    <n v="421314"/>
    <n v="15421314"/>
  </r>
  <r>
    <x v="1466"/>
    <x v="4"/>
    <x v="2"/>
    <n v="2797862"/>
    <s v="Efectivo"/>
    <n v="6357127"/>
    <x v="128"/>
    <x v="5"/>
    <x v="0"/>
    <n v="43243"/>
    <n v="1543243"/>
  </r>
  <r>
    <x v="1467"/>
    <x v="3"/>
    <x v="4"/>
    <n v="15058882"/>
    <s v="Crédito"/>
    <n v="196640"/>
    <x v="92"/>
    <x v="6"/>
    <x v="0"/>
    <n v="26185"/>
    <n v="1526185"/>
  </r>
  <r>
    <x v="1468"/>
    <x v="6"/>
    <x v="0"/>
    <n v="37392505"/>
    <s v="Efectivo"/>
    <n v="1151655"/>
    <x v="331"/>
    <x v="5"/>
    <x v="3"/>
    <n v="724817"/>
    <n v="15724817"/>
  </r>
  <r>
    <x v="1469"/>
    <x v="9"/>
    <x v="4"/>
    <n v="32923989"/>
    <s v="Crédito"/>
    <n v="579485"/>
    <x v="186"/>
    <x v="7"/>
    <x v="1"/>
    <n v="64689"/>
    <n v="1564689"/>
  </r>
  <r>
    <x v="1470"/>
    <x v="9"/>
    <x v="4"/>
    <n v="14111279"/>
    <s v="Efectivo"/>
    <n v="2538649"/>
    <x v="32"/>
    <x v="7"/>
    <x v="5"/>
    <n v="231453"/>
    <n v="15231453"/>
  </r>
  <r>
    <x v="1471"/>
    <x v="1"/>
    <x v="0"/>
    <n v="43064908"/>
    <s v="Transferencia"/>
    <n v="6559822"/>
    <x v="227"/>
    <x v="9"/>
    <x v="0"/>
    <n v="730102"/>
    <n v="15730102"/>
  </r>
  <r>
    <x v="1472"/>
    <x v="4"/>
    <x v="3"/>
    <n v="31683428"/>
    <s v="Efectivo"/>
    <n v="1219503"/>
    <x v="275"/>
    <x v="6"/>
    <x v="2"/>
    <n v="609278"/>
    <n v="15609278"/>
  </r>
  <r>
    <x v="1473"/>
    <x v="5"/>
    <x v="1"/>
    <n v="32665525"/>
    <s v="Crédito"/>
    <n v="2623743"/>
    <x v="92"/>
    <x v="9"/>
    <x v="4"/>
    <n v="600836"/>
    <n v="15600836"/>
  </r>
  <r>
    <x v="1474"/>
    <x v="6"/>
    <x v="4"/>
    <n v="43135251"/>
    <s v="Transferencia"/>
    <n v="4956317"/>
    <x v="126"/>
    <x v="6"/>
    <x v="2"/>
    <n v="763579"/>
    <n v="15763579"/>
  </r>
  <r>
    <x v="1475"/>
    <x v="2"/>
    <x v="4"/>
    <n v="21997052"/>
    <s v="Efectivo"/>
    <n v="4978936"/>
    <x v="18"/>
    <x v="4"/>
    <x v="1"/>
    <n v="340362"/>
    <n v="15340362"/>
  </r>
  <r>
    <x v="1476"/>
    <x v="8"/>
    <x v="2"/>
    <n v="17244752"/>
    <s v="Efectivo"/>
    <n v="1352169"/>
    <x v="84"/>
    <x v="5"/>
    <x v="0"/>
    <n v="317852"/>
    <n v="15317852"/>
  </r>
  <r>
    <x v="1477"/>
    <x v="4"/>
    <x v="2"/>
    <n v="11034401"/>
    <s v="Crédito"/>
    <n v="1990327"/>
    <x v="289"/>
    <x v="1"/>
    <x v="4"/>
    <n v="180881"/>
    <n v="15180881"/>
  </r>
  <r>
    <x v="1478"/>
    <x v="7"/>
    <x v="2"/>
    <n v="20135664"/>
    <s v="Efectivo"/>
    <n v="160704"/>
    <x v="196"/>
    <x v="9"/>
    <x v="2"/>
    <n v="370572"/>
    <n v="15370572"/>
  </r>
  <r>
    <x v="1479"/>
    <x v="9"/>
    <x v="1"/>
    <n v="6735355"/>
    <s v="Efectivo"/>
    <n v="10680"/>
    <x v="95"/>
    <x v="2"/>
    <x v="5"/>
    <n v="132571"/>
    <n v="15132571"/>
  </r>
  <r>
    <x v="1480"/>
    <x v="8"/>
    <x v="0"/>
    <n v="4314014"/>
    <s v="Efectivo"/>
    <n v="9190167"/>
    <x v="217"/>
    <x v="5"/>
    <x v="3"/>
    <n v="678999"/>
    <n v="15678999"/>
  </r>
  <r>
    <x v="1481"/>
    <x v="5"/>
    <x v="2"/>
    <n v="5682831"/>
    <s v="Crédito"/>
    <n v="388888"/>
    <x v="11"/>
    <x v="2"/>
    <x v="5"/>
    <n v="105879"/>
    <n v="15105879"/>
  </r>
  <r>
    <x v="1482"/>
    <x v="1"/>
    <x v="0"/>
    <n v="24254272"/>
    <s v="Crédito"/>
    <n v="4278841"/>
    <x v="315"/>
    <x v="1"/>
    <x v="5"/>
    <n v="399509"/>
    <n v="15399509"/>
  </r>
  <r>
    <x v="1483"/>
    <x v="2"/>
    <x v="2"/>
    <n v="22475736"/>
    <s v="Transferencia"/>
    <n v="5190815"/>
    <x v="27"/>
    <x v="6"/>
    <x v="5"/>
    <n v="345698"/>
    <n v="15345698"/>
  </r>
  <r>
    <x v="1484"/>
    <x v="8"/>
    <x v="0"/>
    <n v="41004745"/>
    <s v="Crédito"/>
    <n v="4116744"/>
    <x v="25"/>
    <x v="3"/>
    <x v="2"/>
    <n v="73776"/>
    <n v="1573776"/>
  </r>
  <r>
    <x v="1485"/>
    <x v="6"/>
    <x v="1"/>
    <n v="44355736"/>
    <s v="Transferencia"/>
    <n v="55414"/>
    <x v="151"/>
    <x v="4"/>
    <x v="2"/>
    <n v="876032"/>
    <n v="15876032"/>
  </r>
  <r>
    <x v="1486"/>
    <x v="6"/>
    <x v="2"/>
    <n v="19520788"/>
    <s v="Transferencia"/>
    <n v="2997507"/>
    <x v="226"/>
    <x v="5"/>
    <x v="2"/>
    <n v="330466"/>
    <n v="15330466"/>
  </r>
  <r>
    <x v="1487"/>
    <x v="3"/>
    <x v="3"/>
    <n v="151144"/>
    <s v="Crédito"/>
    <n v="101936"/>
    <x v="270"/>
    <x v="5"/>
    <x v="3"/>
    <n v="2819"/>
    <n v="1502819"/>
  </r>
  <r>
    <x v="1488"/>
    <x v="9"/>
    <x v="0"/>
    <n v="49410581"/>
    <s v="Crédito"/>
    <n v="1130546"/>
    <x v="209"/>
    <x v="7"/>
    <x v="0"/>
    <n v="762102"/>
    <n v="15762102"/>
  </r>
  <r>
    <x v="1489"/>
    <x v="0"/>
    <x v="0"/>
    <n v="42898803"/>
    <s v="Efectivo"/>
    <n v="6683486"/>
    <x v="313"/>
    <x v="4"/>
    <x v="2"/>
    <n v="724306"/>
    <n v="15724306"/>
  </r>
  <r>
    <x v="1490"/>
    <x v="7"/>
    <x v="2"/>
    <n v="811502"/>
    <s v="Transferencia"/>
    <n v="54492"/>
    <x v="155"/>
    <x v="4"/>
    <x v="2"/>
    <n v="151402"/>
    <n v="15151402"/>
  </r>
  <r>
    <x v="1491"/>
    <x v="2"/>
    <x v="4"/>
    <n v="47447637"/>
    <s v="Crédito"/>
    <n v="363862"/>
    <x v="342"/>
    <x v="7"/>
    <x v="4"/>
    <n v="87618"/>
    <n v="1587618"/>
  </r>
  <r>
    <x v="1492"/>
    <x v="4"/>
    <x v="1"/>
    <n v="3467096"/>
    <s v="Crédito"/>
    <n v="76101"/>
    <x v="139"/>
    <x v="5"/>
    <x v="0"/>
    <n v="54122"/>
    <n v="15054122"/>
  </r>
  <r>
    <x v="1493"/>
    <x v="1"/>
    <x v="4"/>
    <n v="28663309"/>
    <s v="Crédito"/>
    <n v="1164534"/>
    <x v="64"/>
    <x v="3"/>
    <x v="5"/>
    <n v="549976"/>
    <n v="15549976"/>
  </r>
  <r>
    <x v="1494"/>
    <x v="2"/>
    <x v="3"/>
    <n v="21133509"/>
    <s v="Crédito"/>
    <n v="3431338"/>
    <x v="132"/>
    <x v="8"/>
    <x v="1"/>
    <n v="354043"/>
    <n v="15354043"/>
  </r>
  <r>
    <x v="1495"/>
    <x v="0"/>
    <x v="4"/>
    <n v="13141336"/>
    <s v="Transferencia"/>
    <n v="717116"/>
    <x v="89"/>
    <x v="6"/>
    <x v="5"/>
    <n v="248484"/>
    <n v="15248484"/>
  </r>
  <r>
    <x v="1496"/>
    <x v="0"/>
    <x v="3"/>
    <n v="2029324"/>
    <s v="Efectivo"/>
    <n v="4364439"/>
    <x v="147"/>
    <x v="8"/>
    <x v="3"/>
    <n v="318576"/>
    <n v="1531857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FA4FEE-D975-4050-B288-2216AAD19F6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E5:F16" firstHeaderRow="1" firstDataRow="1" firstDataCol="1"/>
  <pivotFields count="14">
    <pivotField showAll="0"/>
    <pivotField axis="axisRow" showAll="0">
      <items count="11">
        <item x="9"/>
        <item x="6"/>
        <item x="4"/>
        <item x="5"/>
        <item x="0"/>
        <item x="3"/>
        <item x="7"/>
        <item x="1"/>
        <item x="2"/>
        <item x="8"/>
        <item t="default"/>
      </items>
    </pivotField>
    <pivotField dataField="1" numFmtId="3" showAll="0"/>
    <pivotField numFmtId="164" showAll="0"/>
    <pivotField showAll="0"/>
    <pivotField numFmtId="164" showAll="0"/>
    <pivotField numFmtId="14" showAll="0">
      <items count="365">
        <item x="147"/>
        <item x="168"/>
        <item x="329"/>
        <item x="333"/>
        <item x="166"/>
        <item x="72"/>
        <item x="141"/>
        <item x="256"/>
        <item x="262"/>
        <item x="214"/>
        <item x="9"/>
        <item x="207"/>
        <item x="233"/>
        <item x="35"/>
        <item x="103"/>
        <item x="320"/>
        <item x="201"/>
        <item x="319"/>
        <item x="130"/>
        <item x="10"/>
        <item x="222"/>
        <item x="102"/>
        <item x="157"/>
        <item x="53"/>
        <item x="12"/>
        <item x="71"/>
        <item x="121"/>
        <item x="40"/>
        <item x="97"/>
        <item x="181"/>
        <item x="146"/>
        <item x="242"/>
        <item x="7"/>
        <item x="67"/>
        <item x="128"/>
        <item x="271"/>
        <item x="55"/>
        <item x="209"/>
        <item x="230"/>
        <item x="361"/>
        <item x="57"/>
        <item x="272"/>
        <item x="79"/>
        <item x="160"/>
        <item x="312"/>
        <item x="274"/>
        <item x="123"/>
        <item x="355"/>
        <item x="21"/>
        <item x="330"/>
        <item x="94"/>
        <item x="278"/>
        <item x="110"/>
        <item x="246"/>
        <item x="83"/>
        <item x="125"/>
        <item x="200"/>
        <item x="95"/>
        <item x="255"/>
        <item x="331"/>
        <item x="47"/>
        <item x="296"/>
        <item x="243"/>
        <item x="191"/>
        <item x="293"/>
        <item x="267"/>
        <item x="17"/>
        <item x="237"/>
        <item x="197"/>
        <item x="107"/>
        <item x="240"/>
        <item x="229"/>
        <item x="210"/>
        <item x="286"/>
        <item x="45"/>
        <item x="176"/>
        <item x="38"/>
        <item x="24"/>
        <item x="236"/>
        <item x="346"/>
        <item x="174"/>
        <item x="249"/>
        <item x="257"/>
        <item x="31"/>
        <item x="165"/>
        <item x="335"/>
        <item x="260"/>
        <item x="100"/>
        <item x="88"/>
        <item x="193"/>
        <item x="118"/>
        <item x="155"/>
        <item x="101"/>
        <item x="269"/>
        <item x="61"/>
        <item x="112"/>
        <item x="162"/>
        <item x="220"/>
        <item x="51"/>
        <item x="238"/>
        <item x="117"/>
        <item x="91"/>
        <item x="98"/>
        <item x="75"/>
        <item x="185"/>
        <item x="127"/>
        <item x="158"/>
        <item x="179"/>
        <item x="153"/>
        <item x="68"/>
        <item x="239"/>
        <item x="341"/>
        <item x="111"/>
        <item x="74"/>
        <item x="145"/>
        <item x="142"/>
        <item x="183"/>
        <item x="19"/>
        <item x="23"/>
        <item x="224"/>
        <item x="292"/>
        <item x="82"/>
        <item x="218"/>
        <item x="85"/>
        <item x="294"/>
        <item x="154"/>
        <item x="338"/>
        <item x="140"/>
        <item x="114"/>
        <item x="307"/>
        <item x="305"/>
        <item x="151"/>
        <item x="78"/>
        <item x="108"/>
        <item x="113"/>
        <item x="332"/>
        <item x="309"/>
        <item x="81"/>
        <item x="22"/>
        <item x="337"/>
        <item x="0"/>
        <item x="253"/>
        <item x="59"/>
        <item x="144"/>
        <item x="175"/>
        <item x="134"/>
        <item x="148"/>
        <item x="189"/>
        <item x="211"/>
        <item x="96"/>
        <item x="36"/>
        <item x="198"/>
        <item x="334"/>
        <item x="254"/>
        <item x="321"/>
        <item x="119"/>
        <item x="285"/>
        <item x="276"/>
        <item x="150"/>
        <item x="290"/>
        <item x="133"/>
        <item x="190"/>
        <item x="339"/>
        <item x="50"/>
        <item x="226"/>
        <item x="109"/>
        <item x="288"/>
        <item x="205"/>
        <item x="20"/>
        <item x="138"/>
        <item x="129"/>
        <item x="192"/>
        <item x="289"/>
        <item x="32"/>
        <item x="93"/>
        <item x="167"/>
        <item x="27"/>
        <item x="360"/>
        <item x="76"/>
        <item x="18"/>
        <item x="187"/>
        <item x="39"/>
        <item x="178"/>
        <item x="177"/>
        <item x="161"/>
        <item x="277"/>
        <item x="64"/>
        <item x="350"/>
        <item x="42"/>
        <item x="308"/>
        <item x="182"/>
        <item x="351"/>
        <item x="306"/>
        <item x="4"/>
        <item x="325"/>
        <item x="62"/>
        <item x="245"/>
        <item x="196"/>
        <item x="287"/>
        <item x="33"/>
        <item x="349"/>
        <item x="11"/>
        <item x="106"/>
        <item x="304"/>
        <item x="152"/>
        <item x="143"/>
        <item x="87"/>
        <item x="265"/>
        <item x="199"/>
        <item x="216"/>
        <item x="298"/>
        <item x="131"/>
        <item x="8"/>
        <item x="326"/>
        <item x="137"/>
        <item x="291"/>
        <item x="34"/>
        <item x="343"/>
        <item x="318"/>
        <item x="86"/>
        <item x="52"/>
        <item x="299"/>
        <item x="139"/>
        <item x="44"/>
        <item x="56"/>
        <item x="248"/>
        <item x="3"/>
        <item x="208"/>
        <item x="173"/>
        <item x="324"/>
        <item x="43"/>
        <item x="172"/>
        <item x="261"/>
        <item x="302"/>
        <item x="6"/>
        <item x="344"/>
        <item x="345"/>
        <item x="251"/>
        <item x="46"/>
        <item x="184"/>
        <item x="357"/>
        <item x="26"/>
        <item x="126"/>
        <item x="48"/>
        <item x="37"/>
        <item x="217"/>
        <item x="280"/>
        <item x="225"/>
        <item x="99"/>
        <item x="49"/>
        <item x="340"/>
        <item x="169"/>
        <item x="164"/>
        <item x="363"/>
        <item x="317"/>
        <item x="29"/>
        <item x="258"/>
        <item x="120"/>
        <item x="180"/>
        <item x="203"/>
        <item x="275"/>
        <item x="297"/>
        <item x="315"/>
        <item x="124"/>
        <item x="295"/>
        <item x="188"/>
        <item x="352"/>
        <item x="310"/>
        <item x="5"/>
        <item x="202"/>
        <item x="104"/>
        <item x="283"/>
        <item x="195"/>
        <item x="58"/>
        <item x="13"/>
        <item x="322"/>
        <item x="301"/>
        <item x="359"/>
        <item x="63"/>
        <item x="65"/>
        <item x="60"/>
        <item x="241"/>
        <item x="273"/>
        <item x="77"/>
        <item x="231"/>
        <item x="2"/>
        <item x="204"/>
        <item x="223"/>
        <item x="221"/>
        <item x="268"/>
        <item x="244"/>
        <item x="300"/>
        <item x="235"/>
        <item x="149"/>
        <item x="247"/>
        <item x="284"/>
        <item x="15"/>
        <item x="358"/>
        <item x="232"/>
        <item x="90"/>
        <item x="311"/>
        <item x="206"/>
        <item x="327"/>
        <item x="213"/>
        <item x="135"/>
        <item x="252"/>
        <item x="279"/>
        <item x="92"/>
        <item x="73"/>
        <item x="171"/>
        <item x="353"/>
        <item x="250"/>
        <item x="228"/>
        <item x="41"/>
        <item x="266"/>
        <item x="70"/>
        <item x="303"/>
        <item x="282"/>
        <item x="156"/>
        <item x="234"/>
        <item x="219"/>
        <item x="66"/>
        <item x="348"/>
        <item x="270"/>
        <item x="259"/>
        <item x="54"/>
        <item x="170"/>
        <item x="89"/>
        <item x="80"/>
        <item x="342"/>
        <item x="227"/>
        <item x="1"/>
        <item x="28"/>
        <item x="105"/>
        <item x="212"/>
        <item x="30"/>
        <item x="362"/>
        <item x="194"/>
        <item x="14"/>
        <item x="186"/>
        <item x="336"/>
        <item x="132"/>
        <item x="354"/>
        <item x="122"/>
        <item x="316"/>
        <item x="356"/>
        <item x="215"/>
        <item x="313"/>
        <item x="84"/>
        <item x="323"/>
        <item x="136"/>
        <item x="16"/>
        <item x="159"/>
        <item x="116"/>
        <item x="328"/>
        <item x="25"/>
        <item x="314"/>
        <item x="163"/>
        <item x="347"/>
        <item x="264"/>
        <item x="69"/>
        <item x="115"/>
        <item x="263"/>
        <item x="281"/>
        <item t="default"/>
      </items>
    </pivotField>
    <pivotField showAll="0"/>
    <pivotField showAll="0"/>
    <pivotField numFmtId="164" showAll="0"/>
    <pivotField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 sd="0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a de Cantidad" fld="2" baseField="0" baseItem="0" numFmtId="3"/>
  </dataFields>
  <chartFormats count="11"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D3A38-8EAB-4865-8DB0-94622B88A324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>
  <location ref="F27:G1525" firstHeaderRow="1" firstDataRow="1" firstDataCol="1" rowPageCount="4" colPageCount="1"/>
  <pivotFields count="14">
    <pivotField axis="axisRow" showAll="0">
      <items count="1498">
        <item x="720"/>
        <item x="1312"/>
        <item x="722"/>
        <item x="632"/>
        <item x="311"/>
        <item x="978"/>
        <item x="215"/>
        <item x="1073"/>
        <item x="1053"/>
        <item x="251"/>
        <item x="936"/>
        <item x="133"/>
        <item x="1462"/>
        <item x="806"/>
        <item x="1204"/>
        <item x="141"/>
        <item x="1099"/>
        <item x="200"/>
        <item x="216"/>
        <item x="1271"/>
        <item x="154"/>
        <item x="982"/>
        <item x="1074"/>
        <item x="1079"/>
        <item x="146"/>
        <item x="639"/>
        <item x="292"/>
        <item x="38"/>
        <item x="354"/>
        <item x="131"/>
        <item x="1223"/>
        <item x="266"/>
        <item x="794"/>
        <item x="1048"/>
        <item x="1298"/>
        <item x="1305"/>
        <item x="1157"/>
        <item x="828"/>
        <item x="298"/>
        <item x="977"/>
        <item x="821"/>
        <item x="831"/>
        <item x="667"/>
        <item x="504"/>
        <item x="1172"/>
        <item x="444"/>
        <item x="864"/>
        <item x="440"/>
        <item x="180"/>
        <item x="84"/>
        <item x="948"/>
        <item x="1438"/>
        <item x="680"/>
        <item x="1469"/>
        <item x="537"/>
        <item x="380"/>
        <item x="8"/>
        <item x="881"/>
        <item x="1154"/>
        <item x="535"/>
        <item x="48"/>
        <item x="635"/>
        <item x="1434"/>
        <item x="1044"/>
        <item x="1426"/>
        <item x="1023"/>
        <item x="770"/>
        <item x="1149"/>
        <item x="807"/>
        <item x="1242"/>
        <item x="925"/>
        <item x="528"/>
        <item x="1295"/>
        <item x="1347"/>
        <item x="890"/>
        <item x="619"/>
        <item x="606"/>
        <item x="818"/>
        <item x="14"/>
        <item x="1184"/>
        <item x="456"/>
        <item x="595"/>
        <item x="1357"/>
        <item x="1451"/>
        <item x="945"/>
        <item x="119"/>
        <item x="932"/>
        <item x="156"/>
        <item x="299"/>
        <item x="263"/>
        <item x="824"/>
        <item x="1116"/>
        <item x="915"/>
        <item x="761"/>
        <item x="419"/>
        <item x="909"/>
        <item x="83"/>
        <item x="971"/>
        <item x="817"/>
        <item x="132"/>
        <item x="403"/>
        <item x="1238"/>
        <item x="1263"/>
        <item x="184"/>
        <item x="1164"/>
        <item x="1358"/>
        <item x="820"/>
        <item x="1128"/>
        <item x="283"/>
        <item x="1228"/>
        <item x="326"/>
        <item x="691"/>
        <item x="1050"/>
        <item x="587"/>
        <item x="1311"/>
        <item x="1393"/>
        <item x="958"/>
        <item x="279"/>
        <item x="33"/>
        <item x="823"/>
        <item x="889"/>
        <item x="1114"/>
        <item x="836"/>
        <item x="64"/>
        <item x="1146"/>
        <item x="744"/>
        <item x="1009"/>
        <item x="309"/>
        <item x="1013"/>
        <item x="350"/>
        <item x="888"/>
        <item x="602"/>
        <item x="732"/>
        <item x="1179"/>
        <item x="1049"/>
        <item x="1239"/>
        <item x="1185"/>
        <item x="874"/>
        <item x="517"/>
        <item x="1237"/>
        <item x="1252"/>
        <item x="957"/>
        <item x="114"/>
        <item x="702"/>
        <item x="325"/>
        <item x="863"/>
        <item x="164"/>
        <item x="329"/>
        <item x="1325"/>
        <item x="1057"/>
        <item x="895"/>
        <item x="312"/>
        <item x="209"/>
        <item x="1392"/>
        <item x="194"/>
        <item x="463"/>
        <item x="804"/>
        <item x="1359"/>
        <item x="454"/>
        <item x="1132"/>
        <item x="1488"/>
        <item x="601"/>
        <item x="1173"/>
        <item x="389"/>
        <item x="1047"/>
        <item x="502"/>
        <item x="58"/>
        <item x="316"/>
        <item x="239"/>
        <item x="1394"/>
        <item x="162"/>
        <item x="1156"/>
        <item x="1296"/>
        <item x="142"/>
        <item x="476"/>
        <item x="255"/>
        <item x="1492"/>
        <item x="956"/>
        <item x="415"/>
        <item x="1352"/>
        <item x="1494"/>
        <item x="1377"/>
        <item x="771"/>
        <item x="1466"/>
        <item x="1234"/>
        <item x="275"/>
        <item x="726"/>
        <item x="816"/>
        <item x="126"/>
        <item x="919"/>
        <item x="371"/>
        <item x="908"/>
        <item x="1299"/>
        <item x="605"/>
        <item x="1081"/>
        <item x="75"/>
        <item x="30"/>
        <item x="755"/>
        <item x="289"/>
        <item x="1429"/>
        <item x="153"/>
        <item x="1387"/>
        <item x="707"/>
        <item x="1016"/>
        <item x="1001"/>
        <item x="799"/>
        <item x="27"/>
        <item x="97"/>
        <item x="1317"/>
        <item x="72"/>
        <item x="1046"/>
        <item x="1416"/>
        <item x="1129"/>
        <item x="334"/>
        <item x="1407"/>
        <item x="546"/>
        <item x="1332"/>
        <item x="231"/>
        <item x="621"/>
        <item x="236"/>
        <item x="1287"/>
        <item x="1141"/>
        <item x="258"/>
        <item x="423"/>
        <item x="1021"/>
        <item x="613"/>
        <item x="405"/>
        <item x="252"/>
        <item x="1035"/>
        <item x="1231"/>
        <item x="1043"/>
        <item x="774"/>
        <item x="315"/>
        <item x="1294"/>
        <item x="711"/>
        <item x="1006"/>
        <item x="695"/>
        <item x="796"/>
        <item x="571"/>
        <item x="1411"/>
        <item x="445"/>
        <item x="360"/>
        <item x="684"/>
        <item x="37"/>
        <item x="628"/>
        <item x="1089"/>
        <item x="1342"/>
        <item x="361"/>
        <item x="525"/>
        <item x="100"/>
        <item x="481"/>
        <item x="0"/>
        <item x="201"/>
        <item x="373"/>
        <item x="1496"/>
        <item x="1472"/>
        <item x="845"/>
        <item x="1159"/>
        <item x="990"/>
        <item x="500"/>
        <item x="19"/>
        <item x="1066"/>
        <item x="92"/>
        <item x="441"/>
        <item x="346"/>
        <item x="71"/>
        <item x="327"/>
        <item x="1310"/>
        <item x="1278"/>
        <item x="1167"/>
        <item x="636"/>
        <item x="687"/>
        <item x="548"/>
        <item x="296"/>
        <item x="1175"/>
        <item x="1142"/>
        <item x="899"/>
        <item x="766"/>
        <item x="557"/>
        <item x="1250"/>
        <item x="1425"/>
        <item x="253"/>
        <item x="79"/>
        <item x="1207"/>
        <item x="177"/>
        <item x="884"/>
        <item x="1390"/>
        <item x="627"/>
        <item x="17"/>
        <item x="902"/>
        <item x="867"/>
        <item x="66"/>
        <item x="723"/>
        <item x="507"/>
        <item x="616"/>
        <item x="271"/>
        <item x="1301"/>
        <item x="603"/>
        <item x="652"/>
        <item x="1372"/>
        <item x="1257"/>
        <item x="782"/>
        <item x="661"/>
        <item x="47"/>
        <item x="913"/>
        <item x="78"/>
        <item x="1083"/>
        <item x="170"/>
        <item x="261"/>
        <item x="578"/>
        <item x="145"/>
        <item x="801"/>
        <item x="67"/>
        <item x="656"/>
        <item x="1095"/>
        <item x="1439"/>
        <item x="57"/>
        <item x="143"/>
        <item x="277"/>
        <item x="229"/>
        <item x="592"/>
        <item x="355"/>
        <item x="1017"/>
        <item x="1109"/>
        <item x="1139"/>
        <item x="204"/>
        <item x="928"/>
        <item x="545"/>
        <item x="280"/>
        <item x="421"/>
        <item x="920"/>
        <item x="623"/>
        <item x="109"/>
        <item x="1293"/>
        <item x="1382"/>
        <item x="1456"/>
        <item x="2"/>
        <item x="1396"/>
        <item x="214"/>
        <item x="1127"/>
        <item x="538"/>
        <item x="760"/>
        <item x="610"/>
        <item x="1365"/>
        <item x="754"/>
        <item x="1058"/>
        <item x="822"/>
        <item x="16"/>
        <item x="618"/>
        <item x="1375"/>
        <item x="99"/>
        <item x="479"/>
        <item x="1397"/>
        <item x="207"/>
        <item x="1107"/>
        <item x="989"/>
        <item x="841"/>
        <item x="1155"/>
        <item x="743"/>
        <item x="411"/>
        <item x="340"/>
        <item x="230"/>
        <item x="965"/>
        <item x="65"/>
        <item x="762"/>
        <item x="1100"/>
        <item x="492"/>
        <item x="690"/>
        <item x="1126"/>
        <item x="1440"/>
        <item x="1418"/>
        <item x="339"/>
        <item x="698"/>
        <item x="1163"/>
        <item x="852"/>
        <item x="1010"/>
        <item x="436"/>
        <item x="795"/>
        <item x="446"/>
        <item x="226"/>
        <item x="665"/>
        <item x="611"/>
        <item x="467"/>
        <item x="103"/>
        <item x="372"/>
        <item x="1415"/>
        <item x="211"/>
        <item x="1307"/>
        <item x="643"/>
        <item x="917"/>
        <item x="1333"/>
        <item x="453"/>
        <item x="1421"/>
        <item x="323"/>
        <item x="221"/>
        <item x="202"/>
        <item x="966"/>
        <item x="1191"/>
        <item x="505"/>
        <item x="898"/>
        <item x="1031"/>
        <item x="1121"/>
        <item x="1324"/>
        <item x="1435"/>
        <item x="20"/>
        <item x="944"/>
        <item x="663"/>
        <item x="705"/>
        <item x="43"/>
        <item x="448"/>
        <item x="827"/>
        <item x="377"/>
        <item x="914"/>
        <item x="829"/>
        <item x="759"/>
        <item x="835"/>
        <item x="1147"/>
        <item x="1123"/>
        <item x="1356"/>
        <item x="77"/>
        <item x="1290"/>
        <item x="1247"/>
        <item x="333"/>
        <item x="1189"/>
        <item x="872"/>
        <item x="86"/>
        <item x="1024"/>
        <item x="1082"/>
        <item x="465"/>
        <item x="859"/>
        <item x="955"/>
        <item x="642"/>
        <item x="1138"/>
        <item x="527"/>
        <item x="365"/>
        <item x="398"/>
        <item x="658"/>
        <item x="573"/>
        <item x="1068"/>
        <item x="262"/>
        <item x="666"/>
        <item x="1002"/>
        <item x="408"/>
        <item x="1280"/>
        <item x="596"/>
        <item x="1153"/>
        <item x="1004"/>
        <item x="42"/>
        <item x="678"/>
        <item x="1232"/>
        <item x="869"/>
        <item x="304"/>
        <item x="1481"/>
        <item x="85"/>
        <item x="1085"/>
        <item x="1476"/>
        <item x="332"/>
        <item x="1378"/>
        <item x="318"/>
        <item x="295"/>
        <item x="756"/>
        <item x="946"/>
        <item x="609"/>
        <item x="1334"/>
        <item x="337"/>
        <item x="429"/>
        <item x="904"/>
        <item x="768"/>
        <item x="1106"/>
        <item x="697"/>
        <item x="679"/>
        <item x="735"/>
        <item x="450"/>
        <item x="400"/>
        <item x="524"/>
        <item x="591"/>
        <item x="1077"/>
        <item x="427"/>
        <item x="547"/>
        <item x="1467"/>
        <item x="1103"/>
        <item x="727"/>
        <item x="1211"/>
        <item x="374"/>
        <item x="1152"/>
        <item x="1448"/>
        <item x="1102"/>
        <item x="567"/>
        <item x="1483"/>
        <item x="82"/>
        <item x="1345"/>
        <item x="1350"/>
        <item x="497"/>
        <item x="1097"/>
        <item x="839"/>
        <item x="1285"/>
        <item x="173"/>
        <item x="574"/>
        <item x="589"/>
        <item x="975"/>
        <item x="1150"/>
        <item x="730"/>
        <item x="1119"/>
        <item x="681"/>
        <item x="793"/>
        <item x="1130"/>
        <item x="68"/>
        <item x="650"/>
        <item x="669"/>
        <item x="670"/>
        <item x="338"/>
        <item x="41"/>
        <item x="750"/>
        <item x="490"/>
        <item x="161"/>
        <item x="844"/>
        <item x="442"/>
        <item x="1072"/>
        <item x="713"/>
        <item x="526"/>
        <item x="399"/>
        <item x="832"/>
        <item x="190"/>
        <item x="63"/>
        <item x="210"/>
        <item x="961"/>
        <item x="738"/>
        <item x="1030"/>
        <item x="1178"/>
        <item x="94"/>
        <item x="1020"/>
        <item x="964"/>
        <item x="812"/>
        <item x="62"/>
        <item x="1458"/>
        <item x="96"/>
        <item x="540"/>
        <item x="1151"/>
        <item x="935"/>
        <item x="1281"/>
        <item x="825"/>
        <item x="624"/>
        <item x="1262"/>
        <item x="1417"/>
        <item x="1274"/>
        <item x="544"/>
        <item x="813"/>
        <item x="1279"/>
        <item x="499"/>
        <item x="565"/>
        <item x="281"/>
        <item x="310"/>
        <item x="10"/>
        <item x="536"/>
        <item x="1371"/>
        <item x="1353"/>
        <item x="402"/>
        <item x="483"/>
        <item x="225"/>
        <item x="586"/>
        <item x="397"/>
        <item x="1111"/>
        <item x="1230"/>
        <item x="860"/>
        <item x="22"/>
        <item x="127"/>
        <item x="1078"/>
        <item x="529"/>
        <item x="1284"/>
        <item x="923"/>
        <item x="473"/>
        <item x="873"/>
        <item x="664"/>
        <item x="1169"/>
        <item x="13"/>
        <item x="847"/>
        <item x="240"/>
        <item x="468"/>
        <item x="1137"/>
        <item x="1213"/>
        <item x="428"/>
        <item x="620"/>
        <item x="140"/>
        <item x="963"/>
        <item x="1349"/>
        <item x="840"/>
        <item x="1069"/>
        <item x="676"/>
        <item x="910"/>
        <item x="480"/>
        <item x="302"/>
        <item x="1034"/>
        <item x="644"/>
        <item x="50"/>
        <item x="880"/>
        <item x="1401"/>
        <item x="1398"/>
        <item x="597"/>
        <item x="155"/>
        <item x="512"/>
        <item x="288"/>
        <item x="1224"/>
        <item x="74"/>
        <item x="31"/>
        <item x="260"/>
        <item x="1108"/>
        <item x="933"/>
        <item x="452"/>
        <item x="376"/>
        <item x="356"/>
        <item x="647"/>
        <item x="731"/>
        <item x="685"/>
        <item x="457"/>
        <item x="1088"/>
        <item x="780"/>
        <item x="172"/>
        <item x="1254"/>
        <item x="712"/>
        <item x="113"/>
        <item x="903"/>
        <item x="1245"/>
        <item x="438"/>
        <item x="875"/>
        <item x="1355"/>
        <item x="293"/>
        <item x="307"/>
        <item x="1122"/>
        <item x="615"/>
        <item x="4"/>
        <item x="1318"/>
        <item x="390"/>
        <item x="1402"/>
        <item x="1322"/>
        <item x="165"/>
        <item x="552"/>
        <item x="1306"/>
        <item x="1348"/>
        <item x="1379"/>
        <item x="482"/>
        <item x="861"/>
        <item x="1248"/>
        <item x="1080"/>
        <item x="802"/>
        <item x="1490"/>
        <item x="1177"/>
        <item x="555"/>
        <item x="1403"/>
        <item x="826"/>
        <item x="199"/>
        <item x="70"/>
        <item x="21"/>
        <item x="1018"/>
        <item x="466"/>
        <item x="1194"/>
        <item x="49"/>
        <item x="349"/>
        <item x="1277"/>
        <item x="1182"/>
        <item x="1090"/>
        <item x="282"/>
        <item x="1246"/>
        <item x="696"/>
        <item x="144"/>
        <item x="751"/>
        <item x="976"/>
        <item x="1019"/>
        <item x="1446"/>
        <item x="947"/>
        <item x="651"/>
        <item x="1423"/>
        <item x="1000"/>
        <item x="1413"/>
        <item x="32"/>
        <item x="471"/>
        <item x="120"/>
        <item x="344"/>
        <item x="60"/>
        <item x="630"/>
        <item x="1461"/>
        <item x="566"/>
        <item x="1008"/>
        <item x="25"/>
        <item x="447"/>
        <item x="1161"/>
        <item x="147"/>
        <item x="198"/>
        <item x="521"/>
        <item x="1065"/>
        <item x="810"/>
        <item x="733"/>
        <item x="849"/>
        <item x="320"/>
        <item x="1210"/>
        <item x="51"/>
        <item x="36"/>
        <item x="1341"/>
        <item x="614"/>
        <item x="256"/>
        <item x="967"/>
        <item x="1180"/>
        <item x="655"/>
        <item x="125"/>
        <item x="747"/>
        <item x="1484"/>
        <item x="1346"/>
        <item x="625"/>
        <item x="1424"/>
        <item x="906"/>
        <item x="1241"/>
        <item x="1457"/>
        <item x="464"/>
        <item x="124"/>
        <item x="1351"/>
        <item x="649"/>
        <item x="1249"/>
        <item x="648"/>
        <item x="1200"/>
        <item x="749"/>
        <item x="1432"/>
        <item x="1272"/>
        <item x="868"/>
        <item x="228"/>
        <item x="439"/>
        <item x="1388"/>
        <item x="44"/>
        <item x="181"/>
        <item x="1055"/>
        <item x="590"/>
        <item x="1443"/>
        <item x="846"/>
        <item x="61"/>
        <item x="763"/>
        <item x="178"/>
        <item x="1406"/>
        <item x="878"/>
        <item x="532"/>
        <item x="1269"/>
        <item x="46"/>
        <item x="1209"/>
        <item x="257"/>
        <item x="336"/>
        <item x="1145"/>
        <item x="1328"/>
        <item x="1136"/>
        <item x="1168"/>
        <item x="1444"/>
        <item x="269"/>
        <item x="107"/>
        <item x="478"/>
        <item x="646"/>
        <item x="1381"/>
        <item x="916"/>
        <item x="1450"/>
        <item x="1258"/>
        <item x="950"/>
        <item x="1"/>
        <item x="223"/>
        <item x="248"/>
        <item x="887"/>
        <item x="752"/>
        <item x="1060"/>
        <item x="169"/>
        <item x="237"/>
        <item x="1340"/>
        <item x="108"/>
        <item x="1218"/>
        <item x="714"/>
        <item x="129"/>
        <item x="934"/>
        <item x="55"/>
        <item x="91"/>
        <item x="593"/>
        <item x="851"/>
        <item x="1196"/>
        <item x="1042"/>
        <item x="988"/>
        <item x="1214"/>
        <item x="369"/>
        <item x="1344"/>
        <item x="1140"/>
        <item x="660"/>
        <item x="424"/>
        <item x="1405"/>
        <item x="6"/>
        <item x="662"/>
        <item x="366"/>
        <item x="692"/>
        <item x="857"/>
        <item x="412"/>
        <item x="174"/>
        <item x="939"/>
        <item x="577"/>
        <item x="700"/>
        <item x="897"/>
        <item x="1183"/>
        <item x="1363"/>
        <item x="1474"/>
        <item x="88"/>
        <item x="11"/>
        <item x="798"/>
        <item x="634"/>
        <item x="556"/>
        <item x="242"/>
        <item x="1076"/>
        <item x="703"/>
        <item x="739"/>
        <item x="607"/>
        <item x="196"/>
        <item x="724"/>
        <item x="996"/>
        <item x="1091"/>
        <item x="297"/>
        <item x="940"/>
        <item x="273"/>
        <item x="420"/>
        <item x="163"/>
        <item x="197"/>
        <item x="409"/>
        <item x="1408"/>
        <item x="1124"/>
        <item x="1431"/>
        <item x="579"/>
        <item x="105"/>
        <item x="39"/>
        <item x="582"/>
        <item x="134"/>
        <item x="488"/>
        <item x="879"/>
        <item x="449"/>
        <item x="1240"/>
        <item x="638"/>
        <item x="1480"/>
        <item x="539"/>
        <item x="541"/>
        <item x="491"/>
        <item x="1236"/>
        <item x="364"/>
        <item x="682"/>
        <item x="1364"/>
        <item x="121"/>
        <item x="1206"/>
        <item x="1201"/>
        <item x="358"/>
        <item x="1260"/>
        <item x="1212"/>
        <item x="942"/>
        <item x="745"/>
        <item x="937"/>
        <item x="1265"/>
        <item x="392"/>
        <item x="1495"/>
        <item x="1343"/>
        <item x="1289"/>
        <item x="485"/>
        <item x="205"/>
        <item x="1011"/>
        <item x="1054"/>
        <item x="417"/>
        <item x="921"/>
        <item x="9"/>
        <item x="1479"/>
        <item x="477"/>
        <item x="1041"/>
        <item x="18"/>
        <item x="98"/>
        <item x="335"/>
        <item x="1485"/>
        <item x="151"/>
        <item x="496"/>
        <item x="1062"/>
        <item x="314"/>
        <item x="443"/>
        <item x="362"/>
        <item x="570"/>
        <item x="1302"/>
        <item x="1329"/>
        <item x="775"/>
        <item x="1253"/>
        <item x="1478"/>
        <item x="1427"/>
        <item x="1447"/>
        <item x="918"/>
        <item x="218"/>
        <item x="706"/>
        <item x="877"/>
        <item x="576"/>
        <item x="876"/>
        <item x="994"/>
        <item x="997"/>
        <item x="773"/>
        <item x="321"/>
        <item x="264"/>
        <item x="1420"/>
        <item x="1026"/>
        <item x="657"/>
        <item x="516"/>
        <item x="324"/>
        <item x="896"/>
        <item x="575"/>
        <item x="1493"/>
        <item x="929"/>
        <item x="24"/>
        <item x="716"/>
        <item x="241"/>
        <item x="475"/>
        <item x="434"/>
        <item x="1292"/>
        <item x="1219"/>
        <item x="308"/>
        <item x="1243"/>
        <item x="741"/>
        <item x="1067"/>
        <item x="981"/>
        <item x="1051"/>
        <item x="637"/>
        <item x="378"/>
        <item x="53"/>
        <item x="150"/>
        <item x="1288"/>
        <item x="1087"/>
        <item x="1304"/>
        <item x="472"/>
        <item x="694"/>
        <item x="568"/>
        <item x="1313"/>
        <item x="710"/>
        <item x="811"/>
        <item x="1134"/>
        <item x="306"/>
        <item x="805"/>
        <item x="1442"/>
        <item x="322"/>
        <item x="1331"/>
        <item x="1174"/>
        <item x="1428"/>
        <item x="1165"/>
        <item x="1195"/>
        <item x="1131"/>
        <item x="1115"/>
        <item x="519"/>
        <item x="494"/>
        <item x="1465"/>
        <item x="523"/>
        <item x="414"/>
        <item x="554"/>
        <item x="640"/>
        <item x="1158"/>
        <item x="116"/>
        <item x="1338"/>
        <item x="850"/>
        <item x="777"/>
        <item x="912"/>
        <item x="943"/>
        <item x="668"/>
        <item x="736"/>
        <item x="882"/>
        <item x="89"/>
        <item x="1181"/>
        <item x="1192"/>
        <item x="250"/>
        <item x="856"/>
        <item x="708"/>
        <item x="1038"/>
        <item x="558"/>
        <item x="764"/>
        <item x="189"/>
        <item x="734"/>
        <item x="1362"/>
        <item x="1361"/>
        <item x="59"/>
        <item x="117"/>
        <item x="995"/>
        <item x="186"/>
        <item x="509"/>
        <item x="1202"/>
        <item x="139"/>
        <item x="725"/>
        <item x="432"/>
        <item x="267"/>
        <item x="185"/>
        <item x="533"/>
        <item x="422"/>
        <item x="1059"/>
        <item x="686"/>
        <item x="1283"/>
        <item x="1300"/>
        <item x="790"/>
        <item x="1118"/>
        <item x="808"/>
        <item x="543"/>
        <item x="797"/>
        <item x="980"/>
        <item x="1025"/>
        <item x="1226"/>
        <item x="1199"/>
        <item x="406"/>
        <item x="765"/>
        <item x="1221"/>
        <item x="689"/>
        <item x="1486"/>
        <item x="410"/>
        <item x="781"/>
        <item x="1171"/>
        <item x="893"/>
        <item x="159"/>
        <item x="865"/>
        <item x="1027"/>
        <item x="858"/>
        <item x="290"/>
        <item x="510"/>
        <item x="704"/>
        <item x="353"/>
        <item x="115"/>
        <item x="1437"/>
        <item x="1386"/>
        <item x="1454"/>
        <item x="748"/>
        <item x="788"/>
        <item x="1098"/>
        <item x="930"/>
        <item x="659"/>
        <item x="247"/>
        <item x="276"/>
        <item x="1449"/>
        <item x="1197"/>
        <item x="393"/>
        <item x="604"/>
        <item x="368"/>
        <item x="208"/>
        <item x="1286"/>
        <item x="588"/>
        <item x="1336"/>
        <item x="87"/>
        <item x="926"/>
        <item x="149"/>
        <item x="259"/>
        <item x="1433"/>
        <item x="80"/>
        <item x="599"/>
        <item x="484"/>
        <item x="157"/>
        <item x="560"/>
        <item x="572"/>
        <item x="232"/>
        <item x="753"/>
        <item x="1190"/>
        <item x="1264"/>
        <item x="357"/>
        <item x="1148"/>
        <item x="1412"/>
        <item x="193"/>
        <item x="833"/>
        <item x="425"/>
        <item x="383"/>
        <item x="531"/>
        <item x="1414"/>
        <item x="1160"/>
        <item x="493"/>
        <item x="757"/>
        <item x="15"/>
        <item x="1368"/>
        <item x="907"/>
        <item x="158"/>
        <item x="1441"/>
        <item x="1007"/>
        <item x="1215"/>
        <item x="641"/>
        <item x="1110"/>
        <item x="348"/>
        <item x="803"/>
        <item x="195"/>
        <item x="112"/>
        <item x="278"/>
        <item x="508"/>
        <item x="617"/>
        <item x="729"/>
        <item x="1383"/>
        <item x="111"/>
        <item x="870"/>
        <item x="93"/>
        <item x="1395"/>
        <item x="581"/>
        <item x="962"/>
        <item x="1475"/>
        <item x="45"/>
        <item x="514"/>
        <item x="328"/>
        <item x="970"/>
        <item x="1319"/>
        <item x="959"/>
        <item x="56"/>
        <item x="76"/>
        <item x="1259"/>
        <item x="1326"/>
        <item x="305"/>
        <item x="396"/>
        <item x="871"/>
        <item x="1222"/>
        <item x="1391"/>
        <item x="949"/>
        <item x="633"/>
        <item x="416"/>
        <item x="1216"/>
        <item x="1233"/>
        <item x="551"/>
        <item x="809"/>
        <item x="503"/>
        <item x="683"/>
        <item x="612"/>
        <item x="249"/>
        <item x="1084"/>
        <item x="284"/>
        <item x="243"/>
        <item x="73"/>
        <item x="171"/>
        <item x="719"/>
        <item x="746"/>
        <item x="342"/>
        <item x="718"/>
        <item x="1012"/>
        <item x="1101"/>
        <item x="5"/>
        <item x="1267"/>
        <item x="435"/>
        <item x="136"/>
        <item x="954"/>
        <item x="553"/>
        <item x="345"/>
        <item x="1198"/>
        <item x="693"/>
        <item x="462"/>
        <item x="1187"/>
        <item x="1471"/>
        <item x="924"/>
        <item x="1459"/>
        <item x="352"/>
        <item x="234"/>
        <item x="580"/>
        <item x="192"/>
        <item x="787"/>
        <item x="387"/>
        <item x="1360"/>
        <item x="382"/>
        <item x="789"/>
        <item x="395"/>
        <item x="330"/>
        <item x="629"/>
        <item x="1162"/>
        <item x="814"/>
        <item x="1309"/>
        <item x="848"/>
        <item x="1327"/>
        <item x="834"/>
        <item x="1384"/>
        <item x="1453"/>
        <item x="1144"/>
        <item x="728"/>
        <item x="837"/>
        <item x="1029"/>
        <item x="511"/>
        <item x="778"/>
        <item x="188"/>
        <item x="892"/>
        <item x="1217"/>
        <item x="709"/>
        <item x="433"/>
        <item x="1464"/>
        <item x="986"/>
        <item x="426"/>
        <item x="1014"/>
        <item x="219"/>
        <item x="1063"/>
        <item x="1117"/>
        <item x="227"/>
        <item x="1316"/>
        <item x="270"/>
        <item x="1112"/>
        <item x="1203"/>
        <item x="1460"/>
        <item x="779"/>
        <item x="672"/>
        <item x="688"/>
        <item x="1005"/>
        <item x="1036"/>
        <item x="386"/>
        <item x="1033"/>
        <item x="584"/>
        <item x="1092"/>
        <item x="69"/>
        <item x="1064"/>
        <item x="1491"/>
        <item x="1314"/>
        <item x="1315"/>
        <item x="562"/>
        <item x="498"/>
        <item x="451"/>
        <item x="1166"/>
        <item x="506"/>
        <item x="130"/>
        <item x="1468"/>
        <item x="622"/>
        <item x="1094"/>
        <item x="191"/>
        <item x="853"/>
        <item x="1113"/>
        <item x="1487"/>
        <item x="254"/>
        <item x="168"/>
        <item x="1430"/>
        <item x="941"/>
        <item x="1261"/>
        <item x="285"/>
        <item x="1071"/>
        <item x="905"/>
        <item x="968"/>
        <item x="911"/>
        <item x="542"/>
        <item x="1275"/>
        <item x="1170"/>
        <item x="979"/>
        <item x="187"/>
        <item x="886"/>
        <item x="776"/>
        <item x="148"/>
        <item x="319"/>
        <item x="217"/>
        <item x="1104"/>
        <item x="1399"/>
        <item x="1470"/>
        <item x="564"/>
        <item x="12"/>
        <item x="1477"/>
        <item x="268"/>
        <item x="370"/>
        <item x="501"/>
        <item x="973"/>
        <item x="1270"/>
        <item x="388"/>
        <item x="1389"/>
        <item x="767"/>
        <item x="274"/>
        <item x="1205"/>
        <item x="407"/>
        <item x="1039"/>
        <item x="102"/>
        <item x="1489"/>
        <item x="885"/>
        <item x="166"/>
        <item x="784"/>
        <item x="246"/>
        <item x="894"/>
        <item x="1220"/>
        <item x="1229"/>
        <item x="783"/>
        <item x="598"/>
        <item x="830"/>
        <item x="549"/>
        <item x="1032"/>
        <item x="176"/>
        <item x="561"/>
        <item x="758"/>
        <item x="960"/>
        <item x="486"/>
        <item x="1337"/>
        <item x="1291"/>
        <item x="815"/>
        <item x="513"/>
        <item x="1339"/>
        <item x="1303"/>
        <item x="1308"/>
        <item x="122"/>
        <item x="999"/>
        <item x="182"/>
        <item x="1354"/>
        <item x="1370"/>
        <item x="431"/>
        <item x="951"/>
        <item x="3"/>
        <item x="983"/>
        <item x="381"/>
        <item x="984"/>
        <item x="160"/>
        <item x="1120"/>
        <item x="998"/>
        <item x="1400"/>
        <item x="1096"/>
        <item x="135"/>
        <item x="1028"/>
        <item x="1093"/>
        <item x="1473"/>
        <item x="901"/>
        <item x="29"/>
        <item x="522"/>
        <item x="110"/>
        <item x="1070"/>
        <item x="179"/>
        <item x="677"/>
        <item x="985"/>
        <item x="394"/>
        <item x="1366"/>
        <item x="367"/>
        <item x="855"/>
        <item x="1455"/>
        <item x="118"/>
        <item x="1208"/>
        <item x="569"/>
        <item x="1086"/>
        <item x="600"/>
        <item x="375"/>
        <item x="1133"/>
        <item x="594"/>
        <item x="993"/>
        <item x="922"/>
        <item x="1463"/>
        <item x="175"/>
        <item x="1225"/>
        <item x="854"/>
        <item x="518"/>
        <item x="1282"/>
        <item x="101"/>
        <item x="313"/>
        <item x="459"/>
        <item x="203"/>
        <item x="106"/>
        <item x="104"/>
        <item x="81"/>
        <item x="520"/>
        <item x="550"/>
        <item x="28"/>
        <item x="737"/>
        <item x="583"/>
        <item x="470"/>
        <item x="800"/>
        <item x="1266"/>
        <item x="245"/>
        <item x="233"/>
        <item x="717"/>
        <item x="791"/>
        <item x="331"/>
        <item x="461"/>
        <item x="363"/>
        <item x="495"/>
        <item x="343"/>
        <item x="413"/>
        <item x="883"/>
        <item x="1268"/>
        <item x="742"/>
        <item x="1452"/>
        <item x="653"/>
        <item x="1276"/>
        <item x="351"/>
        <item x="1320"/>
        <item x="701"/>
        <item x="675"/>
        <item x="900"/>
        <item x="317"/>
        <item x="953"/>
        <item x="1419"/>
        <item x="1410"/>
        <item x="265"/>
        <item x="1056"/>
        <item x="819"/>
        <item x="137"/>
        <item x="1045"/>
        <item x="1040"/>
        <item x="1385"/>
        <item x="1105"/>
        <item x="1369"/>
        <item x="391"/>
        <item x="585"/>
        <item x="626"/>
        <item x="838"/>
        <item x="1409"/>
        <item x="1176"/>
        <item x="931"/>
        <item x="1374"/>
        <item x="1143"/>
        <item x="1482"/>
        <item x="300"/>
        <item x="1015"/>
        <item x="437"/>
        <item x="721"/>
        <item x="769"/>
        <item x="1186"/>
        <item x="52"/>
        <item x="220"/>
        <item x="645"/>
        <item x="1256"/>
        <item x="183"/>
        <item x="1321"/>
        <item x="401"/>
        <item x="458"/>
        <item x="455"/>
        <item x="1297"/>
        <item x="1022"/>
        <item x="384"/>
        <item x="786"/>
        <item x="1335"/>
        <item x="1376"/>
        <item x="938"/>
        <item x="26"/>
        <item x="715"/>
        <item x="487"/>
        <item x="1037"/>
        <item x="7"/>
        <item x="1445"/>
        <item x="843"/>
        <item x="235"/>
        <item x="1193"/>
        <item x="842"/>
        <item x="927"/>
        <item x="608"/>
        <item x="287"/>
        <item x="301"/>
        <item x="1125"/>
        <item x="530"/>
        <item x="1075"/>
        <item x="294"/>
        <item x="1061"/>
        <item x="1235"/>
        <item x="534"/>
        <item x="272"/>
        <item x="489"/>
        <item x="515"/>
        <item x="987"/>
        <item x="128"/>
        <item x="23"/>
        <item x="740"/>
        <item x="286"/>
        <item x="891"/>
        <item x="1373"/>
        <item x="123"/>
        <item x="1003"/>
        <item x="559"/>
        <item x="1367"/>
        <item x="1404"/>
        <item x="785"/>
        <item x="224"/>
        <item x="563"/>
        <item x="167"/>
        <item x="654"/>
        <item x="404"/>
        <item x="952"/>
        <item x="35"/>
        <item x="1255"/>
        <item x="474"/>
        <item x="1330"/>
        <item x="222"/>
        <item x="866"/>
        <item x="40"/>
        <item x="212"/>
        <item x="673"/>
        <item x="341"/>
        <item x="1244"/>
        <item x="969"/>
        <item x="992"/>
        <item x="1323"/>
        <item x="138"/>
        <item x="1227"/>
        <item x="90"/>
        <item x="1422"/>
        <item x="1380"/>
        <item x="792"/>
        <item x="862"/>
        <item x="1188"/>
        <item x="213"/>
        <item x="1273"/>
        <item x="95"/>
        <item x="385"/>
        <item x="206"/>
        <item x="359"/>
        <item x="460"/>
        <item x="430"/>
        <item x="244"/>
        <item x="469"/>
        <item x="772"/>
        <item x="1251"/>
        <item x="1052"/>
        <item x="1436"/>
        <item x="1135"/>
        <item x="972"/>
        <item x="379"/>
        <item x="303"/>
        <item x="238"/>
        <item x="674"/>
        <item x="152"/>
        <item x="34"/>
        <item x="347"/>
        <item x="418"/>
        <item x="974"/>
        <item x="671"/>
        <item x="291"/>
        <item x="699"/>
        <item x="54"/>
        <item x="631"/>
        <item x="991"/>
        <item t="default"/>
      </items>
    </pivotField>
    <pivotField axis="axisPage" showAll="0">
      <items count="11">
        <item x="9"/>
        <item x="6"/>
        <item x="4"/>
        <item x="5"/>
        <item x="0"/>
        <item x="3"/>
        <item x="7"/>
        <item x="1"/>
        <item x="2"/>
        <item x="8"/>
        <item t="default"/>
      </items>
    </pivotField>
    <pivotField numFmtId="3" showAll="0"/>
    <pivotField dataField="1" numFmtId="164" showAll="0"/>
    <pivotField showAll="0"/>
    <pivotField numFmtId="164" showAll="0"/>
    <pivotField numFmtId="14" showAll="0">
      <items count="365">
        <item x="147"/>
        <item x="168"/>
        <item x="329"/>
        <item x="333"/>
        <item x="166"/>
        <item x="72"/>
        <item x="141"/>
        <item x="256"/>
        <item x="262"/>
        <item x="214"/>
        <item x="9"/>
        <item x="207"/>
        <item x="233"/>
        <item x="35"/>
        <item x="103"/>
        <item x="320"/>
        <item x="201"/>
        <item x="319"/>
        <item x="130"/>
        <item x="10"/>
        <item x="222"/>
        <item x="102"/>
        <item x="157"/>
        <item x="53"/>
        <item x="12"/>
        <item x="71"/>
        <item x="121"/>
        <item x="40"/>
        <item x="97"/>
        <item x="181"/>
        <item x="146"/>
        <item x="242"/>
        <item x="7"/>
        <item x="67"/>
        <item x="128"/>
        <item x="271"/>
        <item x="55"/>
        <item x="209"/>
        <item x="230"/>
        <item x="361"/>
        <item x="57"/>
        <item x="272"/>
        <item x="79"/>
        <item x="160"/>
        <item x="312"/>
        <item x="274"/>
        <item x="123"/>
        <item x="355"/>
        <item x="21"/>
        <item x="330"/>
        <item x="94"/>
        <item x="278"/>
        <item x="110"/>
        <item x="246"/>
        <item x="83"/>
        <item x="125"/>
        <item x="200"/>
        <item x="95"/>
        <item x="255"/>
        <item x="331"/>
        <item x="47"/>
        <item x="296"/>
        <item x="243"/>
        <item x="191"/>
        <item x="293"/>
        <item x="267"/>
        <item x="17"/>
        <item x="237"/>
        <item x="197"/>
        <item x="107"/>
        <item x="240"/>
        <item x="229"/>
        <item x="210"/>
        <item x="286"/>
        <item x="45"/>
        <item x="176"/>
        <item x="38"/>
        <item x="24"/>
        <item x="236"/>
        <item x="346"/>
        <item x="174"/>
        <item x="249"/>
        <item x="257"/>
        <item x="31"/>
        <item x="165"/>
        <item x="335"/>
        <item x="260"/>
        <item x="100"/>
        <item x="88"/>
        <item x="193"/>
        <item x="118"/>
        <item x="155"/>
        <item x="101"/>
        <item x="269"/>
        <item x="61"/>
        <item x="112"/>
        <item x="162"/>
        <item x="220"/>
        <item x="51"/>
        <item x="238"/>
        <item x="117"/>
        <item x="91"/>
        <item x="98"/>
        <item x="75"/>
        <item x="185"/>
        <item x="127"/>
        <item x="158"/>
        <item x="179"/>
        <item x="153"/>
        <item x="68"/>
        <item x="239"/>
        <item x="341"/>
        <item x="111"/>
        <item x="74"/>
        <item x="145"/>
        <item x="142"/>
        <item x="183"/>
        <item x="19"/>
        <item x="23"/>
        <item x="224"/>
        <item x="292"/>
        <item x="82"/>
        <item x="218"/>
        <item x="85"/>
        <item x="294"/>
        <item x="154"/>
        <item x="338"/>
        <item x="140"/>
        <item x="114"/>
        <item x="307"/>
        <item x="305"/>
        <item x="151"/>
        <item x="78"/>
        <item x="108"/>
        <item x="113"/>
        <item x="332"/>
        <item x="309"/>
        <item x="81"/>
        <item x="22"/>
        <item x="337"/>
        <item x="0"/>
        <item x="253"/>
        <item x="59"/>
        <item x="144"/>
        <item x="175"/>
        <item x="134"/>
        <item x="148"/>
        <item x="189"/>
        <item x="211"/>
        <item x="96"/>
        <item x="36"/>
        <item x="198"/>
        <item x="334"/>
        <item x="254"/>
        <item x="321"/>
        <item x="119"/>
        <item x="285"/>
        <item x="276"/>
        <item x="150"/>
        <item x="290"/>
        <item x="133"/>
        <item x="190"/>
        <item x="339"/>
        <item x="50"/>
        <item x="226"/>
        <item x="109"/>
        <item x="288"/>
        <item x="205"/>
        <item x="20"/>
        <item x="138"/>
        <item x="129"/>
        <item x="192"/>
        <item x="289"/>
        <item x="32"/>
        <item x="93"/>
        <item x="167"/>
        <item x="27"/>
        <item x="360"/>
        <item x="76"/>
        <item x="18"/>
        <item x="187"/>
        <item x="39"/>
        <item x="178"/>
        <item x="177"/>
        <item x="161"/>
        <item x="277"/>
        <item x="64"/>
        <item x="350"/>
        <item x="42"/>
        <item x="308"/>
        <item x="182"/>
        <item x="351"/>
        <item x="306"/>
        <item x="4"/>
        <item x="325"/>
        <item x="62"/>
        <item x="245"/>
        <item x="196"/>
        <item x="287"/>
        <item x="33"/>
        <item x="349"/>
        <item x="11"/>
        <item x="106"/>
        <item x="304"/>
        <item x="152"/>
        <item x="143"/>
        <item x="87"/>
        <item x="265"/>
        <item x="199"/>
        <item x="216"/>
        <item x="298"/>
        <item x="131"/>
        <item x="8"/>
        <item x="326"/>
        <item x="137"/>
        <item x="291"/>
        <item x="34"/>
        <item x="343"/>
        <item x="318"/>
        <item x="86"/>
        <item x="52"/>
        <item x="299"/>
        <item x="139"/>
        <item x="44"/>
        <item x="56"/>
        <item x="248"/>
        <item x="3"/>
        <item x="208"/>
        <item x="173"/>
        <item x="324"/>
        <item x="43"/>
        <item x="172"/>
        <item x="261"/>
        <item x="302"/>
        <item x="6"/>
        <item x="344"/>
        <item x="345"/>
        <item x="251"/>
        <item x="46"/>
        <item x="184"/>
        <item x="357"/>
        <item x="26"/>
        <item x="126"/>
        <item x="48"/>
        <item x="37"/>
        <item x="217"/>
        <item x="280"/>
        <item x="225"/>
        <item x="99"/>
        <item x="49"/>
        <item x="340"/>
        <item x="169"/>
        <item x="164"/>
        <item x="363"/>
        <item x="317"/>
        <item x="29"/>
        <item x="258"/>
        <item x="120"/>
        <item x="180"/>
        <item x="203"/>
        <item x="275"/>
        <item x="297"/>
        <item x="315"/>
        <item x="124"/>
        <item x="295"/>
        <item x="188"/>
        <item x="352"/>
        <item x="310"/>
        <item x="5"/>
        <item x="202"/>
        <item x="104"/>
        <item x="283"/>
        <item x="195"/>
        <item x="58"/>
        <item x="13"/>
        <item x="322"/>
        <item x="301"/>
        <item x="359"/>
        <item x="63"/>
        <item x="65"/>
        <item x="60"/>
        <item x="241"/>
        <item x="273"/>
        <item x="77"/>
        <item x="231"/>
        <item x="2"/>
        <item x="204"/>
        <item x="223"/>
        <item x="221"/>
        <item x="268"/>
        <item x="244"/>
        <item x="300"/>
        <item x="235"/>
        <item x="149"/>
        <item x="247"/>
        <item x="284"/>
        <item x="15"/>
        <item x="358"/>
        <item x="232"/>
        <item x="90"/>
        <item x="311"/>
        <item x="206"/>
        <item x="327"/>
        <item x="213"/>
        <item x="135"/>
        <item x="252"/>
        <item x="279"/>
        <item x="92"/>
        <item x="73"/>
        <item x="171"/>
        <item x="353"/>
        <item x="250"/>
        <item x="228"/>
        <item x="41"/>
        <item x="266"/>
        <item x="70"/>
        <item x="303"/>
        <item x="282"/>
        <item x="156"/>
        <item x="234"/>
        <item x="219"/>
        <item x="66"/>
        <item x="348"/>
        <item x="270"/>
        <item x="259"/>
        <item x="54"/>
        <item x="170"/>
        <item x="89"/>
        <item x="80"/>
        <item x="342"/>
        <item x="227"/>
        <item x="1"/>
        <item x="28"/>
        <item x="105"/>
        <item x="212"/>
        <item x="30"/>
        <item x="362"/>
        <item x="194"/>
        <item x="14"/>
        <item x="186"/>
        <item x="336"/>
        <item x="132"/>
        <item x="354"/>
        <item x="122"/>
        <item x="316"/>
        <item x="356"/>
        <item x="215"/>
        <item x="313"/>
        <item x="84"/>
        <item x="323"/>
        <item x="136"/>
        <item x="16"/>
        <item x="159"/>
        <item x="116"/>
        <item x="328"/>
        <item x="25"/>
        <item x="314"/>
        <item x="163"/>
        <item x="347"/>
        <item x="264"/>
        <item x="69"/>
        <item x="115"/>
        <item x="263"/>
        <item x="281"/>
        <item t="default"/>
      </items>
    </pivotField>
    <pivotField showAll="0"/>
    <pivotField showAll="0"/>
    <pivotField numFmtId="164" showAll="0"/>
    <pivotField numFmtId="164" showAll="0"/>
    <pivotField axis="axisPage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Page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Page" showAll="0" defaultSubtotal="0">
      <items count="4">
        <item sd="0" x="0"/>
        <item sd="0" x="1"/>
        <item sd="0" x="2"/>
        <item sd="0" x="3"/>
      </items>
    </pivotField>
  </pivotFields>
  <rowFields count="1">
    <field x="0"/>
  </rowFields>
  <rowItems count="149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 t="grand">
      <x/>
    </i>
  </rowItems>
  <colItems count="1">
    <i/>
  </colItems>
  <pageFields count="4">
    <pageField fld="1" hier="-1"/>
    <pageField fld="13" hier="-1"/>
    <pageField fld="12" hier="-1"/>
    <pageField fld="11" hier="-1"/>
  </pageFields>
  <dataFields count="1">
    <dataField name="Suma de Precio" fld="3" baseField="0" baseItem="0" numFmtId="164"/>
  </dataFields>
  <chartFormats count="1"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A1F841-65CE-4AED-A12C-68CBC559C1D6}" name="TablaDiná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J17:U24" firstHeaderRow="1" firstDataRow="2" firstDataCol="1" rowPageCount="2" colPageCount="1"/>
  <pivotFields count="14">
    <pivotField showAll="0"/>
    <pivotField axis="axisPage" showAll="0">
      <items count="11">
        <item x="9"/>
        <item x="6"/>
        <item x="4"/>
        <item x="5"/>
        <item x="0"/>
        <item x="3"/>
        <item x="7"/>
        <item x="1"/>
        <item x="2"/>
        <item x="8"/>
        <item t="default"/>
      </items>
    </pivotField>
    <pivotField axis="axisRow" numFmtId="3" showAll="0">
      <items count="6">
        <item x="0"/>
        <item x="4"/>
        <item x="2"/>
        <item x="1"/>
        <item x="3"/>
        <item t="default"/>
      </items>
    </pivotField>
    <pivotField dataField="1" numFmtId="164" showAll="0"/>
    <pivotField showAll="0"/>
    <pivotField numFmtId="164" showAll="0"/>
    <pivotField numFmtId="14" showAll="0">
      <items count="365">
        <item x="147"/>
        <item x="168"/>
        <item x="329"/>
        <item x="333"/>
        <item x="166"/>
        <item x="72"/>
        <item x="141"/>
        <item x="256"/>
        <item x="262"/>
        <item x="214"/>
        <item x="9"/>
        <item x="207"/>
        <item x="233"/>
        <item x="35"/>
        <item x="103"/>
        <item x="320"/>
        <item x="201"/>
        <item x="319"/>
        <item x="130"/>
        <item x="10"/>
        <item x="222"/>
        <item x="102"/>
        <item x="157"/>
        <item x="53"/>
        <item x="12"/>
        <item x="71"/>
        <item x="121"/>
        <item x="40"/>
        <item x="97"/>
        <item x="181"/>
        <item x="146"/>
        <item x="242"/>
        <item x="7"/>
        <item x="67"/>
        <item x="128"/>
        <item x="271"/>
        <item x="55"/>
        <item x="209"/>
        <item x="230"/>
        <item x="361"/>
        <item x="57"/>
        <item x="272"/>
        <item x="79"/>
        <item x="160"/>
        <item x="312"/>
        <item x="274"/>
        <item x="123"/>
        <item x="355"/>
        <item x="21"/>
        <item x="330"/>
        <item x="94"/>
        <item x="278"/>
        <item x="110"/>
        <item x="246"/>
        <item x="83"/>
        <item x="125"/>
        <item x="200"/>
        <item x="95"/>
        <item x="255"/>
        <item x="331"/>
        <item x="47"/>
        <item x="296"/>
        <item x="243"/>
        <item x="191"/>
        <item x="293"/>
        <item x="267"/>
        <item x="17"/>
        <item x="237"/>
        <item x="197"/>
        <item x="107"/>
        <item x="240"/>
        <item x="229"/>
        <item x="210"/>
        <item x="286"/>
        <item x="45"/>
        <item x="176"/>
        <item x="38"/>
        <item x="24"/>
        <item x="236"/>
        <item x="346"/>
        <item x="174"/>
        <item x="249"/>
        <item x="257"/>
        <item x="31"/>
        <item x="165"/>
        <item x="335"/>
        <item x="260"/>
        <item x="100"/>
        <item x="88"/>
        <item x="193"/>
        <item x="118"/>
        <item x="155"/>
        <item x="101"/>
        <item x="269"/>
        <item x="61"/>
        <item x="112"/>
        <item x="162"/>
        <item x="220"/>
        <item x="51"/>
        <item x="238"/>
        <item x="117"/>
        <item x="91"/>
        <item x="98"/>
        <item x="75"/>
        <item x="185"/>
        <item x="127"/>
        <item x="158"/>
        <item x="179"/>
        <item x="153"/>
        <item x="68"/>
        <item x="239"/>
        <item x="341"/>
        <item x="111"/>
        <item x="74"/>
        <item x="145"/>
        <item x="142"/>
        <item x="183"/>
        <item x="19"/>
        <item x="23"/>
        <item x="224"/>
        <item x="292"/>
        <item x="82"/>
        <item x="218"/>
        <item x="85"/>
        <item x="294"/>
        <item x="154"/>
        <item x="338"/>
        <item x="140"/>
        <item x="114"/>
        <item x="307"/>
        <item x="305"/>
        <item x="151"/>
        <item x="78"/>
        <item x="108"/>
        <item x="113"/>
        <item x="332"/>
        <item x="309"/>
        <item x="81"/>
        <item x="22"/>
        <item x="337"/>
        <item x="0"/>
        <item x="253"/>
        <item x="59"/>
        <item x="144"/>
        <item x="175"/>
        <item x="134"/>
        <item x="148"/>
        <item x="189"/>
        <item x="211"/>
        <item x="96"/>
        <item x="36"/>
        <item x="198"/>
        <item x="334"/>
        <item x="254"/>
        <item x="321"/>
        <item x="119"/>
        <item x="285"/>
        <item x="276"/>
        <item x="150"/>
        <item x="290"/>
        <item x="133"/>
        <item x="190"/>
        <item x="339"/>
        <item x="50"/>
        <item x="226"/>
        <item x="109"/>
        <item x="288"/>
        <item x="205"/>
        <item x="20"/>
        <item x="138"/>
        <item x="129"/>
        <item x="192"/>
        <item x="289"/>
        <item x="32"/>
        <item x="93"/>
        <item x="167"/>
        <item x="27"/>
        <item x="360"/>
        <item x="76"/>
        <item x="18"/>
        <item x="187"/>
        <item x="39"/>
        <item x="178"/>
        <item x="177"/>
        <item x="161"/>
        <item x="277"/>
        <item x="64"/>
        <item x="350"/>
        <item x="42"/>
        <item x="308"/>
        <item x="182"/>
        <item x="351"/>
        <item x="306"/>
        <item x="4"/>
        <item x="325"/>
        <item x="62"/>
        <item x="245"/>
        <item x="196"/>
        <item x="287"/>
        <item x="33"/>
        <item x="349"/>
        <item x="11"/>
        <item x="106"/>
        <item x="304"/>
        <item x="152"/>
        <item x="143"/>
        <item x="87"/>
        <item x="265"/>
        <item x="199"/>
        <item x="216"/>
        <item x="298"/>
        <item x="131"/>
        <item x="8"/>
        <item x="326"/>
        <item x="137"/>
        <item x="291"/>
        <item x="34"/>
        <item x="343"/>
        <item x="318"/>
        <item x="86"/>
        <item x="52"/>
        <item x="299"/>
        <item x="139"/>
        <item x="44"/>
        <item x="56"/>
        <item x="248"/>
        <item x="3"/>
        <item x="208"/>
        <item x="173"/>
        <item x="324"/>
        <item x="43"/>
        <item x="172"/>
        <item x="261"/>
        <item x="302"/>
        <item x="6"/>
        <item x="344"/>
        <item x="345"/>
        <item x="251"/>
        <item x="46"/>
        <item x="184"/>
        <item x="357"/>
        <item x="26"/>
        <item x="126"/>
        <item x="48"/>
        <item x="37"/>
        <item x="217"/>
        <item x="280"/>
        <item x="225"/>
        <item x="99"/>
        <item x="49"/>
        <item x="340"/>
        <item x="169"/>
        <item x="164"/>
        <item x="363"/>
        <item x="317"/>
        <item x="29"/>
        <item x="258"/>
        <item x="120"/>
        <item x="180"/>
        <item x="203"/>
        <item x="275"/>
        <item x="297"/>
        <item x="315"/>
        <item x="124"/>
        <item x="295"/>
        <item x="188"/>
        <item x="352"/>
        <item x="310"/>
        <item x="5"/>
        <item x="202"/>
        <item x="104"/>
        <item x="283"/>
        <item x="195"/>
        <item x="58"/>
        <item x="13"/>
        <item x="322"/>
        <item x="301"/>
        <item x="359"/>
        <item x="63"/>
        <item x="65"/>
        <item x="60"/>
        <item x="241"/>
        <item x="273"/>
        <item x="77"/>
        <item x="231"/>
        <item x="2"/>
        <item x="204"/>
        <item x="223"/>
        <item x="221"/>
        <item x="268"/>
        <item x="244"/>
        <item x="300"/>
        <item x="235"/>
        <item x="149"/>
        <item x="247"/>
        <item x="284"/>
        <item x="15"/>
        <item x="358"/>
        <item x="232"/>
        <item x="90"/>
        <item x="311"/>
        <item x="206"/>
        <item x="327"/>
        <item x="213"/>
        <item x="135"/>
        <item x="252"/>
        <item x="279"/>
        <item x="92"/>
        <item x="73"/>
        <item x="171"/>
        <item x="353"/>
        <item x="250"/>
        <item x="228"/>
        <item x="41"/>
        <item x="266"/>
        <item x="70"/>
        <item x="303"/>
        <item x="282"/>
        <item x="156"/>
        <item x="234"/>
        <item x="219"/>
        <item x="66"/>
        <item x="348"/>
        <item x="270"/>
        <item x="259"/>
        <item x="54"/>
        <item x="170"/>
        <item x="89"/>
        <item x="80"/>
        <item x="342"/>
        <item x="227"/>
        <item x="1"/>
        <item x="28"/>
        <item x="105"/>
        <item x="212"/>
        <item x="30"/>
        <item x="362"/>
        <item x="194"/>
        <item x="14"/>
        <item x="186"/>
        <item x="336"/>
        <item x="132"/>
        <item x="354"/>
        <item x="122"/>
        <item x="316"/>
        <item x="356"/>
        <item x="215"/>
        <item x="313"/>
        <item x="84"/>
        <item x="323"/>
        <item x="136"/>
        <item x="16"/>
        <item x="159"/>
        <item x="116"/>
        <item x="328"/>
        <item x="25"/>
        <item x="314"/>
        <item x="163"/>
        <item x="347"/>
        <item x="264"/>
        <item x="69"/>
        <item x="115"/>
        <item x="263"/>
        <item x="281"/>
        <item t="default"/>
      </items>
    </pivotField>
    <pivotField axis="axisCol" showAll="0">
      <items count="11">
        <item x="9"/>
        <item x="2"/>
        <item x="5"/>
        <item x="1"/>
        <item x="7"/>
        <item x="6"/>
        <item x="3"/>
        <item x="8"/>
        <item x="4"/>
        <item x="0"/>
        <item t="default"/>
      </items>
    </pivotField>
    <pivotField axis="axisPage" showAll="0">
      <items count="7">
        <item x="4"/>
        <item x="3"/>
        <item x="0"/>
        <item x="5"/>
        <item x="1"/>
        <item x="2"/>
        <item t="default"/>
      </items>
    </pivotField>
    <pivotField numFmtId="164" showAll="0"/>
    <pivotField numFmtId="164"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2">
    <pageField fld="8" hier="-1"/>
    <pageField fld="1" hier="-1"/>
  </pageFields>
  <dataFields count="1">
    <dataField name="Suma de Precio" fld="3" baseField="0" baseItem="0" numFmtId="164"/>
  </dataFields>
  <chartFormats count="10"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3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3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3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3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3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3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3D4962F-589A-41F2-BE8D-0B4412D2FED6}" autoFormatId="16" applyNumberFormats="0" applyBorderFormats="0" applyFontFormats="0" applyPatternFormats="0" applyAlignmentFormats="0" applyWidthHeightFormats="0">
  <queryTableRefresh nextId="12">
    <queryTableFields count="11">
      <queryTableField id="1" name="Cliente" tableColumnId="1"/>
      <queryTableField id="7" name="Producto" tableColumnId="2"/>
      <queryTableField id="9" name="Cantidad" tableColumnId="3"/>
      <queryTableField id="4" dataBound="0" tableColumnId="4"/>
      <queryTableField id="8" name="MetodoPago" tableColumnId="5"/>
      <queryTableField id="2" dataBound="0" tableColumnId="6"/>
      <queryTableField id="3" dataBound="0" tableColumnId="7"/>
      <queryTableField id="6" name="Vendedor" tableColumnId="8"/>
      <queryTableField id="5" dataBound="0" tableColumnId="9"/>
      <queryTableField id="10" name="Comision" tableColumnId="10"/>
      <queryTableField id="11" name="Sueldo" tableColumnId="11"/>
    </queryTableFields>
    <queryTableDeletedFields count="4">
      <deletedField name="FechaHora"/>
      <deletedField name="Sucursal"/>
      <deletedField name="Precio"/>
      <deletedField name="Descuento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A851BB-507C-4DE6-B361-259F47438181}" name="Ventas2024a2025" displayName="Ventas2024a2025" ref="A2:K1500" tableType="queryTable" totalsRowShown="0">
  <autoFilter ref="A2:K1500" xr:uid="{C7A851BB-507C-4DE6-B361-259F47438181}"/>
  <tableColumns count="11">
    <tableColumn id="1" xr3:uid="{9CD2F497-5780-4E2A-8116-A60A00245400}" uniqueName="1" name="Cliente" queryTableFieldId="1" dataDxfId="10"/>
    <tableColumn id="2" xr3:uid="{2B5E0E50-F3C8-4854-B1C0-B9EB6B4E2B30}" uniqueName="2" name="Producto" queryTableFieldId="7" dataDxfId="9"/>
    <tableColumn id="3" xr3:uid="{28BC2313-D926-41BE-B37E-DED73E64A0D7}" uniqueName="3" name="Cantidad" queryTableFieldId="9" dataDxfId="8"/>
    <tableColumn id="4" xr3:uid="{7A341B88-9951-4B4F-B1B7-D147E5DA7B75}" uniqueName="4" name="Precio" queryTableFieldId="4" dataDxfId="7" dataCellStyle="Porcentaje"/>
    <tableColumn id="5" xr3:uid="{0D829179-E161-4A83-B13E-779482852CC5}" uniqueName="5" name="MetodoPago" queryTableFieldId="8" dataDxfId="6"/>
    <tableColumn id="6" xr3:uid="{470D727B-98EC-4CF1-9F9C-5743DFADD273}" uniqueName="6" name="Descuento" queryTableFieldId="2" dataDxfId="5" dataCellStyle="Porcentaje"/>
    <tableColumn id="7" xr3:uid="{BDC60A4A-A7B8-4F2E-849A-58E71BF8ED47}" uniqueName="7" name="Fecha" queryTableFieldId="3" dataDxfId="4"/>
    <tableColumn id="8" xr3:uid="{F4E4A2D1-7A35-4E18-94B2-37CED41A9DCD}" uniqueName="8" name="Vendedor" queryTableFieldId="6" dataDxfId="3"/>
    <tableColumn id="9" xr3:uid="{5E3FC7C2-3978-4E6B-87D2-AB616B4F6026}" uniqueName="9" name="Sucursal" queryTableFieldId="5" dataDxfId="2"/>
    <tableColumn id="10" xr3:uid="{C7523F06-A130-4AC3-9395-361802C5024D}" uniqueName="10" name="Comision" queryTableFieldId="10" dataDxfId="1"/>
    <tableColumn id="11" xr3:uid="{704DA1B2-B9D0-4836-86B6-EA51510BA8CF}" uniqueName="11" name="Sueldo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4744-83F9-4077-AC10-9BA2CC167BD5}">
  <sheetPr>
    <tabColor rgb="FF002060"/>
  </sheetPr>
  <dimension ref="B1:T38"/>
  <sheetViews>
    <sheetView showGridLines="0" workbookViewId="0">
      <selection activeCell="I1" sqref="I1:M2"/>
    </sheetView>
  </sheetViews>
  <sheetFormatPr baseColWidth="10" defaultRowHeight="15" x14ac:dyDescent="0.25"/>
  <sheetData>
    <row r="1" spans="2:20" ht="14.45" customHeight="1" x14ac:dyDescent="0.25">
      <c r="I1" s="45" t="s">
        <v>3047</v>
      </c>
      <c r="J1" s="46"/>
      <c r="K1" s="46"/>
      <c r="L1" s="46"/>
      <c r="M1" s="47"/>
    </row>
    <row r="2" spans="2:20" ht="14.45" customHeight="1" x14ac:dyDescent="0.25">
      <c r="I2" s="48"/>
      <c r="J2" s="49"/>
      <c r="K2" s="49"/>
      <c r="L2" s="49"/>
      <c r="M2" s="50"/>
    </row>
    <row r="3" spans="2:20" ht="15.75" thickBot="1" x14ac:dyDescent="0.3"/>
    <row r="4" spans="2:20" ht="31.5" customHeight="1" thickTop="1" thickBot="1" x14ac:dyDescent="0.3">
      <c r="B4" s="44" t="s">
        <v>3050</v>
      </c>
      <c r="C4" s="44"/>
      <c r="D4" s="44"/>
      <c r="E4" s="44"/>
      <c r="G4" s="44" t="s">
        <v>3048</v>
      </c>
      <c r="H4" s="44"/>
      <c r="I4" s="44"/>
      <c r="J4" s="44"/>
      <c r="L4" s="44" t="s">
        <v>3049</v>
      </c>
      <c r="M4" s="44"/>
      <c r="N4" s="44"/>
      <c r="O4" s="44"/>
      <c r="Q4" s="44" t="s">
        <v>3051</v>
      </c>
      <c r="R4" s="44"/>
      <c r="S4" s="44"/>
      <c r="T4" s="44"/>
    </row>
    <row r="5" spans="2:20" ht="27" customHeight="1" thickTop="1" thickBot="1" x14ac:dyDescent="0.3">
      <c r="B5" s="44"/>
      <c r="C5" s="44"/>
      <c r="D5" s="44"/>
      <c r="E5" s="44"/>
      <c r="G5" s="44"/>
      <c r="H5" s="44"/>
      <c r="I5" s="44"/>
      <c r="J5" s="44"/>
      <c r="L5" s="44"/>
      <c r="M5" s="44"/>
      <c r="N5" s="44"/>
      <c r="O5" s="44"/>
      <c r="Q5" s="44"/>
      <c r="R5" s="44"/>
      <c r="S5" s="44"/>
      <c r="T5" s="44"/>
    </row>
    <row r="6" spans="2:20" ht="27.95" customHeight="1" thickTop="1" thickBot="1" x14ac:dyDescent="0.3">
      <c r="B6" s="44"/>
      <c r="C6" s="44"/>
      <c r="D6" s="44"/>
      <c r="E6" s="44"/>
      <c r="G6" s="44"/>
      <c r="H6" s="44"/>
      <c r="I6" s="44"/>
      <c r="J6" s="44"/>
      <c r="L6" s="44"/>
      <c r="M6" s="44"/>
      <c r="N6" s="44"/>
      <c r="O6" s="44"/>
      <c r="Q6" s="44"/>
      <c r="R6" s="44"/>
      <c r="S6" s="44"/>
      <c r="T6" s="44"/>
    </row>
    <row r="7" spans="2:20" ht="15.75" thickTop="1" x14ac:dyDescent="0.25"/>
    <row r="8" spans="2:20" x14ac:dyDescent="0.25">
      <c r="I8" s="43" t="s">
        <v>3052</v>
      </c>
      <c r="J8" s="43"/>
      <c r="K8" s="43"/>
      <c r="L8" s="43"/>
      <c r="M8" s="43"/>
    </row>
    <row r="9" spans="2:20" x14ac:dyDescent="0.25">
      <c r="I9" s="43"/>
      <c r="J9" s="43"/>
      <c r="K9" s="43"/>
      <c r="L9" s="43"/>
      <c r="M9" s="43"/>
    </row>
    <row r="10" spans="2:20" ht="15.75" thickBot="1" x14ac:dyDescent="0.3"/>
    <row r="11" spans="2:20" ht="22.5" customHeight="1" thickTop="1" thickBot="1" x14ac:dyDescent="0.3">
      <c r="G11" s="44" t="s">
        <v>3080</v>
      </c>
      <c r="H11" s="44"/>
      <c r="I11" s="44"/>
      <c r="J11" s="44"/>
      <c r="K11" s="44"/>
      <c r="L11" s="44"/>
      <c r="M11" s="44"/>
      <c r="N11" s="44"/>
      <c r="O11" s="44"/>
    </row>
    <row r="12" spans="2:20" ht="23.1" customHeight="1" thickTop="1" thickBot="1" x14ac:dyDescent="0.3">
      <c r="G12" s="44"/>
      <c r="H12" s="44"/>
      <c r="I12" s="44"/>
      <c r="J12" s="44"/>
      <c r="K12" s="44"/>
      <c r="L12" s="44"/>
      <c r="M12" s="44"/>
      <c r="N12" s="44"/>
      <c r="O12" s="44"/>
    </row>
    <row r="13" spans="2:20" ht="21.6" customHeight="1" thickTop="1" thickBot="1" x14ac:dyDescent="0.3">
      <c r="G13" s="44"/>
      <c r="H13" s="44"/>
      <c r="I13" s="44"/>
      <c r="J13" s="44"/>
      <c r="K13" s="44"/>
      <c r="L13" s="44"/>
      <c r="M13" s="44"/>
      <c r="N13" s="44"/>
      <c r="O13" s="44"/>
    </row>
    <row r="14" spans="2:20" ht="15.75" thickTop="1" x14ac:dyDescent="0.25"/>
    <row r="15" spans="2:20" x14ac:dyDescent="0.25">
      <c r="I15" s="43" t="s">
        <v>3053</v>
      </c>
      <c r="J15" s="43"/>
      <c r="K15" s="43"/>
      <c r="L15" s="43"/>
      <c r="M15" s="43"/>
    </row>
    <row r="16" spans="2:20" x14ac:dyDescent="0.25">
      <c r="I16" s="43"/>
      <c r="J16" s="43"/>
      <c r="K16" s="43"/>
      <c r="L16" s="43"/>
      <c r="M16" s="43"/>
    </row>
    <row r="17" spans="4:17" ht="15.75" thickBot="1" x14ac:dyDescent="0.3"/>
    <row r="18" spans="4:17" ht="16.5" thickTop="1" thickBot="1" x14ac:dyDescent="0.3">
      <c r="D18" s="55" t="s">
        <v>3054</v>
      </c>
      <c r="E18" s="55"/>
      <c r="F18" s="55"/>
      <c r="G18" s="52" t="s">
        <v>3055</v>
      </c>
      <c r="H18" s="52"/>
      <c r="I18" s="52"/>
      <c r="J18" s="52"/>
      <c r="K18" s="52"/>
      <c r="L18" s="52"/>
      <c r="M18" s="52"/>
      <c r="N18" s="52"/>
      <c r="O18" s="52"/>
      <c r="P18" s="52"/>
      <c r="Q18" s="52"/>
    </row>
    <row r="19" spans="4:17" ht="16.5" thickTop="1" thickBot="1" x14ac:dyDescent="0.3">
      <c r="D19" s="55"/>
      <c r="E19" s="55"/>
      <c r="F19" s="55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</row>
    <row r="20" spans="4:17" ht="16.5" thickTop="1" thickBot="1" x14ac:dyDescent="0.3">
      <c r="D20" s="51" t="s">
        <v>3056</v>
      </c>
      <c r="E20" s="51"/>
      <c r="F20" s="51"/>
      <c r="G20" s="52" t="s">
        <v>3057</v>
      </c>
      <c r="H20" s="52"/>
      <c r="I20" s="52"/>
      <c r="J20" s="52"/>
      <c r="K20" s="52"/>
      <c r="L20" s="52"/>
      <c r="M20" s="52"/>
      <c r="N20" s="52"/>
      <c r="O20" s="52"/>
      <c r="P20" s="52"/>
      <c r="Q20" s="52"/>
    </row>
    <row r="21" spans="4:17" ht="16.5" thickTop="1" thickBot="1" x14ac:dyDescent="0.3">
      <c r="D21" s="51"/>
      <c r="E21" s="51"/>
      <c r="F21" s="51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</row>
    <row r="22" spans="4:17" ht="20.25" customHeight="1" thickTop="1" x14ac:dyDescent="0.25">
      <c r="D22" s="56" t="s">
        <v>3075</v>
      </c>
      <c r="E22" s="57"/>
      <c r="F22" s="58"/>
      <c r="G22" s="25" t="s">
        <v>3076</v>
      </c>
      <c r="H22" s="26"/>
      <c r="I22" s="26"/>
      <c r="J22" s="26"/>
      <c r="K22" s="26"/>
      <c r="L22" s="26"/>
      <c r="M22" s="26"/>
      <c r="N22" s="26"/>
      <c r="O22" s="26"/>
      <c r="P22" s="26"/>
      <c r="Q22" s="62"/>
    </row>
    <row r="23" spans="4:17" ht="15.75" thickBot="1" x14ac:dyDescent="0.3">
      <c r="D23" s="59"/>
      <c r="E23" s="60"/>
      <c r="F23" s="61"/>
      <c r="G23" s="29"/>
      <c r="H23" s="30"/>
      <c r="I23" s="30"/>
      <c r="J23" s="30"/>
      <c r="K23" s="30"/>
      <c r="L23" s="30"/>
      <c r="M23" s="30"/>
      <c r="N23" s="30"/>
      <c r="O23" s="30"/>
      <c r="P23" s="30"/>
      <c r="Q23" s="63"/>
    </row>
    <row r="24" spans="4:17" ht="20.25" customHeight="1" thickTop="1" x14ac:dyDescent="0.25">
      <c r="D24" s="64" t="s">
        <v>3077</v>
      </c>
      <c r="E24" s="65"/>
      <c r="F24" s="66"/>
      <c r="G24" s="25" t="s">
        <v>3078</v>
      </c>
      <c r="H24" s="26"/>
      <c r="I24" s="26"/>
      <c r="J24" s="26"/>
      <c r="K24" s="26"/>
      <c r="L24" s="26"/>
      <c r="M24" s="26"/>
      <c r="N24" s="26"/>
      <c r="O24" s="26"/>
      <c r="P24" s="26"/>
      <c r="Q24" s="62"/>
    </row>
    <row r="25" spans="4:17" ht="15.75" thickBot="1" x14ac:dyDescent="0.3">
      <c r="D25" s="67"/>
      <c r="E25" s="68"/>
      <c r="F25" s="69"/>
      <c r="G25" s="29"/>
      <c r="H25" s="30"/>
      <c r="I25" s="30"/>
      <c r="J25" s="30"/>
      <c r="K25" s="30"/>
      <c r="L25" s="30"/>
      <c r="M25" s="30"/>
      <c r="N25" s="30"/>
      <c r="O25" s="30"/>
      <c r="P25" s="30"/>
      <c r="Q25" s="63"/>
    </row>
    <row r="26" spans="4:17" ht="16.5" thickTop="1" thickBot="1" x14ac:dyDescent="0.3">
      <c r="D26" s="53" t="s">
        <v>3058</v>
      </c>
      <c r="E26" s="53"/>
      <c r="F26" s="53"/>
      <c r="G26" s="54" t="s">
        <v>3059</v>
      </c>
      <c r="H26" s="54"/>
      <c r="I26" s="54"/>
      <c r="J26" s="54"/>
      <c r="K26" s="54"/>
      <c r="L26" s="54"/>
      <c r="M26" s="54"/>
      <c r="N26" s="54"/>
      <c r="O26" s="54"/>
      <c r="P26" s="54"/>
      <c r="Q26" s="54"/>
    </row>
    <row r="27" spans="4:17" ht="16.5" thickTop="1" thickBot="1" x14ac:dyDescent="0.3">
      <c r="D27" s="53"/>
      <c r="E27" s="53"/>
      <c r="F27" s="53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</row>
    <row r="28" spans="4:17" ht="15.75" thickTop="1" x14ac:dyDescent="0.25">
      <c r="D28" s="31" t="s">
        <v>3079</v>
      </c>
      <c r="E28" s="32"/>
      <c r="F28" s="33"/>
      <c r="G28" s="37" t="s">
        <v>3081</v>
      </c>
      <c r="H28" s="38"/>
      <c r="I28" s="38"/>
      <c r="J28" s="38"/>
      <c r="K28" s="38"/>
      <c r="L28" s="38"/>
      <c r="M28" s="38"/>
      <c r="N28" s="38"/>
      <c r="O28" s="38"/>
      <c r="P28" s="38"/>
      <c r="Q28" s="39"/>
    </row>
    <row r="29" spans="4:17" ht="31.5" customHeight="1" thickBot="1" x14ac:dyDescent="0.3">
      <c r="D29" s="34"/>
      <c r="E29" s="35"/>
      <c r="F29" s="36"/>
      <c r="G29" s="40"/>
      <c r="H29" s="41"/>
      <c r="I29" s="41"/>
      <c r="J29" s="41"/>
      <c r="K29" s="41"/>
      <c r="L29" s="41"/>
      <c r="M29" s="41"/>
      <c r="N29" s="41"/>
      <c r="O29" s="41"/>
      <c r="P29" s="41"/>
      <c r="Q29" s="42"/>
    </row>
    <row r="30" spans="4:17" ht="15.75" thickTop="1" x14ac:dyDescent="0.25"/>
    <row r="31" spans="4:17" x14ac:dyDescent="0.25">
      <c r="I31" s="43" t="s">
        <v>3082</v>
      </c>
      <c r="J31" s="43"/>
      <c r="K31" s="43"/>
      <c r="L31" s="43"/>
      <c r="M31" s="43"/>
    </row>
    <row r="32" spans="4:17" x14ac:dyDescent="0.25">
      <c r="I32" s="43"/>
      <c r="J32" s="43"/>
      <c r="K32" s="43"/>
      <c r="L32" s="43"/>
      <c r="M32" s="43"/>
    </row>
    <row r="33" spans="4:18" ht="15.75" thickBot="1" x14ac:dyDescent="0.3"/>
    <row r="34" spans="4:18" ht="15.75" thickTop="1" x14ac:dyDescent="0.25">
      <c r="D34" s="25" t="s">
        <v>3083</v>
      </c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4"/>
    </row>
    <row r="35" spans="4:18" x14ac:dyDescent="0.25">
      <c r="D35" s="27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4"/>
    </row>
    <row r="36" spans="4:18" x14ac:dyDescent="0.25">
      <c r="D36" s="27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4"/>
    </row>
    <row r="37" spans="4:18" ht="15.75" thickBot="1" x14ac:dyDescent="0.3">
      <c r="D37" s="29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24"/>
    </row>
    <row r="38" spans="4:18" ht="15.75" thickTop="1" x14ac:dyDescent="0.25"/>
  </sheetData>
  <mergeCells count="22">
    <mergeCell ref="I1:M2"/>
    <mergeCell ref="D20:F21"/>
    <mergeCell ref="G20:Q21"/>
    <mergeCell ref="D26:F27"/>
    <mergeCell ref="G26:Q27"/>
    <mergeCell ref="I8:M9"/>
    <mergeCell ref="G11:O13"/>
    <mergeCell ref="I15:M16"/>
    <mergeCell ref="D18:F19"/>
    <mergeCell ref="G18:Q19"/>
    <mergeCell ref="D22:F23"/>
    <mergeCell ref="G22:Q23"/>
    <mergeCell ref="D24:F25"/>
    <mergeCell ref="G24:Q25"/>
    <mergeCell ref="D34:Q37"/>
    <mergeCell ref="D28:F29"/>
    <mergeCell ref="G28:Q29"/>
    <mergeCell ref="I31:M32"/>
    <mergeCell ref="B4:E6"/>
    <mergeCell ref="G4:J6"/>
    <mergeCell ref="L4:O6"/>
    <mergeCell ref="Q4:T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59ABD-C136-46D3-B774-4864E419380C}">
  <sheetPr>
    <tabColor rgb="FFFF0000"/>
  </sheetPr>
  <dimension ref="A1:A1501"/>
  <sheetViews>
    <sheetView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B288-9FAB-4BDC-9F7F-5E47525EA2F0}">
  <sheetPr>
    <tabColor theme="4"/>
  </sheetPr>
  <dimension ref="A1"/>
  <sheetViews>
    <sheetView showGridLines="0" workbookViewId="0">
      <selection activeCell="F18" sqref="F18"/>
    </sheetView>
  </sheetViews>
  <sheetFormatPr baseColWidth="10" defaultRowHeight="15" x14ac:dyDescent="0.25"/>
  <cols>
    <col min="1" max="1" width="24.42578125" bestFit="1" customWidth="1"/>
    <col min="2" max="2" width="14.140625" bestFit="1" customWidth="1"/>
    <col min="3" max="3" width="18.5703125" bestFit="1" customWidth="1"/>
    <col min="21" max="21" width="13.7109375" customWidth="1"/>
  </cols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6D8B-8D82-41EB-928B-1CFE84BB8F3B}">
  <sheetPr>
    <tabColor rgb="FF92D050"/>
  </sheetPr>
  <dimension ref="A1:N1500"/>
  <sheetViews>
    <sheetView topLeftCell="A1464" workbookViewId="0">
      <selection activeCell="F15" sqref="F15"/>
    </sheetView>
  </sheetViews>
  <sheetFormatPr baseColWidth="10" defaultRowHeight="15" x14ac:dyDescent="0.25"/>
  <cols>
    <col min="1" max="1" width="24.5703125" style="1" bestFit="1" customWidth="1"/>
    <col min="2" max="2" width="26.140625" style="2" customWidth="1"/>
    <col min="3" max="3" width="14.5703125" style="3" customWidth="1"/>
    <col min="4" max="4" width="16.7109375" style="4" customWidth="1"/>
    <col min="5" max="5" width="19.28515625" style="1" customWidth="1"/>
    <col min="6" max="6" width="16.5703125" style="1" customWidth="1"/>
    <col min="7" max="7" width="15.5703125" style="1" customWidth="1"/>
    <col min="8" max="8" width="29.5703125" style="1" customWidth="1"/>
    <col min="9" max="9" width="18.85546875" style="5" customWidth="1"/>
    <col min="10" max="10" width="17.42578125" style="6" customWidth="1"/>
    <col min="11" max="11" width="18.28515625" style="3" customWidth="1"/>
    <col min="13" max="13" width="11.85546875" bestFit="1" customWidth="1"/>
    <col min="14" max="14" width="14.140625" bestFit="1" customWidth="1"/>
  </cols>
  <sheetData>
    <row r="1" spans="1:14" ht="21" x14ac:dyDescent="0.25">
      <c r="A1" s="70" t="s">
        <v>3037</v>
      </c>
      <c r="B1" s="70"/>
      <c r="C1" s="70"/>
      <c r="D1" s="70"/>
      <c r="E1" s="70"/>
      <c r="F1" s="70"/>
      <c r="G1" s="70"/>
      <c r="H1" s="70"/>
      <c r="I1" s="70"/>
      <c r="J1" s="70"/>
      <c r="K1" s="70"/>
    </row>
    <row r="2" spans="1:14" x14ac:dyDescent="0.25">
      <c r="A2" s="1" t="s">
        <v>1501</v>
      </c>
      <c r="B2" s="1" t="s">
        <v>1506</v>
      </c>
      <c r="C2" s="5" t="s">
        <v>1508</v>
      </c>
      <c r="D2" s="13" t="s">
        <v>1502</v>
      </c>
      <c r="E2" s="1" t="s">
        <v>1507</v>
      </c>
      <c r="F2" s="16" t="s">
        <v>1503</v>
      </c>
      <c r="G2" s="7" t="s">
        <v>3038</v>
      </c>
      <c r="H2" s="1" t="s">
        <v>1505</v>
      </c>
      <c r="I2" s="10" t="s">
        <v>1504</v>
      </c>
      <c r="J2" s="6" t="s">
        <v>1509</v>
      </c>
      <c r="K2" s="3" t="s">
        <v>1510</v>
      </c>
    </row>
    <row r="3" spans="1:14" x14ac:dyDescent="0.25">
      <c r="A3" s="1" t="s">
        <v>1511</v>
      </c>
      <c r="B3" s="1" t="s">
        <v>1514</v>
      </c>
      <c r="C3" s="5">
        <v>1</v>
      </c>
      <c r="D3" s="14">
        <v>7028246</v>
      </c>
      <c r="E3" s="1" t="s">
        <v>1515</v>
      </c>
      <c r="F3" s="17">
        <v>1349415</v>
      </c>
      <c r="G3" s="8">
        <v>45639</v>
      </c>
      <c r="H3" s="1" t="s">
        <v>1513</v>
      </c>
      <c r="I3" s="11" t="s">
        <v>1512</v>
      </c>
      <c r="J3" s="6">
        <v>113577</v>
      </c>
      <c r="K3" s="3">
        <v>15113577</v>
      </c>
    </row>
    <row r="4" spans="1:14" x14ac:dyDescent="0.25">
      <c r="A4" s="1" t="s">
        <v>2503</v>
      </c>
      <c r="B4" s="1" t="s">
        <v>1517</v>
      </c>
      <c r="C4" s="5">
        <v>4</v>
      </c>
      <c r="D4" s="15">
        <v>3335749</v>
      </c>
      <c r="E4" s="1" t="s">
        <v>2504</v>
      </c>
      <c r="F4" s="18">
        <v>2660449</v>
      </c>
      <c r="G4" s="9">
        <v>45830</v>
      </c>
      <c r="H4" s="1" t="s">
        <v>1516</v>
      </c>
      <c r="I4" s="12" t="s">
        <v>1512</v>
      </c>
      <c r="J4" s="6">
        <v>613941</v>
      </c>
      <c r="K4" s="3">
        <v>15613941</v>
      </c>
    </row>
    <row r="5" spans="1:14" x14ac:dyDescent="0.25">
      <c r="A5" s="1" t="s">
        <v>2505</v>
      </c>
      <c r="B5" s="1" t="s">
        <v>1514</v>
      </c>
      <c r="C5" s="5">
        <v>3</v>
      </c>
      <c r="D5" s="14">
        <v>17544528</v>
      </c>
      <c r="E5" s="1" t="s">
        <v>1515</v>
      </c>
      <c r="F5" s="17">
        <v>1610744</v>
      </c>
      <c r="G5" s="8">
        <v>45784</v>
      </c>
      <c r="H5" s="1" t="s">
        <v>1519</v>
      </c>
      <c r="I5" s="11" t="s">
        <v>1518</v>
      </c>
      <c r="J5" s="6">
        <v>318676</v>
      </c>
      <c r="K5" s="3">
        <v>15318676</v>
      </c>
    </row>
    <row r="6" spans="1:14" x14ac:dyDescent="0.25">
      <c r="A6" s="1" t="s">
        <v>1520</v>
      </c>
      <c r="B6" s="1" t="s">
        <v>1523</v>
      </c>
      <c r="C6" s="5">
        <v>1</v>
      </c>
      <c r="D6" s="15">
        <v>23941347</v>
      </c>
      <c r="E6" s="1" t="s">
        <v>2504</v>
      </c>
      <c r="F6" s="18">
        <v>2028633</v>
      </c>
      <c r="G6" s="9">
        <v>45725</v>
      </c>
      <c r="H6" s="1" t="s">
        <v>1522</v>
      </c>
      <c r="I6" s="12" t="s">
        <v>1521</v>
      </c>
      <c r="J6" s="6">
        <v>438254</v>
      </c>
      <c r="K6" s="3">
        <v>15438254</v>
      </c>
    </row>
    <row r="7" spans="1:14" x14ac:dyDescent="0.25">
      <c r="A7" s="1" t="s">
        <v>2506</v>
      </c>
      <c r="B7" s="1" t="s">
        <v>1514</v>
      </c>
      <c r="C7" s="5">
        <v>1</v>
      </c>
      <c r="D7" s="14">
        <v>34804794</v>
      </c>
      <c r="E7" s="1" t="s">
        <v>1515</v>
      </c>
      <c r="F7" s="17">
        <v>8329084</v>
      </c>
      <c r="G7" s="8">
        <v>45692</v>
      </c>
      <c r="H7" s="1" t="s">
        <v>2508</v>
      </c>
      <c r="I7" s="11" t="s">
        <v>2507</v>
      </c>
      <c r="J7" s="6">
        <v>529514</v>
      </c>
      <c r="K7" s="3">
        <v>15529514</v>
      </c>
    </row>
    <row r="8" spans="1:14" x14ac:dyDescent="0.25">
      <c r="A8" s="1" t="s">
        <v>1524</v>
      </c>
      <c r="B8" s="1" t="s">
        <v>1525</v>
      </c>
      <c r="C8" s="5">
        <v>5</v>
      </c>
      <c r="D8" s="15">
        <v>13555456</v>
      </c>
      <c r="E8" s="1" t="s">
        <v>2504</v>
      </c>
      <c r="F8" s="18">
        <v>1825914</v>
      </c>
      <c r="G8" s="9">
        <v>45767</v>
      </c>
      <c r="H8" s="1" t="s">
        <v>1516</v>
      </c>
      <c r="I8" s="12" t="s">
        <v>1521</v>
      </c>
      <c r="J8" s="6">
        <v>234591</v>
      </c>
      <c r="K8" s="3">
        <v>15234591</v>
      </c>
      <c r="N8" s="19"/>
    </row>
    <row r="9" spans="1:14" x14ac:dyDescent="0.25">
      <c r="A9" s="1" t="s">
        <v>1526</v>
      </c>
      <c r="B9" s="1" t="s">
        <v>1527</v>
      </c>
      <c r="C9" s="5">
        <v>4</v>
      </c>
      <c r="D9" s="14">
        <v>42548636</v>
      </c>
      <c r="E9" s="1" t="s">
        <v>1515</v>
      </c>
      <c r="F9" s="17">
        <v>690336</v>
      </c>
      <c r="G9" s="8">
        <v>45733</v>
      </c>
      <c r="H9" s="1" t="s">
        <v>2510</v>
      </c>
      <c r="I9" s="11" t="s">
        <v>2509</v>
      </c>
      <c r="J9" s="6">
        <v>712906</v>
      </c>
      <c r="K9" s="3">
        <v>15712906</v>
      </c>
    </row>
    <row r="10" spans="1:14" x14ac:dyDescent="0.25">
      <c r="A10" s="1" t="s">
        <v>1528</v>
      </c>
      <c r="B10" s="1" t="s">
        <v>1527</v>
      </c>
      <c r="C10" s="5">
        <v>4</v>
      </c>
      <c r="D10" s="15">
        <v>2594346</v>
      </c>
      <c r="E10" s="1" t="s">
        <v>2504</v>
      </c>
      <c r="F10" s="18">
        <v>24521</v>
      </c>
      <c r="G10" s="9">
        <v>45529</v>
      </c>
      <c r="H10" s="1" t="s">
        <v>1513</v>
      </c>
      <c r="I10" s="12" t="s">
        <v>2507</v>
      </c>
      <c r="J10" s="6">
        <v>46983</v>
      </c>
      <c r="K10" s="3">
        <v>15046983</v>
      </c>
    </row>
    <row r="11" spans="1:14" x14ac:dyDescent="0.25">
      <c r="A11" s="1" t="s">
        <v>1529</v>
      </c>
      <c r="B11" s="1" t="s">
        <v>1517</v>
      </c>
      <c r="C11" s="5">
        <v>1</v>
      </c>
      <c r="D11" s="14">
        <v>37703722</v>
      </c>
      <c r="E11" s="1" t="s">
        <v>1515</v>
      </c>
      <c r="F11" s="17">
        <v>8324192</v>
      </c>
      <c r="G11" s="8">
        <v>45711</v>
      </c>
      <c r="H11" s="1" t="s">
        <v>1513</v>
      </c>
      <c r="I11" s="11" t="s">
        <v>2511</v>
      </c>
      <c r="J11" s="6">
        <v>587591</v>
      </c>
      <c r="K11" s="3">
        <v>15587591</v>
      </c>
    </row>
    <row r="12" spans="1:14" x14ac:dyDescent="0.25">
      <c r="A12" s="1" t="s">
        <v>1530</v>
      </c>
      <c r="B12" s="1" t="s">
        <v>1527</v>
      </c>
      <c r="C12" s="5">
        <v>2</v>
      </c>
      <c r="D12" s="15">
        <v>10722765</v>
      </c>
      <c r="E12" s="1" t="s">
        <v>2504</v>
      </c>
      <c r="F12" s="18">
        <v>1741786</v>
      </c>
      <c r="G12" s="9">
        <v>45507</v>
      </c>
      <c r="H12" s="1" t="s">
        <v>2508</v>
      </c>
      <c r="I12" s="12" t="s">
        <v>2507</v>
      </c>
      <c r="J12" s="6">
        <v>17962</v>
      </c>
      <c r="K12" s="3">
        <v>1517962</v>
      </c>
    </row>
    <row r="13" spans="1:14" x14ac:dyDescent="0.25">
      <c r="A13" s="1" t="s">
        <v>1531</v>
      </c>
      <c r="B13" s="1" t="s">
        <v>1532</v>
      </c>
      <c r="C13" s="5">
        <v>3</v>
      </c>
      <c r="D13" s="14">
        <v>14148496</v>
      </c>
      <c r="E13" s="1" t="s">
        <v>1515</v>
      </c>
      <c r="F13" s="17">
        <v>418264</v>
      </c>
      <c r="G13" s="8">
        <v>45516</v>
      </c>
      <c r="H13" s="1" t="s">
        <v>1519</v>
      </c>
      <c r="I13" s="11" t="s">
        <v>2511</v>
      </c>
      <c r="J13" s="6">
        <v>274605</v>
      </c>
      <c r="K13" s="3">
        <v>15274605</v>
      </c>
    </row>
    <row r="14" spans="1:14" x14ac:dyDescent="0.25">
      <c r="A14" s="1" t="s">
        <v>1533</v>
      </c>
      <c r="B14" s="1" t="s">
        <v>1534</v>
      </c>
      <c r="C14" s="5">
        <v>4</v>
      </c>
      <c r="D14" s="15">
        <v>46592255</v>
      </c>
      <c r="E14" s="1" t="s">
        <v>1515</v>
      </c>
      <c r="F14" s="18">
        <v>402228</v>
      </c>
      <c r="G14" s="9">
        <v>45700</v>
      </c>
      <c r="H14" s="1" t="s">
        <v>2512</v>
      </c>
      <c r="I14" s="12" t="s">
        <v>1521</v>
      </c>
      <c r="J14" s="6">
        <v>923801</v>
      </c>
      <c r="K14" s="3">
        <v>15923801</v>
      </c>
    </row>
    <row r="15" spans="1:14" x14ac:dyDescent="0.25">
      <c r="A15" s="1" t="s">
        <v>1535</v>
      </c>
      <c r="B15" s="1" t="s">
        <v>1536</v>
      </c>
      <c r="C15" s="5">
        <v>2</v>
      </c>
      <c r="D15" s="14">
        <v>31170051</v>
      </c>
      <c r="E15" s="1" t="s">
        <v>1515</v>
      </c>
      <c r="F15" s="17">
        <v>4134447</v>
      </c>
      <c r="G15" s="8">
        <v>45521</v>
      </c>
      <c r="H15" s="1" t="s">
        <v>1513</v>
      </c>
      <c r="I15" s="11" t="s">
        <v>1518</v>
      </c>
      <c r="J15" s="6">
        <v>540712</v>
      </c>
      <c r="K15" s="3">
        <v>15540712</v>
      </c>
    </row>
    <row r="16" spans="1:14" x14ac:dyDescent="0.25">
      <c r="A16" s="1" t="s">
        <v>1537</v>
      </c>
      <c r="B16" s="1" t="s">
        <v>1525</v>
      </c>
      <c r="C16" s="5">
        <v>1</v>
      </c>
      <c r="D16" s="15">
        <v>19846754</v>
      </c>
      <c r="E16" s="1" t="s">
        <v>1538</v>
      </c>
      <c r="F16" s="18">
        <v>4482452</v>
      </c>
      <c r="G16" s="9">
        <v>45773</v>
      </c>
      <c r="H16" s="1" t="s">
        <v>1516</v>
      </c>
      <c r="I16" s="12" t="s">
        <v>2509</v>
      </c>
      <c r="J16" s="6">
        <v>307286</v>
      </c>
      <c r="K16" s="3">
        <v>15307286</v>
      </c>
    </row>
    <row r="17" spans="1:11" x14ac:dyDescent="0.25">
      <c r="A17" s="1" t="s">
        <v>2513</v>
      </c>
      <c r="B17" s="1" t="s">
        <v>1532</v>
      </c>
      <c r="C17" s="5">
        <v>5</v>
      </c>
      <c r="D17" s="14">
        <v>12150377</v>
      </c>
      <c r="E17" s="1" t="s">
        <v>1515</v>
      </c>
      <c r="F17" s="17">
        <v>1657372</v>
      </c>
      <c r="G17" s="8">
        <v>45837</v>
      </c>
      <c r="H17" s="1" t="s">
        <v>1513</v>
      </c>
      <c r="I17" s="11" t="s">
        <v>1512</v>
      </c>
      <c r="J17" s="6">
        <v>20986</v>
      </c>
      <c r="K17" s="3">
        <v>1520986</v>
      </c>
    </row>
    <row r="18" spans="1:11" x14ac:dyDescent="0.25">
      <c r="A18" s="1" t="s">
        <v>2514</v>
      </c>
      <c r="B18" s="1" t="s">
        <v>1525</v>
      </c>
      <c r="C18" s="5">
        <v>1</v>
      </c>
      <c r="D18" s="15">
        <v>3223777</v>
      </c>
      <c r="E18" s="1" t="s">
        <v>1515</v>
      </c>
      <c r="F18" s="18">
        <v>564231</v>
      </c>
      <c r="G18" s="9">
        <v>45795</v>
      </c>
      <c r="H18" s="1" t="s">
        <v>2515</v>
      </c>
      <c r="I18" s="12" t="s">
        <v>1521</v>
      </c>
      <c r="J18" s="6">
        <v>531909</v>
      </c>
      <c r="K18" s="3">
        <v>15531909</v>
      </c>
    </row>
    <row r="19" spans="1:11" x14ac:dyDescent="0.25">
      <c r="A19" s="1" t="s">
        <v>1539</v>
      </c>
      <c r="B19" s="1" t="s">
        <v>1534</v>
      </c>
      <c r="C19" s="5">
        <v>2</v>
      </c>
      <c r="D19" s="14">
        <v>34498495</v>
      </c>
      <c r="E19" s="1" t="s">
        <v>1515</v>
      </c>
      <c r="F19" s="17">
        <v>26128</v>
      </c>
      <c r="G19" s="8">
        <v>45850</v>
      </c>
      <c r="H19" s="1" t="s">
        <v>2510</v>
      </c>
      <c r="I19" s="11" t="s">
        <v>2511</v>
      </c>
      <c r="J19" s="6">
        <v>684744</v>
      </c>
      <c r="K19" s="3">
        <v>15684744</v>
      </c>
    </row>
    <row r="20" spans="1:11" x14ac:dyDescent="0.25">
      <c r="A20" s="1" t="s">
        <v>2516</v>
      </c>
      <c r="B20" s="1" t="s">
        <v>1540</v>
      </c>
      <c r="C20" s="5">
        <v>2</v>
      </c>
      <c r="D20" s="15">
        <v>27912332</v>
      </c>
      <c r="E20" s="1" t="s">
        <v>2504</v>
      </c>
      <c r="F20" s="18">
        <v>5343589</v>
      </c>
      <c r="G20" s="9">
        <v>45563</v>
      </c>
      <c r="H20" s="1" t="s">
        <v>2512</v>
      </c>
      <c r="I20" s="12" t="s">
        <v>1518</v>
      </c>
      <c r="J20" s="6">
        <v>451375</v>
      </c>
      <c r="K20" s="3">
        <v>15451375</v>
      </c>
    </row>
    <row r="21" spans="1:11" x14ac:dyDescent="0.25">
      <c r="A21" s="1" t="s">
        <v>1541</v>
      </c>
      <c r="B21" s="1" t="s">
        <v>1534</v>
      </c>
      <c r="C21" s="5">
        <v>1</v>
      </c>
      <c r="D21" s="14">
        <v>26441953</v>
      </c>
      <c r="E21" s="1" t="s">
        <v>1538</v>
      </c>
      <c r="F21" s="17">
        <v>5100423</v>
      </c>
      <c r="G21" s="8">
        <v>45678</v>
      </c>
      <c r="H21" s="1" t="s">
        <v>2510</v>
      </c>
      <c r="I21" s="11" t="s">
        <v>2507</v>
      </c>
      <c r="J21" s="6">
        <v>426831</v>
      </c>
      <c r="K21" s="3">
        <v>15426831</v>
      </c>
    </row>
    <row r="22" spans="1:11" x14ac:dyDescent="0.25">
      <c r="A22" s="1" t="s">
        <v>2517</v>
      </c>
      <c r="B22" s="1" t="s">
        <v>1527</v>
      </c>
      <c r="C22" s="5">
        <v>3</v>
      </c>
      <c r="D22" s="15">
        <v>21416691</v>
      </c>
      <c r="E22" s="1" t="s">
        <v>1515</v>
      </c>
      <c r="F22" s="18">
        <v>623409</v>
      </c>
      <c r="G22" s="9">
        <v>45616</v>
      </c>
      <c r="H22" s="1" t="s">
        <v>1522</v>
      </c>
      <c r="I22" s="12" t="s">
        <v>2507</v>
      </c>
      <c r="J22" s="6">
        <v>415866</v>
      </c>
      <c r="K22" s="3">
        <v>15415866</v>
      </c>
    </row>
    <row r="23" spans="1:11" x14ac:dyDescent="0.25">
      <c r="A23" s="1" t="s">
        <v>1542</v>
      </c>
      <c r="B23" s="1" t="s">
        <v>1514</v>
      </c>
      <c r="C23" s="5">
        <v>4</v>
      </c>
      <c r="D23" s="14">
        <v>3764506</v>
      </c>
      <c r="E23" s="1" t="s">
        <v>1515</v>
      </c>
      <c r="F23" s="17">
        <v>60753</v>
      </c>
      <c r="G23" s="8">
        <v>45667</v>
      </c>
      <c r="H23" s="1" t="s">
        <v>1543</v>
      </c>
      <c r="I23" s="11" t="s">
        <v>1512</v>
      </c>
      <c r="J23" s="6">
        <v>6314</v>
      </c>
      <c r="K23" s="3">
        <v>1506314</v>
      </c>
    </row>
    <row r="24" spans="1:11" x14ac:dyDescent="0.25">
      <c r="A24" s="1" t="s">
        <v>2518</v>
      </c>
      <c r="B24" s="1" t="s">
        <v>1532</v>
      </c>
      <c r="C24" s="5">
        <v>2</v>
      </c>
      <c r="D24" s="15">
        <v>1559018</v>
      </c>
      <c r="E24" s="1" t="s">
        <v>1538</v>
      </c>
      <c r="F24" s="18">
        <v>1987623</v>
      </c>
      <c r="G24" s="9">
        <v>45545</v>
      </c>
      <c r="H24" s="1" t="s">
        <v>1522</v>
      </c>
      <c r="I24" s="12" t="s">
        <v>1521</v>
      </c>
      <c r="J24" s="6">
        <v>272051</v>
      </c>
      <c r="K24" s="3">
        <v>15272051</v>
      </c>
    </row>
    <row r="25" spans="1:11" x14ac:dyDescent="0.25">
      <c r="A25" s="1" t="s">
        <v>1544</v>
      </c>
      <c r="B25" s="1" t="s">
        <v>1545</v>
      </c>
      <c r="C25" s="5">
        <v>5</v>
      </c>
      <c r="D25" s="14">
        <v>36716058</v>
      </c>
      <c r="E25" s="1" t="s">
        <v>1538</v>
      </c>
      <c r="F25" s="17">
        <v>8017718</v>
      </c>
      <c r="G25" s="8">
        <v>45637</v>
      </c>
      <c r="H25" s="1" t="s">
        <v>1519</v>
      </c>
      <c r="I25" s="11" t="s">
        <v>2509</v>
      </c>
      <c r="J25" s="6">
        <v>573967</v>
      </c>
      <c r="K25" s="3">
        <v>15573967</v>
      </c>
    </row>
    <row r="26" spans="1:11" x14ac:dyDescent="0.25">
      <c r="A26" s="1" t="s">
        <v>1546</v>
      </c>
      <c r="B26" s="1" t="s">
        <v>1534</v>
      </c>
      <c r="C26" s="5">
        <v>2</v>
      </c>
      <c r="D26" s="15">
        <v>46645162</v>
      </c>
      <c r="E26" s="1" t="s">
        <v>2504</v>
      </c>
      <c r="F26" s="18">
        <v>1159619</v>
      </c>
      <c r="G26" s="9">
        <v>45563</v>
      </c>
      <c r="H26" s="1" t="s">
        <v>1519</v>
      </c>
      <c r="I26" s="12" t="s">
        <v>2507</v>
      </c>
      <c r="J26" s="6">
        <v>700979</v>
      </c>
      <c r="K26" s="3">
        <v>15700979</v>
      </c>
    </row>
    <row r="27" spans="1:11" x14ac:dyDescent="0.25">
      <c r="A27" s="1" t="s">
        <v>1547</v>
      </c>
      <c r="B27" s="1" t="s">
        <v>1517</v>
      </c>
      <c r="C27" s="5">
        <v>5</v>
      </c>
      <c r="D27" s="14">
        <v>2349818</v>
      </c>
      <c r="E27" s="1" t="s">
        <v>2504</v>
      </c>
      <c r="F27" s="17">
        <v>547287</v>
      </c>
      <c r="G27" s="8">
        <v>45617</v>
      </c>
      <c r="H27" s="1" t="s">
        <v>2508</v>
      </c>
      <c r="I27" s="11" t="s">
        <v>1521</v>
      </c>
      <c r="J27" s="6">
        <v>36051</v>
      </c>
      <c r="K27" s="3">
        <v>15036051</v>
      </c>
    </row>
    <row r="28" spans="1:11" x14ac:dyDescent="0.25">
      <c r="A28" s="1" t="s">
        <v>1548</v>
      </c>
      <c r="B28" s="1" t="s">
        <v>1514</v>
      </c>
      <c r="C28" s="5">
        <v>4</v>
      </c>
      <c r="D28" s="15">
        <v>43451569</v>
      </c>
      <c r="E28" s="1" t="s">
        <v>1515</v>
      </c>
      <c r="F28" s="18">
        <v>3841983</v>
      </c>
      <c r="G28" s="9">
        <v>45575</v>
      </c>
      <c r="H28" s="1" t="s">
        <v>2519</v>
      </c>
      <c r="I28" s="12" t="s">
        <v>2509</v>
      </c>
      <c r="J28" s="6">
        <v>792192</v>
      </c>
      <c r="K28" s="3">
        <v>15792192</v>
      </c>
    </row>
    <row r="29" spans="1:11" x14ac:dyDescent="0.25">
      <c r="A29" s="1" t="s">
        <v>2520</v>
      </c>
      <c r="B29" s="1" t="s">
        <v>1536</v>
      </c>
      <c r="C29" s="5">
        <v>2</v>
      </c>
      <c r="D29" s="14">
        <v>22555262</v>
      </c>
      <c r="E29" s="1" t="s">
        <v>1538</v>
      </c>
      <c r="F29" s="17">
        <v>826421</v>
      </c>
      <c r="G29" s="8">
        <v>45854</v>
      </c>
      <c r="H29" s="1" t="s">
        <v>2508</v>
      </c>
      <c r="I29" s="11" t="s">
        <v>2509</v>
      </c>
      <c r="J29" s="6">
        <v>434577</v>
      </c>
      <c r="K29" s="3">
        <v>15434577</v>
      </c>
    </row>
    <row r="30" spans="1:11" x14ac:dyDescent="0.25">
      <c r="A30" s="1" t="s">
        <v>2521</v>
      </c>
      <c r="B30" s="1" t="s">
        <v>1527</v>
      </c>
      <c r="C30" s="5">
        <v>2</v>
      </c>
      <c r="D30" s="15">
        <v>3753229</v>
      </c>
      <c r="E30" s="1" t="s">
        <v>1538</v>
      </c>
      <c r="F30" s="18">
        <v>281541</v>
      </c>
      <c r="G30" s="9">
        <v>45740</v>
      </c>
      <c r="H30" s="1" t="s">
        <v>1513</v>
      </c>
      <c r="I30" s="12" t="s">
        <v>1512</v>
      </c>
      <c r="J30" s="6">
        <v>69434</v>
      </c>
      <c r="K30" s="3">
        <v>15069434</v>
      </c>
    </row>
    <row r="31" spans="1:11" x14ac:dyDescent="0.25">
      <c r="A31" s="1" t="s">
        <v>1549</v>
      </c>
      <c r="B31" s="1" t="s">
        <v>1545</v>
      </c>
      <c r="C31" s="5">
        <v>4</v>
      </c>
      <c r="D31" s="14">
        <v>31433701</v>
      </c>
      <c r="E31" s="1" t="s">
        <v>2504</v>
      </c>
      <c r="F31" s="17">
        <v>5264216</v>
      </c>
      <c r="G31" s="8">
        <v>45675</v>
      </c>
      <c r="H31" s="1" t="s">
        <v>2510</v>
      </c>
      <c r="I31" s="11" t="s">
        <v>2507</v>
      </c>
      <c r="J31" s="6">
        <v>52339</v>
      </c>
      <c r="K31" s="3">
        <v>1552339</v>
      </c>
    </row>
    <row r="32" spans="1:11" x14ac:dyDescent="0.25">
      <c r="A32" s="1" t="s">
        <v>1550</v>
      </c>
      <c r="B32" s="1" t="s">
        <v>1527</v>
      </c>
      <c r="C32" s="5">
        <v>2</v>
      </c>
      <c r="D32" s="15">
        <v>23009277</v>
      </c>
      <c r="E32" s="1" t="s">
        <v>1538</v>
      </c>
      <c r="F32" s="18">
        <v>31730</v>
      </c>
      <c r="G32" s="9">
        <v>45831</v>
      </c>
      <c r="H32" s="1" t="s">
        <v>2515</v>
      </c>
      <c r="I32" s="12" t="s">
        <v>1521</v>
      </c>
      <c r="J32" s="6">
        <v>45384</v>
      </c>
      <c r="K32" s="3">
        <v>1545384</v>
      </c>
    </row>
    <row r="33" spans="1:13" x14ac:dyDescent="0.25">
      <c r="A33" s="1" t="s">
        <v>1551</v>
      </c>
      <c r="B33" s="1" t="s">
        <v>1517</v>
      </c>
      <c r="C33" s="5">
        <v>3</v>
      </c>
      <c r="D33" s="14">
        <v>12260517</v>
      </c>
      <c r="E33" s="1" t="s">
        <v>1515</v>
      </c>
      <c r="F33" s="17">
        <v>2391884</v>
      </c>
      <c r="G33" s="8">
        <v>45754</v>
      </c>
      <c r="H33" s="1" t="s">
        <v>1543</v>
      </c>
      <c r="I33" s="11" t="s">
        <v>2509</v>
      </c>
      <c r="J33" s="6">
        <v>197373</v>
      </c>
      <c r="K33" s="3">
        <v>15197373</v>
      </c>
    </row>
    <row r="34" spans="1:13" x14ac:dyDescent="0.25">
      <c r="A34" s="1" t="s">
        <v>2522</v>
      </c>
      <c r="B34" s="1" t="s">
        <v>1540</v>
      </c>
      <c r="C34" s="5">
        <v>4</v>
      </c>
      <c r="D34" s="15">
        <v>6425612</v>
      </c>
      <c r="E34" s="1" t="s">
        <v>1538</v>
      </c>
      <c r="F34" s="18">
        <v>1555887</v>
      </c>
      <c r="G34" s="9">
        <v>45834</v>
      </c>
      <c r="H34" s="1" t="s">
        <v>2515</v>
      </c>
      <c r="I34" s="12" t="s">
        <v>1518</v>
      </c>
      <c r="J34" s="6">
        <v>97395</v>
      </c>
      <c r="K34" s="3">
        <v>15097395</v>
      </c>
    </row>
    <row r="35" spans="1:13" x14ac:dyDescent="0.25">
      <c r="A35" s="1" t="s">
        <v>2523</v>
      </c>
      <c r="B35" s="1" t="s">
        <v>1536</v>
      </c>
      <c r="C35" s="5">
        <v>1</v>
      </c>
      <c r="D35" s="14">
        <v>4003982</v>
      </c>
      <c r="E35" s="1" t="s">
        <v>2504</v>
      </c>
      <c r="F35" s="17">
        <v>824112</v>
      </c>
      <c r="G35" s="8">
        <v>45581</v>
      </c>
      <c r="H35" s="1" t="s">
        <v>2515</v>
      </c>
      <c r="I35" s="11" t="s">
        <v>2507</v>
      </c>
      <c r="J35" s="6">
        <v>63597</v>
      </c>
      <c r="K35" s="3">
        <v>15063597</v>
      </c>
    </row>
    <row r="36" spans="1:13" x14ac:dyDescent="0.25">
      <c r="A36" s="1" t="s">
        <v>2524</v>
      </c>
      <c r="B36" s="1" t="s">
        <v>1523</v>
      </c>
      <c r="C36" s="5">
        <v>1</v>
      </c>
      <c r="D36" s="15">
        <v>40591406</v>
      </c>
      <c r="E36" s="1" t="s">
        <v>2504</v>
      </c>
      <c r="F36" s="18">
        <v>351461</v>
      </c>
      <c r="G36" s="9">
        <v>45672</v>
      </c>
      <c r="H36" s="1" t="s">
        <v>1543</v>
      </c>
      <c r="I36" s="12" t="s">
        <v>2511</v>
      </c>
      <c r="J36" s="6">
        <v>741536</v>
      </c>
      <c r="K36" s="3">
        <v>15741536</v>
      </c>
    </row>
    <row r="37" spans="1:13" x14ac:dyDescent="0.25">
      <c r="A37" s="1" t="s">
        <v>1552</v>
      </c>
      <c r="B37" s="1" t="s">
        <v>1536</v>
      </c>
      <c r="C37" s="5">
        <v>4</v>
      </c>
      <c r="D37" s="14">
        <v>22208452</v>
      </c>
      <c r="E37" s="1" t="s">
        <v>1538</v>
      </c>
      <c r="F37" s="17">
        <v>3080056</v>
      </c>
      <c r="G37" s="8">
        <v>45698</v>
      </c>
      <c r="H37" s="1" t="s">
        <v>1513</v>
      </c>
      <c r="I37" s="11" t="s">
        <v>1518</v>
      </c>
      <c r="J37" s="6">
        <v>382568</v>
      </c>
      <c r="K37" s="3">
        <v>15382568</v>
      </c>
    </row>
    <row r="38" spans="1:13" x14ac:dyDescent="0.25">
      <c r="A38" s="1" t="s">
        <v>1553</v>
      </c>
      <c r="B38" s="1" t="s">
        <v>1534</v>
      </c>
      <c r="C38" s="5">
        <v>3</v>
      </c>
      <c r="D38" s="15">
        <v>12904703</v>
      </c>
      <c r="E38" s="1" t="s">
        <v>1515</v>
      </c>
      <c r="F38" s="18">
        <v>244802</v>
      </c>
      <c r="G38" s="9">
        <v>45715</v>
      </c>
      <c r="H38" s="1" t="s">
        <v>2512</v>
      </c>
      <c r="I38" s="12" t="s">
        <v>1518</v>
      </c>
      <c r="J38" s="6">
        <v>209134</v>
      </c>
      <c r="K38" s="3">
        <v>15209134</v>
      </c>
      <c r="M38" s="19"/>
    </row>
    <row r="39" spans="1:13" x14ac:dyDescent="0.25">
      <c r="A39" s="1" t="s">
        <v>1554</v>
      </c>
      <c r="B39" s="1" t="s">
        <v>1514</v>
      </c>
      <c r="C39" s="5">
        <v>2</v>
      </c>
      <c r="D39" s="14">
        <v>36792261</v>
      </c>
      <c r="E39" s="1" t="s">
        <v>2504</v>
      </c>
      <c r="F39" s="17">
        <v>5251323</v>
      </c>
      <c r="G39" s="8">
        <v>45510</v>
      </c>
      <c r="H39" s="1" t="s">
        <v>2510</v>
      </c>
      <c r="I39" s="11" t="s">
        <v>2507</v>
      </c>
      <c r="J39" s="6">
        <v>630819</v>
      </c>
      <c r="K39" s="3">
        <v>15630819</v>
      </c>
    </row>
    <row r="40" spans="1:13" x14ac:dyDescent="0.25">
      <c r="A40" s="1" t="s">
        <v>1555</v>
      </c>
      <c r="B40" s="1" t="s">
        <v>1527</v>
      </c>
      <c r="C40" s="5">
        <v>1</v>
      </c>
      <c r="D40" s="15">
        <v>33471915</v>
      </c>
      <c r="E40" s="1" t="s">
        <v>1538</v>
      </c>
      <c r="F40" s="18">
        <v>3924471</v>
      </c>
      <c r="G40" s="9">
        <v>45649</v>
      </c>
      <c r="H40" s="1" t="s">
        <v>1516</v>
      </c>
      <c r="I40" s="12" t="s">
        <v>1512</v>
      </c>
      <c r="J40" s="6">
        <v>590949</v>
      </c>
      <c r="K40" s="3">
        <v>15590949</v>
      </c>
    </row>
    <row r="41" spans="1:13" x14ac:dyDescent="0.25">
      <c r="A41" s="1" t="s">
        <v>1556</v>
      </c>
      <c r="B41" s="1" t="s">
        <v>1514</v>
      </c>
      <c r="C41" s="5">
        <v>4</v>
      </c>
      <c r="D41" s="14">
        <v>48527841</v>
      </c>
      <c r="E41" s="1" t="s">
        <v>1538</v>
      </c>
      <c r="F41" s="17">
        <v>961380</v>
      </c>
      <c r="G41" s="8">
        <v>45743</v>
      </c>
      <c r="H41" s="1" t="s">
        <v>2515</v>
      </c>
      <c r="I41" s="11" t="s">
        <v>1518</v>
      </c>
      <c r="J41" s="6">
        <v>778281</v>
      </c>
      <c r="K41" s="3">
        <v>15778281</v>
      </c>
    </row>
    <row r="42" spans="1:13" x14ac:dyDescent="0.25">
      <c r="A42" s="1" t="s">
        <v>1557</v>
      </c>
      <c r="B42" s="1" t="s">
        <v>1514</v>
      </c>
      <c r="C42" s="5">
        <v>2</v>
      </c>
      <c r="D42" s="15">
        <v>661908</v>
      </c>
      <c r="E42" s="1" t="s">
        <v>2504</v>
      </c>
      <c r="F42" s="18">
        <v>932615</v>
      </c>
      <c r="G42" s="9">
        <v>45574</v>
      </c>
      <c r="H42" s="1" t="s">
        <v>1519</v>
      </c>
      <c r="I42" s="12" t="s">
        <v>2509</v>
      </c>
      <c r="J42" s="6">
        <v>113729</v>
      </c>
      <c r="K42" s="3">
        <v>15113729</v>
      </c>
    </row>
    <row r="43" spans="1:13" x14ac:dyDescent="0.25">
      <c r="A43" s="1" t="s">
        <v>1558</v>
      </c>
      <c r="B43" s="1" t="s">
        <v>1527</v>
      </c>
      <c r="C43" s="5">
        <v>2</v>
      </c>
      <c r="D43" s="14">
        <v>2008269</v>
      </c>
      <c r="E43" s="1" t="s">
        <v>1515</v>
      </c>
      <c r="F43" s="17">
        <v>326042</v>
      </c>
      <c r="G43" s="8">
        <v>45680</v>
      </c>
      <c r="H43" s="1" t="s">
        <v>1519</v>
      </c>
      <c r="I43" s="11" t="s">
        <v>1518</v>
      </c>
      <c r="J43" s="6">
        <v>33645</v>
      </c>
      <c r="K43" s="3">
        <v>15033645</v>
      </c>
    </row>
    <row r="44" spans="1:13" x14ac:dyDescent="0.25">
      <c r="A44" s="1" t="s">
        <v>1559</v>
      </c>
      <c r="B44" s="1" t="s">
        <v>1536</v>
      </c>
      <c r="C44" s="5">
        <v>2</v>
      </c>
      <c r="D44" s="15">
        <v>7402533</v>
      </c>
      <c r="E44" s="1" t="s">
        <v>1515</v>
      </c>
      <c r="F44" s="18">
        <v>369231</v>
      </c>
      <c r="G44" s="9">
        <v>45524</v>
      </c>
      <c r="H44" s="1" t="s">
        <v>2515</v>
      </c>
      <c r="I44" s="12" t="s">
        <v>1518</v>
      </c>
      <c r="J44" s="6">
        <v>140666</v>
      </c>
      <c r="K44" s="3">
        <v>15140666</v>
      </c>
      <c r="M44" s="19"/>
    </row>
    <row r="45" spans="1:13" x14ac:dyDescent="0.25">
      <c r="A45" s="1" t="s">
        <v>2525</v>
      </c>
      <c r="B45" s="1" t="s">
        <v>1532</v>
      </c>
      <c r="C45" s="5">
        <v>3</v>
      </c>
      <c r="D45" s="14">
        <v>25620241</v>
      </c>
      <c r="E45" s="1" t="s">
        <v>2504</v>
      </c>
      <c r="F45" s="17">
        <v>2818664</v>
      </c>
      <c r="G45" s="8">
        <v>45812</v>
      </c>
      <c r="H45" s="1" t="s">
        <v>2515</v>
      </c>
      <c r="I45" s="11" t="s">
        <v>2507</v>
      </c>
      <c r="J45" s="6">
        <v>456032</v>
      </c>
      <c r="K45" s="3">
        <v>15456032</v>
      </c>
    </row>
    <row r="46" spans="1:13" x14ac:dyDescent="0.25">
      <c r="A46" s="1" t="s">
        <v>1560</v>
      </c>
      <c r="B46" s="1" t="s">
        <v>1527</v>
      </c>
      <c r="C46" s="5">
        <v>1</v>
      </c>
      <c r="D46" s="15">
        <v>29550583</v>
      </c>
      <c r="E46" s="1" t="s">
        <v>1515</v>
      </c>
      <c r="F46" s="18">
        <v>7126721</v>
      </c>
      <c r="G46" s="9">
        <v>45687</v>
      </c>
      <c r="H46" s="1" t="s">
        <v>1513</v>
      </c>
      <c r="I46" s="12" t="s">
        <v>2507</v>
      </c>
      <c r="J46" s="6">
        <v>448477</v>
      </c>
      <c r="K46" s="3">
        <v>15448477</v>
      </c>
    </row>
    <row r="47" spans="1:13" x14ac:dyDescent="0.25">
      <c r="A47" s="1" t="s">
        <v>2526</v>
      </c>
      <c r="B47" s="1" t="s">
        <v>1540</v>
      </c>
      <c r="C47" s="5">
        <v>1</v>
      </c>
      <c r="D47" s="14">
        <v>24063535</v>
      </c>
      <c r="E47" s="1" t="s">
        <v>1515</v>
      </c>
      <c r="F47" s="17">
        <v>141233</v>
      </c>
      <c r="G47" s="8">
        <v>45729</v>
      </c>
      <c r="H47" s="1" t="s">
        <v>1516</v>
      </c>
      <c r="I47" s="11" t="s">
        <v>1521</v>
      </c>
      <c r="J47" s="6">
        <v>478446</v>
      </c>
      <c r="K47" s="3">
        <v>15478446</v>
      </c>
    </row>
    <row r="48" spans="1:13" x14ac:dyDescent="0.25">
      <c r="A48" s="1" t="s">
        <v>2527</v>
      </c>
      <c r="B48" s="1" t="s">
        <v>1523</v>
      </c>
      <c r="C48" s="5">
        <v>3</v>
      </c>
      <c r="D48" s="15">
        <v>12805702</v>
      </c>
      <c r="E48" s="1" t="s">
        <v>1538</v>
      </c>
      <c r="F48" s="18">
        <v>1281421</v>
      </c>
      <c r="G48" s="9">
        <v>45675</v>
      </c>
      <c r="H48" s="1" t="s">
        <v>2515</v>
      </c>
      <c r="I48" s="12" t="s">
        <v>2509</v>
      </c>
      <c r="J48" s="6">
        <v>230486</v>
      </c>
      <c r="K48" s="3">
        <v>15230486</v>
      </c>
    </row>
    <row r="49" spans="1:13" x14ac:dyDescent="0.25">
      <c r="A49" s="1" t="s">
        <v>1561</v>
      </c>
      <c r="B49" s="1" t="s">
        <v>1527</v>
      </c>
      <c r="C49" s="5">
        <v>3</v>
      </c>
      <c r="D49" s="14">
        <v>29716268</v>
      </c>
      <c r="E49" s="1" t="s">
        <v>1538</v>
      </c>
      <c r="F49" s="17">
        <v>6147159</v>
      </c>
      <c r="G49" s="8">
        <v>45722</v>
      </c>
      <c r="H49" s="1" t="s">
        <v>1519</v>
      </c>
      <c r="I49" s="11" t="s">
        <v>1521</v>
      </c>
      <c r="J49" s="6">
        <v>471382</v>
      </c>
      <c r="K49" s="3">
        <v>15471382</v>
      </c>
    </row>
    <row r="50" spans="1:13" x14ac:dyDescent="0.25">
      <c r="A50" s="1" t="s">
        <v>1562</v>
      </c>
      <c r="B50" s="1" t="s">
        <v>1527</v>
      </c>
      <c r="C50" s="5">
        <v>1</v>
      </c>
      <c r="D50" s="15">
        <v>1960641</v>
      </c>
      <c r="E50" s="1" t="s">
        <v>1538</v>
      </c>
      <c r="F50" s="18">
        <v>166639</v>
      </c>
      <c r="G50" s="9">
        <v>45572</v>
      </c>
      <c r="H50" s="1" t="s">
        <v>1513</v>
      </c>
      <c r="I50" s="12" t="s">
        <v>2507</v>
      </c>
      <c r="J50" s="6">
        <v>388795</v>
      </c>
      <c r="K50" s="3">
        <v>15388795</v>
      </c>
    </row>
    <row r="51" spans="1:13" x14ac:dyDescent="0.25">
      <c r="A51" s="1" t="s">
        <v>1563</v>
      </c>
      <c r="B51" s="1" t="s">
        <v>1536</v>
      </c>
      <c r="C51" s="5">
        <v>3</v>
      </c>
      <c r="D51" s="14">
        <v>47056451</v>
      </c>
      <c r="E51" s="1" t="s">
        <v>1515</v>
      </c>
      <c r="F51" s="17">
        <v>2386526</v>
      </c>
      <c r="G51" s="8">
        <v>45737</v>
      </c>
      <c r="H51" s="1" t="s">
        <v>2512</v>
      </c>
      <c r="I51" s="11" t="s">
        <v>2511</v>
      </c>
      <c r="J51" s="6">
        <v>893399</v>
      </c>
      <c r="K51" s="3">
        <v>15893399</v>
      </c>
    </row>
    <row r="52" spans="1:13" x14ac:dyDescent="0.25">
      <c r="A52" s="1" t="s">
        <v>1564</v>
      </c>
      <c r="B52" s="1" t="s">
        <v>1540</v>
      </c>
      <c r="C52" s="5">
        <v>3</v>
      </c>
      <c r="D52" s="15">
        <v>2011788</v>
      </c>
      <c r="E52" s="1" t="s">
        <v>2504</v>
      </c>
      <c r="F52" s="18">
        <v>1300479</v>
      </c>
      <c r="G52" s="9">
        <v>45557</v>
      </c>
      <c r="H52" s="1" t="s">
        <v>2508</v>
      </c>
      <c r="I52" s="12" t="s">
        <v>2509</v>
      </c>
      <c r="J52" s="6">
        <v>376348</v>
      </c>
      <c r="K52" s="3">
        <v>15376348</v>
      </c>
    </row>
    <row r="53" spans="1:13" x14ac:dyDescent="0.25">
      <c r="A53" s="1" t="s">
        <v>2528</v>
      </c>
      <c r="B53" s="1" t="s">
        <v>1536</v>
      </c>
      <c r="C53" s="5">
        <v>3</v>
      </c>
      <c r="D53" s="14">
        <v>29024138</v>
      </c>
      <c r="E53" s="1" t="s">
        <v>1538</v>
      </c>
      <c r="F53" s="17">
        <v>1079241</v>
      </c>
      <c r="G53" s="8">
        <v>45742</v>
      </c>
      <c r="H53" s="1" t="s">
        <v>2512</v>
      </c>
      <c r="I53" s="11" t="s">
        <v>1521</v>
      </c>
      <c r="J53" s="6">
        <v>558898</v>
      </c>
      <c r="K53" s="3">
        <v>15558898</v>
      </c>
    </row>
    <row r="54" spans="1:13" x14ac:dyDescent="0.25">
      <c r="A54" s="1" t="s">
        <v>2529</v>
      </c>
      <c r="B54" s="1" t="s">
        <v>1534</v>
      </c>
      <c r="C54" s="5">
        <v>2</v>
      </c>
      <c r="D54" s="15">
        <v>43031024</v>
      </c>
      <c r="E54" s="1" t="s">
        <v>1515</v>
      </c>
      <c r="F54" s="18">
        <v>10109564</v>
      </c>
      <c r="G54" s="9">
        <v>45748</v>
      </c>
      <c r="H54" s="1" t="s">
        <v>1513</v>
      </c>
      <c r="I54" s="12" t="s">
        <v>1521</v>
      </c>
      <c r="J54" s="6">
        <v>658429</v>
      </c>
      <c r="K54" s="3">
        <v>15658429</v>
      </c>
    </row>
    <row r="55" spans="1:13" x14ac:dyDescent="0.25">
      <c r="A55" s="1" t="s">
        <v>1565</v>
      </c>
      <c r="B55" s="1" t="s">
        <v>1540</v>
      </c>
      <c r="C55" s="5">
        <v>4</v>
      </c>
      <c r="D55" s="14">
        <v>5280179</v>
      </c>
      <c r="E55" s="1" t="s">
        <v>2504</v>
      </c>
      <c r="F55" s="17">
        <v>1036767</v>
      </c>
      <c r="G55" s="8">
        <v>45662</v>
      </c>
      <c r="H55" s="1" t="s">
        <v>2510</v>
      </c>
      <c r="I55" s="11" t="s">
        <v>1518</v>
      </c>
      <c r="J55" s="6">
        <v>84868</v>
      </c>
      <c r="K55" s="3">
        <v>15084868</v>
      </c>
      <c r="M55" s="19"/>
    </row>
    <row r="56" spans="1:13" x14ac:dyDescent="0.25">
      <c r="A56" s="1" t="s">
        <v>1566</v>
      </c>
      <c r="B56" s="1" t="s">
        <v>1525</v>
      </c>
      <c r="C56" s="5">
        <v>3</v>
      </c>
      <c r="D56" s="15">
        <v>23441593</v>
      </c>
      <c r="E56" s="1" t="s">
        <v>1515</v>
      </c>
      <c r="F56" s="18">
        <v>455538</v>
      </c>
      <c r="G56" s="9">
        <v>45597</v>
      </c>
      <c r="H56" s="1" t="s">
        <v>2510</v>
      </c>
      <c r="I56" s="12" t="s">
        <v>1512</v>
      </c>
      <c r="J56" s="6">
        <v>377724</v>
      </c>
      <c r="K56" s="3">
        <v>15377724</v>
      </c>
    </row>
    <row r="57" spans="1:13" x14ac:dyDescent="0.25">
      <c r="A57" s="1" t="s">
        <v>1567</v>
      </c>
      <c r="B57" s="1" t="s">
        <v>1517</v>
      </c>
      <c r="C57" s="5">
        <v>3</v>
      </c>
      <c r="D57" s="14">
        <v>9742708</v>
      </c>
      <c r="E57" s="1" t="s">
        <v>1538</v>
      </c>
      <c r="F57" s="17">
        <v>1304639</v>
      </c>
      <c r="G57" s="8">
        <v>45743</v>
      </c>
      <c r="H57" s="1" t="s">
        <v>2508</v>
      </c>
      <c r="I57" s="11" t="s">
        <v>1521</v>
      </c>
      <c r="J57" s="6">
        <v>168761</v>
      </c>
      <c r="K57" s="3">
        <v>15168761</v>
      </c>
    </row>
    <row r="58" spans="1:13" x14ac:dyDescent="0.25">
      <c r="A58" s="1" t="s">
        <v>2530</v>
      </c>
      <c r="B58" s="1" t="s">
        <v>1525</v>
      </c>
      <c r="C58" s="5">
        <v>5</v>
      </c>
      <c r="D58" s="15">
        <v>3950388</v>
      </c>
      <c r="E58" s="1" t="s">
        <v>1515</v>
      </c>
      <c r="F58" s="18">
        <v>76978</v>
      </c>
      <c r="G58" s="9">
        <v>45719</v>
      </c>
      <c r="H58" s="1" t="s">
        <v>1519</v>
      </c>
      <c r="I58" s="12" t="s">
        <v>1518</v>
      </c>
      <c r="J58" s="6">
        <v>77468</v>
      </c>
      <c r="K58" s="3">
        <v>15077468</v>
      </c>
    </row>
    <row r="59" spans="1:13" x14ac:dyDescent="0.25">
      <c r="A59" s="1" t="s">
        <v>2531</v>
      </c>
      <c r="B59" s="1" t="s">
        <v>1525</v>
      </c>
      <c r="C59" s="5">
        <v>3</v>
      </c>
      <c r="D59" s="14">
        <v>3145434</v>
      </c>
      <c r="E59" s="1" t="s">
        <v>2504</v>
      </c>
      <c r="F59" s="17">
        <v>4632348</v>
      </c>
      <c r="G59" s="8">
        <v>45520</v>
      </c>
      <c r="H59" s="1" t="s">
        <v>1516</v>
      </c>
      <c r="I59" s="11" t="s">
        <v>1521</v>
      </c>
      <c r="J59" s="6">
        <v>53644</v>
      </c>
      <c r="K59" s="3">
        <v>1553644</v>
      </c>
    </row>
    <row r="60" spans="1:13" x14ac:dyDescent="0.25">
      <c r="A60" s="1" t="s">
        <v>1568</v>
      </c>
      <c r="B60" s="1" t="s">
        <v>1517</v>
      </c>
      <c r="C60" s="5">
        <v>4</v>
      </c>
      <c r="D60" s="15">
        <v>48110033</v>
      </c>
      <c r="E60" s="1" t="s">
        <v>2504</v>
      </c>
      <c r="F60" s="18">
        <v>5735445</v>
      </c>
      <c r="G60" s="9">
        <v>45824</v>
      </c>
      <c r="H60" s="1" t="s">
        <v>2510</v>
      </c>
      <c r="I60" s="12" t="s">
        <v>2511</v>
      </c>
      <c r="J60" s="6">
        <v>847492</v>
      </c>
      <c r="K60" s="3">
        <v>15847492</v>
      </c>
    </row>
    <row r="61" spans="1:13" x14ac:dyDescent="0.25">
      <c r="A61" s="1" t="s">
        <v>1569</v>
      </c>
      <c r="B61" s="1" t="s">
        <v>1534</v>
      </c>
      <c r="C61" s="5">
        <v>2</v>
      </c>
      <c r="D61" s="14">
        <v>45249698</v>
      </c>
      <c r="E61" s="1" t="s">
        <v>2504</v>
      </c>
      <c r="F61" s="17">
        <v>3634438</v>
      </c>
      <c r="G61" s="8">
        <v>45557</v>
      </c>
      <c r="H61" s="1" t="s">
        <v>1543</v>
      </c>
      <c r="I61" s="11" t="s">
        <v>1518</v>
      </c>
      <c r="J61" s="6">
        <v>832305</v>
      </c>
      <c r="K61" s="3">
        <v>15832305</v>
      </c>
    </row>
    <row r="62" spans="1:13" x14ac:dyDescent="0.25">
      <c r="A62" s="1" t="s">
        <v>1570</v>
      </c>
      <c r="B62" s="1" t="s">
        <v>1532</v>
      </c>
      <c r="C62" s="5">
        <v>5</v>
      </c>
      <c r="D62" s="15">
        <v>3877660</v>
      </c>
      <c r="E62" s="1" t="s">
        <v>2504</v>
      </c>
      <c r="F62" s="18">
        <v>5670114</v>
      </c>
      <c r="G62" s="9">
        <v>45533</v>
      </c>
      <c r="H62" s="1" t="s">
        <v>2508</v>
      </c>
      <c r="I62" s="12" t="s">
        <v>2511</v>
      </c>
      <c r="J62" s="6">
        <v>66213</v>
      </c>
      <c r="K62" s="3">
        <v>1566213</v>
      </c>
    </row>
    <row r="63" spans="1:13" x14ac:dyDescent="0.25">
      <c r="A63" s="1" t="s">
        <v>1571</v>
      </c>
      <c r="B63" s="1" t="s">
        <v>1545</v>
      </c>
      <c r="C63" s="5">
        <v>4</v>
      </c>
      <c r="D63" s="14">
        <v>17216935</v>
      </c>
      <c r="E63" s="1" t="s">
        <v>2504</v>
      </c>
      <c r="F63" s="17">
        <v>302897</v>
      </c>
      <c r="G63" s="8">
        <v>45723</v>
      </c>
      <c r="H63" s="1" t="s">
        <v>2508</v>
      </c>
      <c r="I63" s="11" t="s">
        <v>2511</v>
      </c>
      <c r="J63" s="6">
        <v>338281</v>
      </c>
      <c r="K63" s="3">
        <v>15338281</v>
      </c>
    </row>
    <row r="64" spans="1:13" x14ac:dyDescent="0.25">
      <c r="A64" s="1" t="s">
        <v>1572</v>
      </c>
      <c r="B64" s="1" t="s">
        <v>1523</v>
      </c>
      <c r="C64" s="5">
        <v>1</v>
      </c>
      <c r="D64" s="15">
        <v>20529285</v>
      </c>
      <c r="E64" s="1" t="s">
        <v>2504</v>
      </c>
      <c r="F64" s="18">
        <v>3026701</v>
      </c>
      <c r="G64" s="9">
        <v>45537</v>
      </c>
      <c r="H64" s="1" t="s">
        <v>2519</v>
      </c>
      <c r="I64" s="12" t="s">
        <v>2507</v>
      </c>
      <c r="J64" s="6">
        <v>350052</v>
      </c>
      <c r="K64" s="3">
        <v>15350052</v>
      </c>
    </row>
    <row r="65" spans="1:11" x14ac:dyDescent="0.25">
      <c r="A65" s="1" t="s">
        <v>1573</v>
      </c>
      <c r="B65" s="1" t="s">
        <v>1514</v>
      </c>
      <c r="C65" s="5">
        <v>5</v>
      </c>
      <c r="D65" s="14">
        <v>47253322</v>
      </c>
      <c r="E65" s="1" t="s">
        <v>2504</v>
      </c>
      <c r="F65" s="17">
        <v>10416887</v>
      </c>
      <c r="G65" s="8">
        <v>45772</v>
      </c>
      <c r="H65" s="1" t="s">
        <v>1513</v>
      </c>
      <c r="I65" s="11" t="s">
        <v>2511</v>
      </c>
      <c r="J65" s="6">
        <v>736729</v>
      </c>
      <c r="K65" s="3">
        <v>15736729</v>
      </c>
    </row>
    <row r="66" spans="1:11" x14ac:dyDescent="0.25">
      <c r="A66" s="1" t="s">
        <v>2532</v>
      </c>
      <c r="B66" s="1" t="s">
        <v>1540</v>
      </c>
      <c r="C66" s="5">
        <v>5</v>
      </c>
      <c r="D66" s="15">
        <v>36456413</v>
      </c>
      <c r="E66" s="1" t="s">
        <v>1538</v>
      </c>
      <c r="F66" s="18">
        <v>8895486</v>
      </c>
      <c r="G66" s="9">
        <v>45641</v>
      </c>
      <c r="H66" s="1" t="s">
        <v>2515</v>
      </c>
      <c r="I66" s="12" t="s">
        <v>1521</v>
      </c>
      <c r="J66" s="6">
        <v>551219</v>
      </c>
      <c r="K66" s="3">
        <v>15551219</v>
      </c>
    </row>
    <row r="67" spans="1:11" x14ac:dyDescent="0.25">
      <c r="A67" s="1" t="s">
        <v>2533</v>
      </c>
      <c r="B67" s="1" t="s">
        <v>1545</v>
      </c>
      <c r="C67" s="5">
        <v>1</v>
      </c>
      <c r="D67" s="14">
        <v>34372474</v>
      </c>
      <c r="E67" s="1" t="s">
        <v>1538</v>
      </c>
      <c r="F67" s="17">
        <v>4373643</v>
      </c>
      <c r="G67" s="8">
        <v>45779</v>
      </c>
      <c r="H67" s="1" t="s">
        <v>2510</v>
      </c>
      <c r="I67" s="11" t="s">
        <v>2511</v>
      </c>
      <c r="J67" s="6">
        <v>599977</v>
      </c>
      <c r="K67" s="3">
        <v>15599977</v>
      </c>
    </row>
    <row r="68" spans="1:11" x14ac:dyDescent="0.25">
      <c r="A68" s="1" t="s">
        <v>1574</v>
      </c>
      <c r="B68" s="1" t="s">
        <v>1532</v>
      </c>
      <c r="C68" s="5">
        <v>3</v>
      </c>
      <c r="D68" s="15">
        <v>49140072</v>
      </c>
      <c r="E68" s="1" t="s">
        <v>1515</v>
      </c>
      <c r="F68" s="18">
        <v>139970</v>
      </c>
      <c r="G68" s="9">
        <v>45593</v>
      </c>
      <c r="H68" s="1" t="s">
        <v>2515</v>
      </c>
      <c r="I68" s="12" t="s">
        <v>2509</v>
      </c>
      <c r="J68" s="6">
        <v>954807</v>
      </c>
      <c r="K68" s="3">
        <v>15954807</v>
      </c>
    </row>
    <row r="69" spans="1:11" x14ac:dyDescent="0.25">
      <c r="A69" s="1" t="s">
        <v>1575</v>
      </c>
      <c r="B69" s="1" t="s">
        <v>1532</v>
      </c>
      <c r="C69" s="5">
        <v>3</v>
      </c>
      <c r="D69" s="14">
        <v>6260226</v>
      </c>
      <c r="E69" s="1" t="s">
        <v>1515</v>
      </c>
      <c r="F69" s="17">
        <v>112317</v>
      </c>
      <c r="G69" s="8">
        <v>45850</v>
      </c>
      <c r="H69" s="1" t="s">
        <v>1513</v>
      </c>
      <c r="I69" s="11" t="s">
        <v>2509</v>
      </c>
      <c r="J69" s="6">
        <v>102741</v>
      </c>
      <c r="K69" s="3">
        <v>15102741</v>
      </c>
    </row>
    <row r="70" spans="1:11" x14ac:dyDescent="0.25">
      <c r="A70" s="1" t="s">
        <v>1576</v>
      </c>
      <c r="B70" s="1" t="s">
        <v>1523</v>
      </c>
      <c r="C70" s="5">
        <v>4</v>
      </c>
      <c r="D70" s="15">
        <v>48023534</v>
      </c>
      <c r="E70" s="1" t="s">
        <v>1515</v>
      </c>
      <c r="F70" s="18">
        <v>8299608</v>
      </c>
      <c r="G70" s="9">
        <v>45694</v>
      </c>
      <c r="H70" s="1" t="s">
        <v>1516</v>
      </c>
      <c r="I70" s="12" t="s">
        <v>1521</v>
      </c>
      <c r="J70" s="6">
        <v>794479</v>
      </c>
      <c r="K70" s="3">
        <v>15794479</v>
      </c>
    </row>
    <row r="71" spans="1:11" x14ac:dyDescent="0.25">
      <c r="A71" s="1" t="s">
        <v>1577</v>
      </c>
      <c r="B71" s="1" t="s">
        <v>1523</v>
      </c>
      <c r="C71" s="5">
        <v>2</v>
      </c>
      <c r="D71" s="14">
        <v>49958799</v>
      </c>
      <c r="E71" s="1" t="s">
        <v>2504</v>
      </c>
      <c r="F71" s="17">
        <v>1923684</v>
      </c>
      <c r="G71" s="8">
        <v>45777</v>
      </c>
      <c r="H71" s="1" t="s">
        <v>1543</v>
      </c>
      <c r="I71" s="11" t="s">
        <v>1512</v>
      </c>
      <c r="J71" s="6">
        <v>960702</v>
      </c>
      <c r="K71" s="3">
        <v>15960702</v>
      </c>
    </row>
    <row r="72" spans="1:11" x14ac:dyDescent="0.25">
      <c r="A72" s="1" t="s">
        <v>1578</v>
      </c>
      <c r="B72" s="1" t="s">
        <v>1540</v>
      </c>
      <c r="C72" s="5">
        <v>5</v>
      </c>
      <c r="D72" s="15">
        <v>1481490</v>
      </c>
      <c r="E72" s="1" t="s">
        <v>1515</v>
      </c>
      <c r="F72" s="18">
        <v>1575873</v>
      </c>
      <c r="G72" s="9">
        <v>45685</v>
      </c>
      <c r="H72" s="1" t="s">
        <v>2510</v>
      </c>
      <c r="I72" s="12" t="s">
        <v>2511</v>
      </c>
      <c r="J72" s="6">
        <v>264781</v>
      </c>
      <c r="K72" s="3">
        <v>15264781</v>
      </c>
    </row>
    <row r="73" spans="1:11" x14ac:dyDescent="0.25">
      <c r="A73" s="1" t="s">
        <v>2534</v>
      </c>
      <c r="B73" s="1" t="s">
        <v>1523</v>
      </c>
      <c r="C73" s="5">
        <v>4</v>
      </c>
      <c r="D73" s="14">
        <v>1605591</v>
      </c>
      <c r="E73" s="1" t="s">
        <v>2504</v>
      </c>
      <c r="F73" s="17">
        <v>3707196</v>
      </c>
      <c r="G73" s="8">
        <v>45778</v>
      </c>
      <c r="H73" s="1" t="s">
        <v>2510</v>
      </c>
      <c r="I73" s="11" t="s">
        <v>2511</v>
      </c>
      <c r="J73" s="6">
        <v>246974</v>
      </c>
      <c r="K73" s="3">
        <v>15246974</v>
      </c>
    </row>
    <row r="74" spans="1:11" x14ac:dyDescent="0.25">
      <c r="A74" s="1" t="s">
        <v>2535</v>
      </c>
      <c r="B74" s="1" t="s">
        <v>1514</v>
      </c>
      <c r="C74" s="5">
        <v>3</v>
      </c>
      <c r="D74" s="15">
        <v>35142452</v>
      </c>
      <c r="E74" s="1" t="s">
        <v>2504</v>
      </c>
      <c r="F74" s="18">
        <v>7845888</v>
      </c>
      <c r="G74" s="9">
        <v>45820</v>
      </c>
      <c r="H74" s="1" t="s">
        <v>1513</v>
      </c>
      <c r="I74" s="12" t="s">
        <v>1521</v>
      </c>
      <c r="J74" s="6">
        <v>545931</v>
      </c>
      <c r="K74" s="3">
        <v>15545931</v>
      </c>
    </row>
    <row r="75" spans="1:11" x14ac:dyDescent="0.25">
      <c r="A75" s="1" t="s">
        <v>2536</v>
      </c>
      <c r="B75" s="1" t="s">
        <v>1534</v>
      </c>
      <c r="C75" s="5">
        <v>1</v>
      </c>
      <c r="D75" s="14">
        <v>43746579</v>
      </c>
      <c r="E75" s="1" t="s">
        <v>2504</v>
      </c>
      <c r="F75" s="17">
        <v>8778749</v>
      </c>
      <c r="G75" s="8">
        <v>45530</v>
      </c>
      <c r="H75" s="1" t="s">
        <v>1522</v>
      </c>
      <c r="I75" s="11" t="s">
        <v>2507</v>
      </c>
      <c r="J75" s="6">
        <v>699357</v>
      </c>
      <c r="K75" s="3">
        <v>15699357</v>
      </c>
    </row>
    <row r="76" spans="1:11" x14ac:dyDescent="0.25">
      <c r="A76" s="1" t="s">
        <v>1579</v>
      </c>
      <c r="B76" s="1" t="s">
        <v>1536</v>
      </c>
      <c r="C76" s="5">
        <v>2</v>
      </c>
      <c r="D76" s="15">
        <v>19994413</v>
      </c>
      <c r="E76" s="1" t="s">
        <v>1538</v>
      </c>
      <c r="F76" s="18">
        <v>3986469</v>
      </c>
      <c r="G76" s="9">
        <v>45608</v>
      </c>
      <c r="H76" s="1" t="s">
        <v>2508</v>
      </c>
      <c r="I76" s="12" t="s">
        <v>1518</v>
      </c>
      <c r="J76" s="6">
        <v>320159</v>
      </c>
      <c r="K76" s="3">
        <v>15320159</v>
      </c>
    </row>
    <row r="77" spans="1:11" x14ac:dyDescent="0.25">
      <c r="A77" s="1" t="s">
        <v>1580</v>
      </c>
      <c r="B77" s="1" t="s">
        <v>1514</v>
      </c>
      <c r="C77" s="5">
        <v>4</v>
      </c>
      <c r="D77" s="14">
        <v>46343668</v>
      </c>
      <c r="E77" s="1" t="s">
        <v>2504</v>
      </c>
      <c r="F77" s="17">
        <v>3653919</v>
      </c>
      <c r="G77" s="8">
        <v>45859</v>
      </c>
      <c r="H77" s="1" t="s">
        <v>1516</v>
      </c>
      <c r="I77" s="11" t="s">
        <v>2507</v>
      </c>
      <c r="J77" s="6">
        <v>853795</v>
      </c>
      <c r="K77" s="3">
        <v>15853795</v>
      </c>
    </row>
    <row r="78" spans="1:11" x14ac:dyDescent="0.25">
      <c r="A78" s="1" t="s">
        <v>2537</v>
      </c>
      <c r="B78" s="1" t="s">
        <v>1514</v>
      </c>
      <c r="C78" s="5">
        <v>4</v>
      </c>
      <c r="D78" s="15">
        <v>12278122</v>
      </c>
      <c r="E78" s="1" t="s">
        <v>2504</v>
      </c>
      <c r="F78" s="18">
        <v>2797098</v>
      </c>
      <c r="G78" s="9">
        <v>45729</v>
      </c>
      <c r="H78" s="1" t="s">
        <v>1543</v>
      </c>
      <c r="I78" s="12" t="s">
        <v>1518</v>
      </c>
      <c r="J78" s="6">
        <v>18962</v>
      </c>
      <c r="K78" s="3">
        <v>1518962</v>
      </c>
    </row>
    <row r="79" spans="1:11" x14ac:dyDescent="0.25">
      <c r="A79" s="1" t="s">
        <v>1581</v>
      </c>
      <c r="B79" s="1" t="s">
        <v>1545</v>
      </c>
      <c r="C79" s="5">
        <v>5</v>
      </c>
      <c r="D79" s="14">
        <v>5633482</v>
      </c>
      <c r="E79" s="1" t="s">
        <v>1515</v>
      </c>
      <c r="F79" s="17">
        <v>49697</v>
      </c>
      <c r="G79" s="8">
        <v>45814</v>
      </c>
      <c r="H79" s="1" t="s">
        <v>1522</v>
      </c>
      <c r="I79" s="11" t="s">
        <v>2507</v>
      </c>
      <c r="J79" s="6">
        <v>111676</v>
      </c>
      <c r="K79" s="3">
        <v>15111676</v>
      </c>
    </row>
    <row r="80" spans="1:11" x14ac:dyDescent="0.25">
      <c r="A80" s="1" t="s">
        <v>2538</v>
      </c>
      <c r="B80" s="1" t="s">
        <v>1514</v>
      </c>
      <c r="C80" s="5">
        <v>5</v>
      </c>
      <c r="D80" s="15">
        <v>49883931</v>
      </c>
      <c r="E80" s="1" t="s">
        <v>1515</v>
      </c>
      <c r="F80" s="18">
        <v>11306924</v>
      </c>
      <c r="G80" s="9">
        <v>45522</v>
      </c>
      <c r="H80" s="1" t="s">
        <v>2515</v>
      </c>
      <c r="I80" s="12" t="s">
        <v>2507</v>
      </c>
      <c r="J80" s="6">
        <v>77154</v>
      </c>
      <c r="K80" s="3">
        <v>1577154</v>
      </c>
    </row>
    <row r="81" spans="1:11" x14ac:dyDescent="0.25">
      <c r="A81" s="1" t="s">
        <v>1582</v>
      </c>
      <c r="B81" s="1" t="s">
        <v>1523</v>
      </c>
      <c r="C81" s="5">
        <v>3</v>
      </c>
      <c r="D81" s="14">
        <v>3032027</v>
      </c>
      <c r="E81" s="1" t="s">
        <v>2504</v>
      </c>
      <c r="F81" s="17">
        <v>73795</v>
      </c>
      <c r="G81" s="8">
        <v>45502</v>
      </c>
      <c r="H81" s="1" t="s">
        <v>1543</v>
      </c>
      <c r="I81" s="11" t="s">
        <v>1518</v>
      </c>
      <c r="J81" s="6">
        <v>45882</v>
      </c>
      <c r="K81" s="3">
        <v>15045882</v>
      </c>
    </row>
    <row r="82" spans="1:11" x14ac:dyDescent="0.25">
      <c r="A82" s="1" t="s">
        <v>1583</v>
      </c>
      <c r="B82" s="1" t="s">
        <v>1536</v>
      </c>
      <c r="C82" s="5">
        <v>1</v>
      </c>
      <c r="D82" s="15">
        <v>880770</v>
      </c>
      <c r="E82" s="1" t="s">
        <v>1538</v>
      </c>
      <c r="F82" s="18">
        <v>2139692</v>
      </c>
      <c r="G82" s="9">
        <v>45807</v>
      </c>
      <c r="H82" s="1" t="s">
        <v>2510</v>
      </c>
      <c r="I82" s="12" t="s">
        <v>1521</v>
      </c>
      <c r="J82" s="6">
        <v>13336</v>
      </c>
      <c r="K82" s="3">
        <v>1513336</v>
      </c>
    </row>
    <row r="83" spans="1:11" x14ac:dyDescent="0.25">
      <c r="A83" s="1" t="s">
        <v>2539</v>
      </c>
      <c r="B83" s="1" t="s">
        <v>1540</v>
      </c>
      <c r="C83" s="5">
        <v>5</v>
      </c>
      <c r="D83" s="14">
        <v>33423829</v>
      </c>
      <c r="E83" s="1" t="s">
        <v>1538</v>
      </c>
      <c r="F83" s="17">
        <v>4438191</v>
      </c>
      <c r="G83" s="8">
        <v>45612</v>
      </c>
      <c r="H83" s="1" t="s">
        <v>1513</v>
      </c>
      <c r="I83" s="11" t="s">
        <v>2507</v>
      </c>
      <c r="J83" s="6">
        <v>579713</v>
      </c>
      <c r="K83" s="3">
        <v>15579713</v>
      </c>
    </row>
    <row r="84" spans="1:11" x14ac:dyDescent="0.25">
      <c r="A84" s="1" t="s">
        <v>1584</v>
      </c>
      <c r="B84" s="1" t="s">
        <v>1545</v>
      </c>
      <c r="C84" s="5">
        <v>5</v>
      </c>
      <c r="D84" s="15">
        <v>20102812</v>
      </c>
      <c r="E84" s="1" t="s">
        <v>1538</v>
      </c>
      <c r="F84" s="18">
        <v>2948746</v>
      </c>
      <c r="G84" s="9">
        <v>45602</v>
      </c>
      <c r="H84" s="1" t="s">
        <v>2519</v>
      </c>
      <c r="I84" s="12" t="s">
        <v>1521</v>
      </c>
      <c r="J84" s="6">
        <v>343081</v>
      </c>
      <c r="K84" s="3">
        <v>15343081</v>
      </c>
    </row>
    <row r="85" spans="1:11" x14ac:dyDescent="0.25">
      <c r="A85" s="1" t="s">
        <v>1585</v>
      </c>
      <c r="B85" s="1" t="s">
        <v>1517</v>
      </c>
      <c r="C85" s="5">
        <v>4</v>
      </c>
      <c r="D85" s="14">
        <v>4202195</v>
      </c>
      <c r="E85" s="1" t="s">
        <v>2504</v>
      </c>
      <c r="F85" s="17">
        <v>6035632</v>
      </c>
      <c r="G85" s="8">
        <v>45677</v>
      </c>
      <c r="H85" s="1" t="s">
        <v>1516</v>
      </c>
      <c r="I85" s="11" t="s">
        <v>1521</v>
      </c>
      <c r="J85" s="6">
        <v>719726</v>
      </c>
      <c r="K85" s="3">
        <v>15719726</v>
      </c>
    </row>
    <row r="86" spans="1:11" x14ac:dyDescent="0.25">
      <c r="A86" s="1" t="s">
        <v>2540</v>
      </c>
      <c r="B86" s="1" t="s">
        <v>1525</v>
      </c>
      <c r="C86" s="5">
        <v>4</v>
      </c>
      <c r="D86" s="15">
        <v>2004624</v>
      </c>
      <c r="E86" s="1" t="s">
        <v>2504</v>
      </c>
      <c r="F86" s="18">
        <v>409656</v>
      </c>
      <c r="G86" s="9">
        <v>45782</v>
      </c>
      <c r="H86" s="1" t="s">
        <v>2519</v>
      </c>
      <c r="I86" s="12" t="s">
        <v>2509</v>
      </c>
      <c r="J86" s="6">
        <v>31899</v>
      </c>
      <c r="K86" s="3">
        <v>15031899</v>
      </c>
    </row>
    <row r="87" spans="1:11" x14ac:dyDescent="0.25">
      <c r="A87" s="1" t="s">
        <v>2541</v>
      </c>
      <c r="B87" s="1" t="s">
        <v>1534</v>
      </c>
      <c r="C87" s="5">
        <v>5</v>
      </c>
      <c r="D87" s="14">
        <v>28462984</v>
      </c>
      <c r="E87" s="1" t="s">
        <v>1515</v>
      </c>
      <c r="F87" s="17">
        <v>6560088</v>
      </c>
      <c r="G87" s="8">
        <v>45617</v>
      </c>
      <c r="H87" s="1" t="s">
        <v>2510</v>
      </c>
      <c r="I87" s="11" t="s">
        <v>2509</v>
      </c>
      <c r="J87" s="6">
        <v>438058</v>
      </c>
      <c r="K87" s="3">
        <v>15438058</v>
      </c>
    </row>
    <row r="88" spans="1:11" x14ac:dyDescent="0.25">
      <c r="A88" s="1" t="s">
        <v>1586</v>
      </c>
      <c r="B88" s="1" t="s">
        <v>1545</v>
      </c>
      <c r="C88" s="5">
        <v>3</v>
      </c>
      <c r="D88" s="15">
        <v>1658840</v>
      </c>
      <c r="E88" s="1" t="s">
        <v>1538</v>
      </c>
      <c r="F88" s="18">
        <v>3104009</v>
      </c>
      <c r="G88" s="9">
        <v>45631</v>
      </c>
      <c r="H88" s="1" t="s">
        <v>2515</v>
      </c>
      <c r="I88" s="12" t="s">
        <v>2511</v>
      </c>
      <c r="J88" s="6">
        <v>269688</v>
      </c>
      <c r="K88" s="3">
        <v>15269688</v>
      </c>
    </row>
    <row r="89" spans="1:11" x14ac:dyDescent="0.25">
      <c r="A89" s="1" t="s">
        <v>2542</v>
      </c>
      <c r="B89" s="1" t="s">
        <v>1527</v>
      </c>
      <c r="C89" s="5">
        <v>3</v>
      </c>
      <c r="D89" s="14">
        <v>17396161</v>
      </c>
      <c r="E89" s="1" t="s">
        <v>1515</v>
      </c>
      <c r="F89" s="17">
        <v>1549442</v>
      </c>
      <c r="G89" s="8">
        <v>45539</v>
      </c>
      <c r="H89" s="1" t="s">
        <v>1513</v>
      </c>
      <c r="I89" s="11" t="s">
        <v>2509</v>
      </c>
      <c r="J89" s="6">
        <v>316934</v>
      </c>
      <c r="K89" s="3">
        <v>15316934</v>
      </c>
    </row>
    <row r="90" spans="1:11" x14ac:dyDescent="0.25">
      <c r="A90" s="1" t="s">
        <v>1587</v>
      </c>
      <c r="B90" s="1" t="s">
        <v>1536</v>
      </c>
      <c r="C90" s="5">
        <v>4</v>
      </c>
      <c r="D90" s="15">
        <v>442202</v>
      </c>
      <c r="E90" s="1" t="s">
        <v>2504</v>
      </c>
      <c r="F90" s="18">
        <v>431752</v>
      </c>
      <c r="G90" s="9">
        <v>45827</v>
      </c>
      <c r="H90" s="1" t="s">
        <v>1519</v>
      </c>
      <c r="I90" s="12" t="s">
        <v>1518</v>
      </c>
      <c r="J90" s="6">
        <v>79805</v>
      </c>
      <c r="K90" s="3">
        <v>15079805</v>
      </c>
    </row>
    <row r="91" spans="1:11" x14ac:dyDescent="0.25">
      <c r="A91" s="1" t="s">
        <v>2543</v>
      </c>
      <c r="B91" s="1" t="s">
        <v>1540</v>
      </c>
      <c r="C91" s="5">
        <v>3</v>
      </c>
      <c r="D91" s="14">
        <v>32813996</v>
      </c>
      <c r="E91" s="1" t="s">
        <v>2504</v>
      </c>
      <c r="F91" s="17">
        <v>4752169</v>
      </c>
      <c r="G91" s="8">
        <v>45636</v>
      </c>
      <c r="H91" s="1" t="s">
        <v>1543</v>
      </c>
      <c r="I91" s="11" t="s">
        <v>1521</v>
      </c>
      <c r="J91" s="6">
        <v>561237</v>
      </c>
      <c r="K91" s="3">
        <v>15561237</v>
      </c>
    </row>
    <row r="92" spans="1:11" x14ac:dyDescent="0.25">
      <c r="A92" s="1" t="s">
        <v>2544</v>
      </c>
      <c r="B92" s="1" t="s">
        <v>1514</v>
      </c>
      <c r="C92" s="5">
        <v>2</v>
      </c>
      <c r="D92" s="15">
        <v>19006492</v>
      </c>
      <c r="E92" s="1" t="s">
        <v>2504</v>
      </c>
      <c r="F92" s="18">
        <v>3131138</v>
      </c>
      <c r="G92" s="9">
        <v>45620</v>
      </c>
      <c r="H92" s="1" t="s">
        <v>2508</v>
      </c>
      <c r="I92" s="12" t="s">
        <v>1518</v>
      </c>
      <c r="J92" s="6">
        <v>317507</v>
      </c>
      <c r="K92" s="3">
        <v>15317507</v>
      </c>
    </row>
    <row r="93" spans="1:11" x14ac:dyDescent="0.25">
      <c r="A93" s="1" t="s">
        <v>1588</v>
      </c>
      <c r="B93" s="1" t="s">
        <v>1532</v>
      </c>
      <c r="C93" s="5">
        <v>5</v>
      </c>
      <c r="D93" s="14">
        <v>35257457</v>
      </c>
      <c r="E93" s="1" t="s">
        <v>2504</v>
      </c>
      <c r="F93" s="17">
        <v>620532</v>
      </c>
      <c r="G93" s="8">
        <v>45551</v>
      </c>
      <c r="H93" s="1" t="s">
        <v>1516</v>
      </c>
      <c r="I93" s="11" t="s">
        <v>2511</v>
      </c>
      <c r="J93" s="6">
        <v>692739</v>
      </c>
      <c r="K93" s="3">
        <v>15692739</v>
      </c>
    </row>
    <row r="94" spans="1:11" x14ac:dyDescent="0.25">
      <c r="A94" s="1" t="s">
        <v>2545</v>
      </c>
      <c r="B94" s="1" t="s">
        <v>1536</v>
      </c>
      <c r="C94" s="5">
        <v>3</v>
      </c>
      <c r="D94" s="15">
        <v>26656913</v>
      </c>
      <c r="E94" s="1" t="s">
        <v>2504</v>
      </c>
      <c r="F94" s="18">
        <v>5059458</v>
      </c>
      <c r="G94" s="9">
        <v>45847</v>
      </c>
      <c r="H94" s="1" t="s">
        <v>2508</v>
      </c>
      <c r="I94" s="12" t="s">
        <v>2511</v>
      </c>
      <c r="J94" s="6">
        <v>431949</v>
      </c>
      <c r="K94" s="3">
        <v>15431949</v>
      </c>
    </row>
    <row r="95" spans="1:11" x14ac:dyDescent="0.25">
      <c r="A95" s="1" t="s">
        <v>1589</v>
      </c>
      <c r="B95" s="1" t="s">
        <v>1545</v>
      </c>
      <c r="C95" s="5">
        <v>5</v>
      </c>
      <c r="D95" s="14">
        <v>15516819</v>
      </c>
      <c r="E95" s="1" t="s">
        <v>1538</v>
      </c>
      <c r="F95" s="17">
        <v>2658194</v>
      </c>
      <c r="G95" s="8">
        <v>45834</v>
      </c>
      <c r="H95" s="1" t="s">
        <v>2519</v>
      </c>
      <c r="I95" s="11" t="s">
        <v>1512</v>
      </c>
      <c r="J95" s="6">
        <v>257172</v>
      </c>
      <c r="K95" s="3">
        <v>15257172</v>
      </c>
    </row>
    <row r="96" spans="1:11" x14ac:dyDescent="0.25">
      <c r="A96" s="1" t="s">
        <v>2546</v>
      </c>
      <c r="B96" s="1" t="s">
        <v>1527</v>
      </c>
      <c r="C96" s="5">
        <v>5</v>
      </c>
      <c r="D96" s="15">
        <v>17056688</v>
      </c>
      <c r="E96" s="1" t="s">
        <v>2504</v>
      </c>
      <c r="F96" s="18">
        <v>944204</v>
      </c>
      <c r="G96" s="9">
        <v>45622</v>
      </c>
      <c r="H96" s="1" t="s">
        <v>2510</v>
      </c>
      <c r="I96" s="12" t="s">
        <v>2511</v>
      </c>
      <c r="J96" s="6">
        <v>32225</v>
      </c>
      <c r="K96" s="3">
        <v>1532225</v>
      </c>
    </row>
    <row r="97" spans="1:11" x14ac:dyDescent="0.25">
      <c r="A97" s="1" t="s">
        <v>2547</v>
      </c>
      <c r="B97" s="1" t="s">
        <v>1517</v>
      </c>
      <c r="C97" s="5">
        <v>3</v>
      </c>
      <c r="D97" s="14">
        <v>42059708</v>
      </c>
      <c r="E97" s="1" t="s">
        <v>1515</v>
      </c>
      <c r="F97" s="17">
        <v>1962996</v>
      </c>
      <c r="G97" s="8">
        <v>45850</v>
      </c>
      <c r="H97" s="1" t="s">
        <v>2510</v>
      </c>
      <c r="I97" s="11" t="s">
        <v>2507</v>
      </c>
      <c r="J97" s="6">
        <v>801934</v>
      </c>
      <c r="K97" s="3">
        <v>15801934</v>
      </c>
    </row>
    <row r="98" spans="1:11" x14ac:dyDescent="0.25">
      <c r="A98" s="1" t="s">
        <v>1590</v>
      </c>
      <c r="B98" s="1" t="s">
        <v>1540</v>
      </c>
      <c r="C98" s="5">
        <v>2</v>
      </c>
      <c r="D98" s="15">
        <v>7337838</v>
      </c>
      <c r="E98" s="1" t="s">
        <v>1538</v>
      </c>
      <c r="F98" s="18">
        <v>5412</v>
      </c>
      <c r="G98" s="9">
        <v>45718</v>
      </c>
      <c r="H98" s="1" t="s">
        <v>1513</v>
      </c>
      <c r="I98" s="12" t="s">
        <v>2507</v>
      </c>
      <c r="J98" s="6">
        <v>145674</v>
      </c>
      <c r="K98" s="3">
        <v>15145674</v>
      </c>
    </row>
    <row r="99" spans="1:11" x14ac:dyDescent="0.25">
      <c r="A99" s="1" t="s">
        <v>1591</v>
      </c>
      <c r="B99" s="1" t="s">
        <v>1540</v>
      </c>
      <c r="C99" s="5">
        <v>5</v>
      </c>
      <c r="D99" s="14">
        <v>3483031</v>
      </c>
      <c r="E99" s="1" t="s">
        <v>1515</v>
      </c>
      <c r="F99" s="17">
        <v>20931</v>
      </c>
      <c r="G99" s="8">
        <v>45705</v>
      </c>
      <c r="H99" s="1" t="s">
        <v>2508</v>
      </c>
      <c r="I99" s="11" t="s">
        <v>1512</v>
      </c>
      <c r="J99" s="6">
        <v>65474</v>
      </c>
      <c r="K99" s="3">
        <v>15065474</v>
      </c>
    </row>
    <row r="100" spans="1:11" x14ac:dyDescent="0.25">
      <c r="A100" s="1" t="s">
        <v>1592</v>
      </c>
      <c r="B100" s="1" t="s">
        <v>1525</v>
      </c>
      <c r="C100" s="5">
        <v>4</v>
      </c>
      <c r="D100" s="15">
        <v>2128975</v>
      </c>
      <c r="E100" s="1" t="s">
        <v>1538</v>
      </c>
      <c r="F100" s="18">
        <v>4097828</v>
      </c>
      <c r="G100" s="9">
        <v>45586</v>
      </c>
      <c r="H100" s="1" t="s">
        <v>2510</v>
      </c>
      <c r="I100" s="12" t="s">
        <v>2509</v>
      </c>
      <c r="J100" s="6">
        <v>343838</v>
      </c>
      <c r="K100" s="3">
        <v>15343838</v>
      </c>
    </row>
    <row r="101" spans="1:11" x14ac:dyDescent="0.25">
      <c r="A101" s="1" t="s">
        <v>1593</v>
      </c>
      <c r="B101" s="1" t="s">
        <v>1532</v>
      </c>
      <c r="C101" s="5">
        <v>5</v>
      </c>
      <c r="D101" s="14">
        <v>6992227</v>
      </c>
      <c r="E101" s="1" t="s">
        <v>1515</v>
      </c>
      <c r="F101" s="17">
        <v>249424</v>
      </c>
      <c r="G101" s="8">
        <v>45824</v>
      </c>
      <c r="H101" s="1" t="s">
        <v>2519</v>
      </c>
      <c r="I101" s="11" t="s">
        <v>2511</v>
      </c>
      <c r="J101" s="6">
        <v>134856</v>
      </c>
      <c r="K101" s="3">
        <v>15134856</v>
      </c>
    </row>
    <row r="102" spans="1:11" x14ac:dyDescent="0.25">
      <c r="A102" s="1" t="s">
        <v>2548</v>
      </c>
      <c r="B102" s="1" t="s">
        <v>1540</v>
      </c>
      <c r="C102" s="5">
        <v>5</v>
      </c>
      <c r="D102" s="15">
        <v>17633314</v>
      </c>
      <c r="E102" s="1" t="s">
        <v>1515</v>
      </c>
      <c r="F102" s="18">
        <v>1022987</v>
      </c>
      <c r="G102" s="9">
        <v>45826</v>
      </c>
      <c r="H102" s="1" t="s">
        <v>1516</v>
      </c>
      <c r="I102" s="12" t="s">
        <v>1518</v>
      </c>
      <c r="J102" s="6">
        <v>332207</v>
      </c>
      <c r="K102" s="3">
        <v>15332207</v>
      </c>
    </row>
    <row r="103" spans="1:11" x14ac:dyDescent="0.25">
      <c r="A103" s="1" t="s">
        <v>1594</v>
      </c>
      <c r="B103" s="1" t="s">
        <v>1514</v>
      </c>
      <c r="C103" s="5">
        <v>2</v>
      </c>
      <c r="D103" s="14">
        <v>4679569</v>
      </c>
      <c r="E103" s="1" t="s">
        <v>2504</v>
      </c>
      <c r="F103" s="17">
        <v>803792</v>
      </c>
      <c r="G103" s="8">
        <v>45798</v>
      </c>
      <c r="H103" s="1" t="s">
        <v>1516</v>
      </c>
      <c r="I103" s="11" t="s">
        <v>2511</v>
      </c>
      <c r="J103" s="6">
        <v>77516</v>
      </c>
      <c r="K103" s="3">
        <v>15077516</v>
      </c>
    </row>
    <row r="104" spans="1:11" x14ac:dyDescent="0.25">
      <c r="A104" s="1" t="s">
        <v>1595</v>
      </c>
      <c r="B104" s="1" t="s">
        <v>1527</v>
      </c>
      <c r="C104" s="5">
        <v>4</v>
      </c>
      <c r="D104" s="15">
        <v>4436669</v>
      </c>
      <c r="E104" s="1" t="s">
        <v>1538</v>
      </c>
      <c r="F104" s="18">
        <v>3639427</v>
      </c>
      <c r="G104" s="9">
        <v>45725</v>
      </c>
      <c r="H104" s="1" t="s">
        <v>2510</v>
      </c>
      <c r="I104" s="12" t="s">
        <v>1512</v>
      </c>
      <c r="J104" s="6">
        <v>814545</v>
      </c>
      <c r="K104" s="3">
        <v>15814545</v>
      </c>
    </row>
    <row r="105" spans="1:11" x14ac:dyDescent="0.25">
      <c r="A105" s="1" t="s">
        <v>2549</v>
      </c>
      <c r="B105" s="1" t="s">
        <v>1527</v>
      </c>
      <c r="C105" s="5">
        <v>2</v>
      </c>
      <c r="D105" s="14">
        <v>41879307</v>
      </c>
      <c r="E105" s="1" t="s">
        <v>1538</v>
      </c>
      <c r="F105" s="17">
        <v>2243369</v>
      </c>
      <c r="G105" s="8">
        <v>45700</v>
      </c>
      <c r="H105" s="1" t="s">
        <v>2515</v>
      </c>
      <c r="I105" s="11" t="s">
        <v>2509</v>
      </c>
      <c r="J105" s="6">
        <v>792719</v>
      </c>
      <c r="K105" s="3">
        <v>15792719</v>
      </c>
    </row>
    <row r="106" spans="1:11" x14ac:dyDescent="0.25">
      <c r="A106" s="1" t="s">
        <v>2550</v>
      </c>
      <c r="B106" s="1" t="s">
        <v>1523</v>
      </c>
      <c r="C106" s="5">
        <v>1</v>
      </c>
      <c r="D106" s="15">
        <v>21720221</v>
      </c>
      <c r="E106" s="1" t="s">
        <v>1538</v>
      </c>
      <c r="F106" s="18">
        <v>305823</v>
      </c>
      <c r="G106" s="9">
        <v>45600</v>
      </c>
      <c r="H106" s="1" t="s">
        <v>1543</v>
      </c>
      <c r="I106" s="12" t="s">
        <v>2507</v>
      </c>
      <c r="J106" s="6">
        <v>37324</v>
      </c>
      <c r="K106" s="3">
        <v>1537324</v>
      </c>
    </row>
    <row r="107" spans="1:11" x14ac:dyDescent="0.25">
      <c r="A107" s="1" t="s">
        <v>1596</v>
      </c>
      <c r="B107" s="1" t="s">
        <v>1532</v>
      </c>
      <c r="C107" s="5">
        <v>2</v>
      </c>
      <c r="D107" s="14">
        <v>49220167</v>
      </c>
      <c r="E107" s="1" t="s">
        <v>1538</v>
      </c>
      <c r="F107" s="17">
        <v>786004</v>
      </c>
      <c r="G107" s="8">
        <v>45806</v>
      </c>
      <c r="H107" s="1" t="s">
        <v>2515</v>
      </c>
      <c r="I107" s="11" t="s">
        <v>2507</v>
      </c>
      <c r="J107" s="6">
        <v>827203</v>
      </c>
      <c r="K107" s="3">
        <v>15827203</v>
      </c>
    </row>
    <row r="108" spans="1:11" x14ac:dyDescent="0.25">
      <c r="A108" s="1" t="s">
        <v>1597</v>
      </c>
      <c r="B108" s="1" t="s">
        <v>1517</v>
      </c>
      <c r="C108" s="5">
        <v>3</v>
      </c>
      <c r="D108" s="15">
        <v>49058673</v>
      </c>
      <c r="E108" s="1" t="s">
        <v>2504</v>
      </c>
      <c r="F108" s="18">
        <v>8113079</v>
      </c>
      <c r="G108" s="9">
        <v>45600</v>
      </c>
      <c r="H108" s="1" t="s">
        <v>2519</v>
      </c>
      <c r="I108" s="12" t="s">
        <v>1512</v>
      </c>
      <c r="J108" s="6">
        <v>818912</v>
      </c>
      <c r="K108" s="3">
        <v>15818912</v>
      </c>
    </row>
    <row r="109" spans="1:11" x14ac:dyDescent="0.25">
      <c r="A109" s="1" t="s">
        <v>1598</v>
      </c>
      <c r="B109" s="1" t="s">
        <v>1523</v>
      </c>
      <c r="C109" s="5">
        <v>4</v>
      </c>
      <c r="D109" s="14">
        <v>15334665</v>
      </c>
      <c r="E109" s="1" t="s">
        <v>1515</v>
      </c>
      <c r="F109" s="17">
        <v>2500961</v>
      </c>
      <c r="G109" s="8">
        <v>45698</v>
      </c>
      <c r="H109" s="1" t="s">
        <v>2519</v>
      </c>
      <c r="I109" s="11" t="s">
        <v>1521</v>
      </c>
      <c r="J109" s="6">
        <v>256674</v>
      </c>
      <c r="K109" s="3">
        <v>15256674</v>
      </c>
    </row>
    <row r="110" spans="1:11" x14ac:dyDescent="0.25">
      <c r="A110" s="1" t="s">
        <v>1599</v>
      </c>
      <c r="B110" s="1" t="s">
        <v>1534</v>
      </c>
      <c r="C110" s="5">
        <v>2</v>
      </c>
      <c r="D110" s="15">
        <v>7047464</v>
      </c>
      <c r="E110" s="1" t="s">
        <v>1515</v>
      </c>
      <c r="F110" s="18">
        <v>1336997</v>
      </c>
      <c r="G110" s="9">
        <v>45673</v>
      </c>
      <c r="H110" s="1" t="s">
        <v>2519</v>
      </c>
      <c r="I110" s="12" t="s">
        <v>2507</v>
      </c>
      <c r="J110" s="6">
        <v>114209</v>
      </c>
      <c r="K110" s="3">
        <v>15114209</v>
      </c>
    </row>
    <row r="111" spans="1:11" x14ac:dyDescent="0.25">
      <c r="A111" s="1" t="s">
        <v>1600</v>
      </c>
      <c r="B111" s="1" t="s">
        <v>1517</v>
      </c>
      <c r="C111" s="5">
        <v>4</v>
      </c>
      <c r="D111" s="14">
        <v>10007401</v>
      </c>
      <c r="E111" s="1" t="s">
        <v>1515</v>
      </c>
      <c r="F111" s="17">
        <v>1246352</v>
      </c>
      <c r="G111" s="8">
        <v>45675</v>
      </c>
      <c r="H111" s="1" t="s">
        <v>2519</v>
      </c>
      <c r="I111" s="11" t="s">
        <v>1518</v>
      </c>
      <c r="J111" s="6">
        <v>175221</v>
      </c>
      <c r="K111" s="3">
        <v>15175221</v>
      </c>
    </row>
    <row r="112" spans="1:11" x14ac:dyDescent="0.25">
      <c r="A112" s="1" t="s">
        <v>1601</v>
      </c>
      <c r="B112" s="1" t="s">
        <v>1523</v>
      </c>
      <c r="C112" s="5">
        <v>3</v>
      </c>
      <c r="D112" s="15">
        <v>23409737</v>
      </c>
      <c r="E112" s="1" t="s">
        <v>2504</v>
      </c>
      <c r="F112" s="18">
        <v>26125</v>
      </c>
      <c r="G112" s="9">
        <v>45547</v>
      </c>
      <c r="H112" s="1" t="s">
        <v>2512</v>
      </c>
      <c r="I112" s="12" t="s">
        <v>1512</v>
      </c>
      <c r="J112" s="6">
        <v>467672</v>
      </c>
      <c r="K112" s="3">
        <v>15467672</v>
      </c>
    </row>
    <row r="113" spans="1:11" x14ac:dyDescent="0.25">
      <c r="A113" s="1" t="s">
        <v>2551</v>
      </c>
      <c r="B113" s="1" t="s">
        <v>1534</v>
      </c>
      <c r="C113" s="5">
        <v>4</v>
      </c>
      <c r="D113" s="14">
        <v>33687364</v>
      </c>
      <c r="E113" s="1" t="s">
        <v>1538</v>
      </c>
      <c r="F113" s="17">
        <v>5797761</v>
      </c>
      <c r="G113" s="8">
        <v>45574</v>
      </c>
      <c r="H113" s="1" t="s">
        <v>2519</v>
      </c>
      <c r="I113" s="11" t="s">
        <v>1518</v>
      </c>
      <c r="J113" s="6">
        <v>557792</v>
      </c>
      <c r="K113" s="3">
        <v>15557792</v>
      </c>
    </row>
    <row r="114" spans="1:11" x14ac:dyDescent="0.25">
      <c r="A114" s="1" t="s">
        <v>2552</v>
      </c>
      <c r="B114" s="1" t="s">
        <v>1527</v>
      </c>
      <c r="C114" s="5">
        <v>2</v>
      </c>
      <c r="D114" s="15">
        <v>1626680</v>
      </c>
      <c r="E114" s="1" t="s">
        <v>1538</v>
      </c>
      <c r="F114" s="18">
        <v>1097357</v>
      </c>
      <c r="G114" s="9">
        <v>45554</v>
      </c>
      <c r="H114" s="1" t="s">
        <v>2508</v>
      </c>
      <c r="I114" s="12" t="s">
        <v>2509</v>
      </c>
      <c r="J114" s="6">
        <v>303389</v>
      </c>
      <c r="K114" s="3">
        <v>15303389</v>
      </c>
    </row>
    <row r="115" spans="1:11" x14ac:dyDescent="0.25">
      <c r="A115" s="1" t="s">
        <v>1602</v>
      </c>
      <c r="B115" s="1" t="s">
        <v>1540</v>
      </c>
      <c r="C115" s="5">
        <v>2</v>
      </c>
      <c r="D115" s="14">
        <v>825650</v>
      </c>
      <c r="E115" s="1" t="s">
        <v>1538</v>
      </c>
      <c r="F115" s="17">
        <v>146945</v>
      </c>
      <c r="G115" s="8">
        <v>45648</v>
      </c>
      <c r="H115" s="1" t="s">
        <v>2508</v>
      </c>
      <c r="I115" s="11" t="s">
        <v>2507</v>
      </c>
      <c r="J115" s="6">
        <v>135741</v>
      </c>
      <c r="K115" s="3">
        <v>15135741</v>
      </c>
    </row>
    <row r="116" spans="1:11" x14ac:dyDescent="0.25">
      <c r="A116" s="1" t="s">
        <v>1603</v>
      </c>
      <c r="B116" s="1" t="s">
        <v>1536</v>
      </c>
      <c r="C116" s="5">
        <v>1</v>
      </c>
      <c r="D116" s="15">
        <v>27649269</v>
      </c>
      <c r="E116" s="1" t="s">
        <v>1515</v>
      </c>
      <c r="F116" s="18">
        <v>6720369</v>
      </c>
      <c r="G116" s="9">
        <v>45525</v>
      </c>
      <c r="H116" s="1" t="s">
        <v>2515</v>
      </c>
      <c r="I116" s="12" t="s">
        <v>1518</v>
      </c>
      <c r="J116" s="6">
        <v>418578</v>
      </c>
      <c r="K116" s="3">
        <v>15418578</v>
      </c>
    </row>
    <row r="117" spans="1:11" x14ac:dyDescent="0.25">
      <c r="A117" s="1" t="s">
        <v>1604</v>
      </c>
      <c r="B117" s="1" t="s">
        <v>1527</v>
      </c>
      <c r="C117" s="5">
        <v>4</v>
      </c>
      <c r="D117" s="14">
        <v>42871577</v>
      </c>
      <c r="E117" s="1" t="s">
        <v>1515</v>
      </c>
      <c r="F117" s="17">
        <v>4812605</v>
      </c>
      <c r="G117" s="8">
        <v>45601</v>
      </c>
      <c r="H117" s="1" t="s">
        <v>1519</v>
      </c>
      <c r="I117" s="11" t="s">
        <v>2509</v>
      </c>
      <c r="J117" s="6">
        <v>761179</v>
      </c>
      <c r="K117" s="3">
        <v>15761179</v>
      </c>
    </row>
    <row r="118" spans="1:11" x14ac:dyDescent="0.25">
      <c r="A118" s="1" t="s">
        <v>2553</v>
      </c>
      <c r="B118" s="1" t="s">
        <v>1527</v>
      </c>
      <c r="C118" s="5">
        <v>1</v>
      </c>
      <c r="D118" s="15">
        <v>19654054</v>
      </c>
      <c r="E118" s="1" t="s">
        <v>1515</v>
      </c>
      <c r="F118" s="18">
        <v>1957756</v>
      </c>
      <c r="G118" s="9">
        <v>45812</v>
      </c>
      <c r="H118" s="1" t="s">
        <v>1522</v>
      </c>
      <c r="I118" s="12" t="s">
        <v>1521</v>
      </c>
      <c r="J118" s="6">
        <v>353926</v>
      </c>
      <c r="K118" s="3">
        <v>15353926</v>
      </c>
    </row>
    <row r="119" spans="1:11" x14ac:dyDescent="0.25">
      <c r="A119" s="1" t="s">
        <v>2554</v>
      </c>
      <c r="B119" s="1" t="s">
        <v>1545</v>
      </c>
      <c r="C119" s="5">
        <v>2</v>
      </c>
      <c r="D119" s="14">
        <v>2997909</v>
      </c>
      <c r="E119" s="1" t="s">
        <v>2504</v>
      </c>
      <c r="F119" s="17">
        <v>484608</v>
      </c>
      <c r="G119" s="8">
        <v>45747</v>
      </c>
      <c r="H119" s="1" t="s">
        <v>2510</v>
      </c>
      <c r="I119" s="11" t="s">
        <v>2511</v>
      </c>
      <c r="J119" s="6">
        <v>50266</v>
      </c>
      <c r="K119" s="3">
        <v>15050266</v>
      </c>
    </row>
    <row r="120" spans="1:11" x14ac:dyDescent="0.25">
      <c r="A120" s="1" t="s">
        <v>2555</v>
      </c>
      <c r="B120" s="1" t="s">
        <v>1536</v>
      </c>
      <c r="C120" s="5">
        <v>2</v>
      </c>
      <c r="D120" s="15">
        <v>14943625</v>
      </c>
      <c r="E120" s="1" t="s">
        <v>1538</v>
      </c>
      <c r="F120" s="18">
        <v>299220</v>
      </c>
      <c r="G120" s="9">
        <v>45685</v>
      </c>
      <c r="H120" s="1" t="s">
        <v>1543</v>
      </c>
      <c r="I120" s="12" t="s">
        <v>2509</v>
      </c>
      <c r="J120" s="6">
        <v>239028</v>
      </c>
      <c r="K120" s="3">
        <v>15239028</v>
      </c>
    </row>
    <row r="121" spans="1:11" x14ac:dyDescent="0.25">
      <c r="A121" s="1" t="s">
        <v>1605</v>
      </c>
      <c r="B121" s="1" t="s">
        <v>1514</v>
      </c>
      <c r="C121" s="5">
        <v>2</v>
      </c>
      <c r="D121" s="14">
        <v>36809536</v>
      </c>
      <c r="E121" s="1" t="s">
        <v>1515</v>
      </c>
      <c r="F121" s="17">
        <v>5288292</v>
      </c>
      <c r="G121" s="8">
        <v>45636</v>
      </c>
      <c r="H121" s="1" t="s">
        <v>2510</v>
      </c>
      <c r="I121" s="11" t="s">
        <v>2511</v>
      </c>
      <c r="J121" s="6">
        <v>630425</v>
      </c>
      <c r="K121" s="3">
        <v>15630425</v>
      </c>
    </row>
    <row r="122" spans="1:11" x14ac:dyDescent="0.25">
      <c r="A122" s="1" t="s">
        <v>1606</v>
      </c>
      <c r="B122" s="1" t="s">
        <v>1534</v>
      </c>
      <c r="C122" s="5">
        <v>3</v>
      </c>
      <c r="D122" s="15">
        <v>28403553</v>
      </c>
      <c r="E122" s="1" t="s">
        <v>1538</v>
      </c>
      <c r="F122" s="18">
        <v>4056401</v>
      </c>
      <c r="G122" s="9">
        <v>45641</v>
      </c>
      <c r="H122" s="1" t="s">
        <v>1543</v>
      </c>
      <c r="I122" s="12" t="s">
        <v>2507</v>
      </c>
      <c r="J122" s="6">
        <v>486943</v>
      </c>
      <c r="K122" s="3">
        <v>15486943</v>
      </c>
    </row>
    <row r="123" spans="1:11" x14ac:dyDescent="0.25">
      <c r="A123" s="1" t="s">
        <v>2556</v>
      </c>
      <c r="B123" s="1" t="s">
        <v>1517</v>
      </c>
      <c r="C123" s="5">
        <v>5</v>
      </c>
      <c r="D123" s="14">
        <v>18085617</v>
      </c>
      <c r="E123" s="1" t="s">
        <v>1538</v>
      </c>
      <c r="F123" s="17">
        <v>3159214</v>
      </c>
      <c r="G123" s="8">
        <v>45585</v>
      </c>
      <c r="H123" s="1" t="s">
        <v>1513</v>
      </c>
      <c r="I123" s="11" t="s">
        <v>2509</v>
      </c>
      <c r="J123" s="6">
        <v>298528</v>
      </c>
      <c r="K123" s="3">
        <v>15298528</v>
      </c>
    </row>
    <row r="124" spans="1:11" x14ac:dyDescent="0.25">
      <c r="A124" s="1" t="s">
        <v>1607</v>
      </c>
      <c r="B124" s="1" t="s">
        <v>1527</v>
      </c>
      <c r="C124" s="5">
        <v>3</v>
      </c>
      <c r="D124" s="15">
        <v>14522397</v>
      </c>
      <c r="E124" s="1" t="s">
        <v>1515</v>
      </c>
      <c r="F124" s="18">
        <v>2061827</v>
      </c>
      <c r="G124" s="9">
        <v>45591</v>
      </c>
      <c r="H124" s="1" t="s">
        <v>1516</v>
      </c>
      <c r="I124" s="12" t="s">
        <v>1518</v>
      </c>
      <c r="J124" s="6">
        <v>249211</v>
      </c>
      <c r="K124" s="3">
        <v>15249211</v>
      </c>
    </row>
    <row r="125" spans="1:11" x14ac:dyDescent="0.25">
      <c r="A125" s="1" t="s">
        <v>2557</v>
      </c>
      <c r="B125" s="1" t="s">
        <v>1536</v>
      </c>
      <c r="C125" s="5">
        <v>4</v>
      </c>
      <c r="D125" s="14">
        <v>19004187</v>
      </c>
      <c r="E125" s="1" t="s">
        <v>2504</v>
      </c>
      <c r="F125" s="17">
        <v>4240162</v>
      </c>
      <c r="G125" s="8">
        <v>45586</v>
      </c>
      <c r="H125" s="1" t="s">
        <v>2512</v>
      </c>
      <c r="I125" s="11" t="s">
        <v>2507</v>
      </c>
      <c r="J125" s="6">
        <v>29528</v>
      </c>
      <c r="K125" s="3">
        <v>1529528</v>
      </c>
    </row>
    <row r="126" spans="1:11" x14ac:dyDescent="0.25">
      <c r="A126" s="1" t="s">
        <v>1608</v>
      </c>
      <c r="B126" s="1" t="s">
        <v>1534</v>
      </c>
      <c r="C126" s="5">
        <v>5</v>
      </c>
      <c r="D126" s="15">
        <v>31083606</v>
      </c>
      <c r="E126" s="1" t="s">
        <v>2504</v>
      </c>
      <c r="F126" s="18">
        <v>3334711</v>
      </c>
      <c r="G126" s="9">
        <v>45518</v>
      </c>
      <c r="H126" s="1" t="s">
        <v>1519</v>
      </c>
      <c r="I126" s="12" t="s">
        <v>2509</v>
      </c>
      <c r="J126" s="6">
        <v>554978</v>
      </c>
      <c r="K126" s="3">
        <v>15554978</v>
      </c>
    </row>
    <row r="127" spans="1:11" x14ac:dyDescent="0.25">
      <c r="A127" s="1" t="s">
        <v>2558</v>
      </c>
      <c r="B127" s="1" t="s">
        <v>1545</v>
      </c>
      <c r="C127" s="5">
        <v>2</v>
      </c>
      <c r="D127" s="14">
        <v>34380733</v>
      </c>
      <c r="E127" s="1" t="s">
        <v>1515</v>
      </c>
      <c r="F127" s="17">
        <v>8256033</v>
      </c>
      <c r="G127" s="8">
        <v>45511</v>
      </c>
      <c r="H127" s="1" t="s">
        <v>2508</v>
      </c>
      <c r="I127" s="11" t="s">
        <v>2511</v>
      </c>
      <c r="J127" s="6">
        <v>522494</v>
      </c>
      <c r="K127" s="3">
        <v>15522494</v>
      </c>
    </row>
    <row r="128" spans="1:11" x14ac:dyDescent="0.25">
      <c r="A128" s="1" t="s">
        <v>1609</v>
      </c>
      <c r="B128" s="1" t="s">
        <v>1532</v>
      </c>
      <c r="C128" s="5">
        <v>5</v>
      </c>
      <c r="D128" s="15">
        <v>32690023</v>
      </c>
      <c r="E128" s="1" t="s">
        <v>2504</v>
      </c>
      <c r="F128" s="18">
        <v>3527896</v>
      </c>
      <c r="G128" s="9">
        <v>45687</v>
      </c>
      <c r="H128" s="1" t="s">
        <v>2512</v>
      </c>
      <c r="I128" s="12" t="s">
        <v>1521</v>
      </c>
      <c r="J128" s="6">
        <v>583243</v>
      </c>
      <c r="K128" s="3">
        <v>15583243</v>
      </c>
    </row>
    <row r="129" spans="1:11" x14ac:dyDescent="0.25">
      <c r="A129" s="1" t="s">
        <v>1610</v>
      </c>
      <c r="B129" s="1" t="s">
        <v>1525</v>
      </c>
      <c r="C129" s="5">
        <v>3</v>
      </c>
      <c r="D129" s="14">
        <v>37783293</v>
      </c>
      <c r="E129" s="1" t="s">
        <v>1515</v>
      </c>
      <c r="F129" s="17">
        <v>85134</v>
      </c>
      <c r="G129" s="8">
        <v>45648</v>
      </c>
      <c r="H129" s="1" t="s">
        <v>1522</v>
      </c>
      <c r="I129" s="11" t="s">
        <v>1512</v>
      </c>
      <c r="J129" s="6">
        <v>738639</v>
      </c>
      <c r="K129" s="3">
        <v>15738639</v>
      </c>
    </row>
    <row r="130" spans="1:11" x14ac:dyDescent="0.25">
      <c r="A130" s="1" t="s">
        <v>2559</v>
      </c>
      <c r="B130" s="1" t="s">
        <v>1536</v>
      </c>
      <c r="C130" s="5">
        <v>2</v>
      </c>
      <c r="D130" s="15">
        <v>30704231</v>
      </c>
      <c r="E130" s="1" t="s">
        <v>1538</v>
      </c>
      <c r="F130" s="18">
        <v>5942536</v>
      </c>
      <c r="G130" s="9">
        <v>45769</v>
      </c>
      <c r="H130" s="1" t="s">
        <v>1519</v>
      </c>
      <c r="I130" s="12" t="s">
        <v>1518</v>
      </c>
      <c r="J130" s="6">
        <v>495234</v>
      </c>
      <c r="K130" s="3">
        <v>15495234</v>
      </c>
    </row>
    <row r="131" spans="1:11" x14ac:dyDescent="0.25">
      <c r="A131" s="1" t="s">
        <v>2560</v>
      </c>
      <c r="B131" s="1" t="s">
        <v>1540</v>
      </c>
      <c r="C131" s="5">
        <v>5</v>
      </c>
      <c r="D131" s="14">
        <v>25490812</v>
      </c>
      <c r="E131" s="1" t="s">
        <v>1538</v>
      </c>
      <c r="F131" s="17">
        <v>1768931</v>
      </c>
      <c r="G131" s="8">
        <v>45593</v>
      </c>
      <c r="H131" s="1" t="s">
        <v>1513</v>
      </c>
      <c r="I131" s="11" t="s">
        <v>1518</v>
      </c>
      <c r="J131" s="6">
        <v>474438</v>
      </c>
      <c r="K131" s="3">
        <v>15474438</v>
      </c>
    </row>
    <row r="132" spans="1:11" x14ac:dyDescent="0.25">
      <c r="A132" s="1" t="s">
        <v>2561</v>
      </c>
      <c r="B132" s="1" t="s">
        <v>1517</v>
      </c>
      <c r="C132" s="5">
        <v>1</v>
      </c>
      <c r="D132" s="15">
        <v>27257644</v>
      </c>
      <c r="E132" s="1" t="s">
        <v>1538</v>
      </c>
      <c r="F132" s="18">
        <v>596584</v>
      </c>
      <c r="G132" s="9">
        <v>45832</v>
      </c>
      <c r="H132" s="1" t="s">
        <v>2508</v>
      </c>
      <c r="I132" s="12" t="s">
        <v>1521</v>
      </c>
      <c r="J132" s="6">
        <v>425836</v>
      </c>
      <c r="K132" s="3">
        <v>15425836</v>
      </c>
    </row>
    <row r="133" spans="1:11" x14ac:dyDescent="0.25">
      <c r="A133" s="1" t="s">
        <v>2562</v>
      </c>
      <c r="B133" s="1" t="s">
        <v>1540</v>
      </c>
      <c r="C133" s="5">
        <v>5</v>
      </c>
      <c r="D133" s="14">
        <v>25413693</v>
      </c>
      <c r="E133" s="1" t="s">
        <v>1515</v>
      </c>
      <c r="F133" s="17">
        <v>1024111</v>
      </c>
      <c r="G133" s="8">
        <v>45701</v>
      </c>
      <c r="H133" s="1" t="s">
        <v>1513</v>
      </c>
      <c r="I133" s="11" t="s">
        <v>2509</v>
      </c>
      <c r="J133" s="6">
        <v>487792</v>
      </c>
      <c r="K133" s="3">
        <v>15487792</v>
      </c>
    </row>
    <row r="134" spans="1:11" x14ac:dyDescent="0.25">
      <c r="A134" s="1" t="s">
        <v>1611</v>
      </c>
      <c r="B134" s="1" t="s">
        <v>1532</v>
      </c>
      <c r="C134" s="5">
        <v>4</v>
      </c>
      <c r="D134" s="15">
        <v>24971904</v>
      </c>
      <c r="E134" s="1" t="s">
        <v>2504</v>
      </c>
      <c r="F134" s="18">
        <v>74897</v>
      </c>
      <c r="G134" s="9">
        <v>45567</v>
      </c>
      <c r="H134" s="1" t="s">
        <v>2515</v>
      </c>
      <c r="I134" s="12" t="s">
        <v>1512</v>
      </c>
      <c r="J134" s="6">
        <v>484459</v>
      </c>
      <c r="K134" s="3">
        <v>15484459</v>
      </c>
    </row>
    <row r="135" spans="1:11" x14ac:dyDescent="0.25">
      <c r="A135" s="1" t="s">
        <v>1612</v>
      </c>
      <c r="B135" s="1" t="s">
        <v>1527</v>
      </c>
      <c r="C135" s="5">
        <v>5</v>
      </c>
      <c r="D135" s="14">
        <v>40708685</v>
      </c>
      <c r="E135" s="1" t="s">
        <v>1515</v>
      </c>
      <c r="F135" s="17">
        <v>5224845</v>
      </c>
      <c r="G135" s="8">
        <v>45632</v>
      </c>
      <c r="H135" s="1" t="s">
        <v>1543</v>
      </c>
      <c r="I135" s="11" t="s">
        <v>1521</v>
      </c>
      <c r="J135" s="6">
        <v>709677</v>
      </c>
      <c r="K135" s="3">
        <v>15709677</v>
      </c>
    </row>
    <row r="136" spans="1:11" x14ac:dyDescent="0.25">
      <c r="A136" s="1" t="s">
        <v>1613</v>
      </c>
      <c r="B136" s="1" t="s">
        <v>1527</v>
      </c>
      <c r="C136" s="5">
        <v>4</v>
      </c>
      <c r="D136" s="15">
        <v>15043405</v>
      </c>
      <c r="E136" s="1" t="s">
        <v>1538</v>
      </c>
      <c r="F136" s="18">
        <v>2401578</v>
      </c>
      <c r="G136" s="9">
        <v>45729</v>
      </c>
      <c r="H136" s="1" t="s">
        <v>2519</v>
      </c>
      <c r="I136" s="12" t="s">
        <v>1518</v>
      </c>
      <c r="J136" s="6">
        <v>252837</v>
      </c>
      <c r="K136" s="3">
        <v>15252837</v>
      </c>
    </row>
    <row r="137" spans="1:11" x14ac:dyDescent="0.25">
      <c r="A137" s="1" t="s">
        <v>2563</v>
      </c>
      <c r="B137" s="1" t="s">
        <v>1514</v>
      </c>
      <c r="C137" s="5">
        <v>3</v>
      </c>
      <c r="D137" s="14">
        <v>23489783</v>
      </c>
      <c r="E137" s="1" t="s">
        <v>2504</v>
      </c>
      <c r="F137" s="17">
        <v>5642187</v>
      </c>
      <c r="G137" s="8">
        <v>45664</v>
      </c>
      <c r="H137" s="1" t="s">
        <v>1516</v>
      </c>
      <c r="I137" s="11" t="s">
        <v>2511</v>
      </c>
      <c r="J137" s="6">
        <v>356952</v>
      </c>
      <c r="K137" s="3">
        <v>15356952</v>
      </c>
    </row>
    <row r="138" spans="1:11" x14ac:dyDescent="0.25">
      <c r="A138" s="1" t="s">
        <v>1614</v>
      </c>
      <c r="B138" s="1" t="s">
        <v>1514</v>
      </c>
      <c r="C138" s="5">
        <v>3</v>
      </c>
      <c r="D138" s="15">
        <v>4420141</v>
      </c>
      <c r="E138" s="1" t="s">
        <v>2504</v>
      </c>
      <c r="F138" s="18">
        <v>3259</v>
      </c>
      <c r="G138" s="9">
        <v>45847</v>
      </c>
      <c r="H138" s="1" t="s">
        <v>2515</v>
      </c>
      <c r="I138" s="12" t="s">
        <v>1521</v>
      </c>
      <c r="J138" s="6">
        <v>88338</v>
      </c>
      <c r="K138" s="3">
        <v>15088338</v>
      </c>
    </row>
    <row r="139" spans="1:11" x14ac:dyDescent="0.25">
      <c r="A139" s="1" t="s">
        <v>2564</v>
      </c>
      <c r="B139" s="1" t="s">
        <v>1525</v>
      </c>
      <c r="C139" s="5">
        <v>1</v>
      </c>
      <c r="D139" s="14">
        <v>25446246</v>
      </c>
      <c r="E139" s="1" t="s">
        <v>2504</v>
      </c>
      <c r="F139" s="17">
        <v>1005424</v>
      </c>
      <c r="G139" s="8">
        <v>45549</v>
      </c>
      <c r="H139" s="1" t="s">
        <v>1513</v>
      </c>
      <c r="I139" s="11" t="s">
        <v>2507</v>
      </c>
      <c r="J139" s="6">
        <v>488816</v>
      </c>
      <c r="K139" s="3">
        <v>15488816</v>
      </c>
    </row>
    <row r="140" spans="1:11" x14ac:dyDescent="0.25">
      <c r="A140" s="1" t="s">
        <v>2565</v>
      </c>
      <c r="B140" s="1" t="s">
        <v>1536</v>
      </c>
      <c r="C140" s="5">
        <v>4</v>
      </c>
      <c r="D140" s="15">
        <v>40746128</v>
      </c>
      <c r="E140" s="1" t="s">
        <v>1515</v>
      </c>
      <c r="F140" s="18">
        <v>7046213</v>
      </c>
      <c r="G140" s="9">
        <v>45611</v>
      </c>
      <c r="H140" s="1" t="s">
        <v>1543</v>
      </c>
      <c r="I140" s="12" t="s">
        <v>2507</v>
      </c>
      <c r="J140" s="6">
        <v>673998</v>
      </c>
      <c r="K140" s="3">
        <v>15673998</v>
      </c>
    </row>
    <row r="141" spans="1:11" x14ac:dyDescent="0.25">
      <c r="A141" s="1" t="s">
        <v>2566</v>
      </c>
      <c r="B141" s="1" t="s">
        <v>1523</v>
      </c>
      <c r="C141" s="5">
        <v>5</v>
      </c>
      <c r="D141" s="14">
        <v>32789003</v>
      </c>
      <c r="E141" s="1" t="s">
        <v>1538</v>
      </c>
      <c r="F141" s="17">
        <v>7489415</v>
      </c>
      <c r="G141" s="8">
        <v>45594</v>
      </c>
      <c r="H141" s="1" t="s">
        <v>2519</v>
      </c>
      <c r="I141" s="11" t="s">
        <v>2507</v>
      </c>
      <c r="J141" s="6">
        <v>505992</v>
      </c>
      <c r="K141" s="3">
        <v>15505992</v>
      </c>
    </row>
    <row r="142" spans="1:11" x14ac:dyDescent="0.25">
      <c r="A142" s="1" t="s">
        <v>1615</v>
      </c>
      <c r="B142" s="1" t="s">
        <v>1534</v>
      </c>
      <c r="C142" s="5">
        <v>1</v>
      </c>
      <c r="D142" s="15">
        <v>26104297</v>
      </c>
      <c r="E142" s="1" t="s">
        <v>1538</v>
      </c>
      <c r="F142" s="18">
        <v>506122</v>
      </c>
      <c r="G142" s="9">
        <v>45594</v>
      </c>
      <c r="H142" s="1" t="s">
        <v>1522</v>
      </c>
      <c r="I142" s="12" t="s">
        <v>1521</v>
      </c>
      <c r="J142" s="6">
        <v>511964</v>
      </c>
      <c r="K142" s="3">
        <v>15511964</v>
      </c>
    </row>
    <row r="143" spans="1:11" x14ac:dyDescent="0.25">
      <c r="A143" s="1" t="s">
        <v>2567</v>
      </c>
      <c r="B143" s="1" t="s">
        <v>1536</v>
      </c>
      <c r="C143" s="5">
        <v>5</v>
      </c>
      <c r="D143" s="14">
        <v>26398484</v>
      </c>
      <c r="E143" s="1" t="s">
        <v>2504</v>
      </c>
      <c r="F143" s="17">
        <v>3532061</v>
      </c>
      <c r="G143" s="8">
        <v>45533</v>
      </c>
      <c r="H143" s="1" t="s">
        <v>2508</v>
      </c>
      <c r="I143" s="11" t="s">
        <v>1518</v>
      </c>
      <c r="J143" s="6">
        <v>457328</v>
      </c>
      <c r="K143" s="3">
        <v>15457328</v>
      </c>
    </row>
    <row r="144" spans="1:11" x14ac:dyDescent="0.25">
      <c r="A144" s="1" t="s">
        <v>1616</v>
      </c>
      <c r="B144" s="1" t="s">
        <v>1540</v>
      </c>
      <c r="C144" s="5">
        <v>4</v>
      </c>
      <c r="D144" s="15">
        <v>48781326</v>
      </c>
      <c r="E144" s="1" t="s">
        <v>2504</v>
      </c>
      <c r="F144" s="18">
        <v>5229513</v>
      </c>
      <c r="G144" s="9">
        <v>45701</v>
      </c>
      <c r="H144" s="1" t="s">
        <v>1543</v>
      </c>
      <c r="I144" s="12" t="s">
        <v>1512</v>
      </c>
      <c r="J144" s="6">
        <v>871036</v>
      </c>
      <c r="K144" s="3">
        <v>15871036</v>
      </c>
    </row>
    <row r="145" spans="1:11" x14ac:dyDescent="0.25">
      <c r="A145" s="1" t="s">
        <v>2568</v>
      </c>
      <c r="B145" s="1" t="s">
        <v>1536</v>
      </c>
      <c r="C145" s="5">
        <v>4</v>
      </c>
      <c r="D145" s="14">
        <v>8968804</v>
      </c>
      <c r="E145" s="1" t="s">
        <v>1515</v>
      </c>
      <c r="F145" s="17">
        <v>665961</v>
      </c>
      <c r="G145" s="8">
        <v>45633</v>
      </c>
      <c r="H145" s="1" t="s">
        <v>1513</v>
      </c>
      <c r="I145" s="11" t="s">
        <v>2511</v>
      </c>
      <c r="J145" s="6">
        <v>166057</v>
      </c>
      <c r="K145" s="3">
        <v>15166057</v>
      </c>
    </row>
    <row r="146" spans="1:11" x14ac:dyDescent="0.25">
      <c r="A146" s="1" t="s">
        <v>2569</v>
      </c>
      <c r="B146" s="1" t="s">
        <v>1540</v>
      </c>
      <c r="C146" s="5">
        <v>4</v>
      </c>
      <c r="D146" s="15">
        <v>40816357</v>
      </c>
      <c r="E146" s="1" t="s">
        <v>1515</v>
      </c>
      <c r="F146" s="18">
        <v>9547486</v>
      </c>
      <c r="G146" s="9">
        <v>45627</v>
      </c>
      <c r="H146" s="1" t="s">
        <v>1522</v>
      </c>
      <c r="I146" s="12" t="s">
        <v>2511</v>
      </c>
      <c r="J146" s="6">
        <v>625377</v>
      </c>
      <c r="K146" s="3">
        <v>15625377</v>
      </c>
    </row>
    <row r="147" spans="1:11" x14ac:dyDescent="0.25">
      <c r="A147" s="1" t="s">
        <v>2570</v>
      </c>
      <c r="B147" s="1" t="s">
        <v>1536</v>
      </c>
      <c r="C147" s="5">
        <v>5</v>
      </c>
      <c r="D147" s="14">
        <v>23769784</v>
      </c>
      <c r="E147" s="1" t="s">
        <v>1515</v>
      </c>
      <c r="F147" s="17">
        <v>4777585</v>
      </c>
      <c r="G147" s="8">
        <v>45694</v>
      </c>
      <c r="H147" s="1" t="s">
        <v>2512</v>
      </c>
      <c r="I147" s="11" t="s">
        <v>1518</v>
      </c>
      <c r="J147" s="6">
        <v>379844</v>
      </c>
      <c r="K147" s="3">
        <v>15379844</v>
      </c>
    </row>
    <row r="148" spans="1:11" x14ac:dyDescent="0.25">
      <c r="A148" s="1" t="s">
        <v>1617</v>
      </c>
      <c r="B148" s="1" t="s">
        <v>1527</v>
      </c>
      <c r="C148" s="5">
        <v>1</v>
      </c>
      <c r="D148" s="15">
        <v>49519315</v>
      </c>
      <c r="E148" s="1" t="s">
        <v>2504</v>
      </c>
      <c r="F148" s="18">
        <v>6168781</v>
      </c>
      <c r="G148" s="9">
        <v>45860</v>
      </c>
      <c r="H148" s="1" t="s">
        <v>1519</v>
      </c>
      <c r="I148" s="12" t="s">
        <v>1512</v>
      </c>
      <c r="J148" s="6">
        <v>867011</v>
      </c>
      <c r="K148" s="3">
        <v>15867011</v>
      </c>
    </row>
    <row r="149" spans="1:11" x14ac:dyDescent="0.25">
      <c r="A149" s="1" t="s">
        <v>1618</v>
      </c>
      <c r="B149" s="1" t="s">
        <v>1517</v>
      </c>
      <c r="C149" s="5">
        <v>5</v>
      </c>
      <c r="D149" s="14">
        <v>27661621</v>
      </c>
      <c r="E149" s="1" t="s">
        <v>2504</v>
      </c>
      <c r="F149" s="17">
        <v>2528684</v>
      </c>
      <c r="G149" s="8">
        <v>45852</v>
      </c>
      <c r="H149" s="1" t="s">
        <v>2510</v>
      </c>
      <c r="I149" s="11" t="s">
        <v>1518</v>
      </c>
      <c r="J149" s="6">
        <v>502659</v>
      </c>
      <c r="K149" s="3">
        <v>15502659</v>
      </c>
    </row>
    <row r="150" spans="1:11" x14ac:dyDescent="0.25">
      <c r="A150" s="1" t="s">
        <v>1619</v>
      </c>
      <c r="B150" s="1" t="s">
        <v>1523</v>
      </c>
      <c r="C150" s="5">
        <v>1</v>
      </c>
      <c r="D150" s="15">
        <v>37465975</v>
      </c>
      <c r="E150" s="1" t="s">
        <v>1515</v>
      </c>
      <c r="F150" s="18">
        <v>8861813</v>
      </c>
      <c r="G150" s="9">
        <v>45599</v>
      </c>
      <c r="H150" s="1" t="s">
        <v>1519</v>
      </c>
      <c r="I150" s="12" t="s">
        <v>2507</v>
      </c>
      <c r="J150" s="6">
        <v>572083</v>
      </c>
      <c r="K150" s="3">
        <v>15572083</v>
      </c>
    </row>
    <row r="151" spans="1:11" x14ac:dyDescent="0.25">
      <c r="A151" s="1" t="s">
        <v>1620</v>
      </c>
      <c r="B151" s="1" t="s">
        <v>1525</v>
      </c>
      <c r="C151" s="5">
        <v>1</v>
      </c>
      <c r="D151" s="14">
        <v>3527264</v>
      </c>
      <c r="E151" s="1" t="s">
        <v>1515</v>
      </c>
      <c r="F151" s="17">
        <v>809403</v>
      </c>
      <c r="G151" s="8">
        <v>45588</v>
      </c>
      <c r="H151" s="1" t="s">
        <v>2508</v>
      </c>
      <c r="I151" s="11" t="s">
        <v>1521</v>
      </c>
      <c r="J151" s="6">
        <v>54357</v>
      </c>
      <c r="K151" s="3">
        <v>15054357</v>
      </c>
    </row>
    <row r="152" spans="1:11" x14ac:dyDescent="0.25">
      <c r="A152" s="1" t="s">
        <v>2571</v>
      </c>
      <c r="B152" s="1" t="s">
        <v>1527</v>
      </c>
      <c r="C152" s="5">
        <v>5</v>
      </c>
      <c r="D152" s="15">
        <v>15759419</v>
      </c>
      <c r="E152" s="1" t="s">
        <v>1515</v>
      </c>
      <c r="F152" s="18">
        <v>430334</v>
      </c>
      <c r="G152" s="9">
        <v>45680</v>
      </c>
      <c r="H152" s="1" t="s">
        <v>1522</v>
      </c>
      <c r="I152" s="12" t="s">
        <v>1521</v>
      </c>
      <c r="J152" s="6">
        <v>306582</v>
      </c>
      <c r="K152" s="3">
        <v>15306582</v>
      </c>
    </row>
    <row r="153" spans="1:11" x14ac:dyDescent="0.25">
      <c r="A153" s="1" t="s">
        <v>1621</v>
      </c>
      <c r="B153" s="1" t="s">
        <v>1523</v>
      </c>
      <c r="C153" s="5">
        <v>3</v>
      </c>
      <c r="D153" s="14">
        <v>2654008</v>
      </c>
      <c r="E153" s="1" t="s">
        <v>2504</v>
      </c>
      <c r="F153" s="17">
        <v>3487624</v>
      </c>
      <c r="G153" s="8">
        <v>45654</v>
      </c>
      <c r="H153" s="1" t="s">
        <v>2515</v>
      </c>
      <c r="I153" s="11" t="s">
        <v>2511</v>
      </c>
      <c r="J153" s="6">
        <v>461049</v>
      </c>
      <c r="K153" s="3">
        <v>15461049</v>
      </c>
    </row>
    <row r="154" spans="1:11" x14ac:dyDescent="0.25">
      <c r="A154" s="1" t="s">
        <v>1622</v>
      </c>
      <c r="B154" s="1" t="s">
        <v>1527</v>
      </c>
      <c r="C154" s="5">
        <v>3</v>
      </c>
      <c r="D154" s="15">
        <v>21927926</v>
      </c>
      <c r="E154" s="1" t="s">
        <v>1515</v>
      </c>
      <c r="F154" s="18">
        <v>662978</v>
      </c>
      <c r="G154" s="9">
        <v>45756</v>
      </c>
      <c r="H154" s="1" t="s">
        <v>1513</v>
      </c>
      <c r="I154" s="12" t="s">
        <v>1518</v>
      </c>
      <c r="J154" s="6">
        <v>425299</v>
      </c>
      <c r="K154" s="3">
        <v>15425299</v>
      </c>
    </row>
    <row r="155" spans="1:11" x14ac:dyDescent="0.25">
      <c r="A155" s="1" t="s">
        <v>2572</v>
      </c>
      <c r="B155" s="1" t="s">
        <v>1534</v>
      </c>
      <c r="C155" s="5">
        <v>5</v>
      </c>
      <c r="D155" s="14">
        <v>30859846</v>
      </c>
      <c r="E155" s="1" t="s">
        <v>2504</v>
      </c>
      <c r="F155" s="17">
        <v>802202</v>
      </c>
      <c r="G155" s="8">
        <v>45523</v>
      </c>
      <c r="H155" s="1" t="s">
        <v>1519</v>
      </c>
      <c r="I155" s="11" t="s">
        <v>1521</v>
      </c>
      <c r="J155" s="6">
        <v>601153</v>
      </c>
      <c r="K155" s="3">
        <v>15601153</v>
      </c>
    </row>
    <row r="156" spans="1:11" x14ac:dyDescent="0.25">
      <c r="A156" s="1" t="s">
        <v>2573</v>
      </c>
      <c r="B156" s="1" t="s">
        <v>1517</v>
      </c>
      <c r="C156" s="5">
        <v>3</v>
      </c>
      <c r="D156" s="15">
        <v>12639999</v>
      </c>
      <c r="E156" s="1" t="s">
        <v>1515</v>
      </c>
      <c r="F156" s="18">
        <v>2358006</v>
      </c>
      <c r="G156" s="9">
        <v>45518</v>
      </c>
      <c r="H156" s="1" t="s">
        <v>1516</v>
      </c>
      <c r="I156" s="12" t="s">
        <v>1512</v>
      </c>
      <c r="J156" s="6">
        <v>20564</v>
      </c>
      <c r="K156" s="3">
        <v>1520564</v>
      </c>
    </row>
    <row r="157" spans="1:11" x14ac:dyDescent="0.25">
      <c r="A157" s="1" t="s">
        <v>2574</v>
      </c>
      <c r="B157" s="1" t="s">
        <v>1514</v>
      </c>
      <c r="C157" s="5">
        <v>3</v>
      </c>
      <c r="D157" s="14">
        <v>36543019</v>
      </c>
      <c r="E157" s="1" t="s">
        <v>1515</v>
      </c>
      <c r="F157" s="17">
        <v>2892786</v>
      </c>
      <c r="G157" s="8">
        <v>45842</v>
      </c>
      <c r="H157" s="1" t="s">
        <v>2510</v>
      </c>
      <c r="I157" s="11" t="s">
        <v>2509</v>
      </c>
      <c r="J157" s="6">
        <v>673005</v>
      </c>
      <c r="K157" s="3">
        <v>15673005</v>
      </c>
    </row>
    <row r="158" spans="1:11" x14ac:dyDescent="0.25">
      <c r="A158" s="1" t="s">
        <v>2575</v>
      </c>
      <c r="B158" s="1" t="s">
        <v>1540</v>
      </c>
      <c r="C158" s="5">
        <v>5</v>
      </c>
      <c r="D158" s="15">
        <v>45151902</v>
      </c>
      <c r="E158" s="1" t="s">
        <v>2504</v>
      </c>
      <c r="F158" s="18">
        <v>7599899</v>
      </c>
      <c r="G158" s="9">
        <v>45747</v>
      </c>
      <c r="H158" s="1" t="s">
        <v>2512</v>
      </c>
      <c r="I158" s="12" t="s">
        <v>1518</v>
      </c>
      <c r="J158" s="6">
        <v>75104</v>
      </c>
      <c r="K158" s="3">
        <v>1575104</v>
      </c>
    </row>
    <row r="159" spans="1:11" x14ac:dyDescent="0.25">
      <c r="A159" s="1" t="s">
        <v>1623</v>
      </c>
      <c r="B159" s="1" t="s">
        <v>1523</v>
      </c>
      <c r="C159" s="5">
        <v>5</v>
      </c>
      <c r="D159" s="14">
        <v>23975413</v>
      </c>
      <c r="E159" s="1" t="s">
        <v>1515</v>
      </c>
      <c r="F159" s="17">
        <v>38945</v>
      </c>
      <c r="G159" s="8">
        <v>45543</v>
      </c>
      <c r="H159" s="1" t="s">
        <v>2508</v>
      </c>
      <c r="I159" s="11" t="s">
        <v>1512</v>
      </c>
      <c r="J159" s="6">
        <v>478729</v>
      </c>
      <c r="K159" s="3">
        <v>15478729</v>
      </c>
    </row>
    <row r="160" spans="1:11" x14ac:dyDescent="0.25">
      <c r="A160" s="1" t="s">
        <v>1624</v>
      </c>
      <c r="B160" s="1" t="s">
        <v>1523</v>
      </c>
      <c r="C160" s="5">
        <v>3</v>
      </c>
      <c r="D160" s="15">
        <v>40554251</v>
      </c>
      <c r="E160" s="1" t="s">
        <v>2504</v>
      </c>
      <c r="F160" s="18">
        <v>177721</v>
      </c>
      <c r="G160" s="9">
        <v>45762</v>
      </c>
      <c r="H160" s="1" t="s">
        <v>2510</v>
      </c>
      <c r="I160" s="12" t="s">
        <v>2509</v>
      </c>
      <c r="J160" s="6">
        <v>807531</v>
      </c>
      <c r="K160" s="3">
        <v>15807531</v>
      </c>
    </row>
    <row r="161" spans="1:11" x14ac:dyDescent="0.25">
      <c r="A161" s="1" t="s">
        <v>1625</v>
      </c>
      <c r="B161" s="1" t="s">
        <v>1534</v>
      </c>
      <c r="C161" s="5">
        <v>2</v>
      </c>
      <c r="D161" s="14">
        <v>35299046</v>
      </c>
      <c r="E161" s="1" t="s">
        <v>2504</v>
      </c>
      <c r="F161" s="17">
        <v>6899844</v>
      </c>
      <c r="G161" s="8">
        <v>45854</v>
      </c>
      <c r="H161" s="1" t="s">
        <v>1543</v>
      </c>
      <c r="I161" s="11" t="s">
        <v>1521</v>
      </c>
      <c r="J161" s="6">
        <v>567984</v>
      </c>
      <c r="K161" s="3">
        <v>15567984</v>
      </c>
    </row>
    <row r="162" spans="1:11" x14ac:dyDescent="0.25">
      <c r="A162" s="1" t="s">
        <v>1626</v>
      </c>
      <c r="B162" s="1" t="s">
        <v>1545</v>
      </c>
      <c r="C162" s="5">
        <v>3</v>
      </c>
      <c r="D162" s="15">
        <v>32843166</v>
      </c>
      <c r="E162" s="1" t="s">
        <v>2504</v>
      </c>
      <c r="F162" s="18">
        <v>5752281</v>
      </c>
      <c r="G162" s="9">
        <v>45552</v>
      </c>
      <c r="H162" s="1" t="s">
        <v>1519</v>
      </c>
      <c r="I162" s="12" t="s">
        <v>1518</v>
      </c>
      <c r="J162" s="6">
        <v>541818</v>
      </c>
      <c r="K162" s="3">
        <v>15541818</v>
      </c>
    </row>
    <row r="163" spans="1:11" x14ac:dyDescent="0.25">
      <c r="A163" s="1" t="s">
        <v>1627</v>
      </c>
      <c r="B163" s="1" t="s">
        <v>1525</v>
      </c>
      <c r="C163" s="5">
        <v>5</v>
      </c>
      <c r="D163" s="14">
        <v>3830995</v>
      </c>
      <c r="E163" s="1" t="s">
        <v>1515</v>
      </c>
      <c r="F163" s="17">
        <v>376326</v>
      </c>
      <c r="G163" s="8">
        <v>45741</v>
      </c>
      <c r="H163" s="1" t="s">
        <v>1513</v>
      </c>
      <c r="I163" s="11" t="s">
        <v>1518</v>
      </c>
      <c r="J163" s="6">
        <v>69093</v>
      </c>
      <c r="K163" s="3">
        <v>15069093</v>
      </c>
    </row>
    <row r="164" spans="1:11" x14ac:dyDescent="0.25">
      <c r="A164" s="1" t="s">
        <v>2576</v>
      </c>
      <c r="B164" s="1" t="s">
        <v>1517</v>
      </c>
      <c r="C164" s="5">
        <v>2</v>
      </c>
      <c r="D164" s="15">
        <v>9287637</v>
      </c>
      <c r="E164" s="1" t="s">
        <v>2504</v>
      </c>
      <c r="F164" s="18">
        <v>14335</v>
      </c>
      <c r="G164" s="9">
        <v>45604</v>
      </c>
      <c r="H164" s="1" t="s">
        <v>2519</v>
      </c>
      <c r="I164" s="12" t="s">
        <v>1512</v>
      </c>
      <c r="J164" s="6">
        <v>185466</v>
      </c>
      <c r="K164" s="3">
        <v>15185466</v>
      </c>
    </row>
    <row r="165" spans="1:11" x14ac:dyDescent="0.25">
      <c r="A165" s="1" t="s">
        <v>1628</v>
      </c>
      <c r="B165" s="1" t="s">
        <v>1523</v>
      </c>
      <c r="C165" s="5">
        <v>2</v>
      </c>
      <c r="D165" s="14">
        <v>40156235</v>
      </c>
      <c r="E165" s="1" t="s">
        <v>1538</v>
      </c>
      <c r="F165" s="17">
        <v>634624</v>
      </c>
      <c r="G165" s="8">
        <v>45531</v>
      </c>
      <c r="H165" s="1" t="s">
        <v>2510</v>
      </c>
      <c r="I165" s="11" t="s">
        <v>1521</v>
      </c>
      <c r="J165" s="6">
        <v>67620</v>
      </c>
      <c r="K165" s="3">
        <v>1567620</v>
      </c>
    </row>
    <row r="166" spans="1:11" x14ac:dyDescent="0.25">
      <c r="A166" s="1" t="s">
        <v>1629</v>
      </c>
      <c r="B166" s="1" t="s">
        <v>1534</v>
      </c>
      <c r="C166" s="5">
        <v>4</v>
      </c>
      <c r="D166" s="15">
        <v>38389118</v>
      </c>
      <c r="E166" s="1" t="s">
        <v>2504</v>
      </c>
      <c r="F166" s="18">
        <v>1723605</v>
      </c>
      <c r="G166" s="9">
        <v>45537</v>
      </c>
      <c r="H166" s="1" t="s">
        <v>1513</v>
      </c>
      <c r="I166" s="12" t="s">
        <v>1512</v>
      </c>
      <c r="J166" s="6">
        <v>73331</v>
      </c>
      <c r="K166" s="3">
        <v>1573331</v>
      </c>
    </row>
    <row r="167" spans="1:11" x14ac:dyDescent="0.25">
      <c r="A167" s="1" t="s">
        <v>1630</v>
      </c>
      <c r="B167" s="1" t="s">
        <v>1540</v>
      </c>
      <c r="C167" s="5">
        <v>5</v>
      </c>
      <c r="D167" s="14">
        <v>36960253</v>
      </c>
      <c r="E167" s="1" t="s">
        <v>2504</v>
      </c>
      <c r="F167" s="17">
        <v>174537</v>
      </c>
      <c r="G167" s="8">
        <v>45669</v>
      </c>
      <c r="H167" s="1" t="s">
        <v>2508</v>
      </c>
      <c r="I167" s="11" t="s">
        <v>2511</v>
      </c>
      <c r="J167" s="6">
        <v>735714</v>
      </c>
      <c r="K167" s="3">
        <v>15735714</v>
      </c>
    </row>
    <row r="168" spans="1:11" x14ac:dyDescent="0.25">
      <c r="A168" s="1" t="s">
        <v>1631</v>
      </c>
      <c r="B168" s="1" t="s">
        <v>1527</v>
      </c>
      <c r="C168" s="5">
        <v>2</v>
      </c>
      <c r="D168" s="15">
        <v>2216055</v>
      </c>
      <c r="E168" s="1" t="s">
        <v>1515</v>
      </c>
      <c r="F168" s="18">
        <v>3665494</v>
      </c>
      <c r="G168" s="9">
        <v>45733</v>
      </c>
      <c r="H168" s="1" t="s">
        <v>1543</v>
      </c>
      <c r="I168" s="12" t="s">
        <v>1512</v>
      </c>
      <c r="J168" s="6">
        <v>369901</v>
      </c>
      <c r="K168" s="3">
        <v>15369901</v>
      </c>
    </row>
    <row r="169" spans="1:11" x14ac:dyDescent="0.25">
      <c r="A169" s="1" t="s">
        <v>2577</v>
      </c>
      <c r="B169" s="1" t="s">
        <v>1527</v>
      </c>
      <c r="C169" s="5">
        <v>2</v>
      </c>
      <c r="D169" s="14">
        <v>36425628</v>
      </c>
      <c r="E169" s="1" t="s">
        <v>2504</v>
      </c>
      <c r="F169" s="17">
        <v>8088949</v>
      </c>
      <c r="G169" s="8">
        <v>45515</v>
      </c>
      <c r="H169" s="1" t="s">
        <v>1543</v>
      </c>
      <c r="I169" s="11" t="s">
        <v>2509</v>
      </c>
      <c r="J169" s="6">
        <v>566734</v>
      </c>
      <c r="K169" s="3">
        <v>15566734</v>
      </c>
    </row>
    <row r="170" spans="1:11" x14ac:dyDescent="0.25">
      <c r="A170" s="1" t="s">
        <v>1632</v>
      </c>
      <c r="B170" s="1" t="s">
        <v>1534</v>
      </c>
      <c r="C170" s="5">
        <v>4</v>
      </c>
      <c r="D170" s="15">
        <v>28970033</v>
      </c>
      <c r="E170" s="1" t="s">
        <v>1538</v>
      </c>
      <c r="F170" s="18">
        <v>3101603</v>
      </c>
      <c r="G170" s="9">
        <v>45710</v>
      </c>
      <c r="H170" s="1" t="s">
        <v>2512</v>
      </c>
      <c r="I170" s="12" t="s">
        <v>1512</v>
      </c>
      <c r="J170" s="6">
        <v>517369</v>
      </c>
      <c r="K170" s="3">
        <v>15517369</v>
      </c>
    </row>
    <row r="171" spans="1:11" x14ac:dyDescent="0.25">
      <c r="A171" s="1" t="s">
        <v>1633</v>
      </c>
      <c r="B171" s="1" t="s">
        <v>1534</v>
      </c>
      <c r="C171" s="5">
        <v>5</v>
      </c>
      <c r="D171" s="14">
        <v>8160817</v>
      </c>
      <c r="E171" s="1" t="s">
        <v>1515</v>
      </c>
      <c r="F171" s="17">
        <v>1391231</v>
      </c>
      <c r="G171" s="8">
        <v>45840</v>
      </c>
      <c r="H171" s="1" t="s">
        <v>2512</v>
      </c>
      <c r="I171" s="11" t="s">
        <v>2507</v>
      </c>
      <c r="J171" s="6">
        <v>135392</v>
      </c>
      <c r="K171" s="3">
        <v>15135392</v>
      </c>
    </row>
    <row r="172" spans="1:11" x14ac:dyDescent="0.25">
      <c r="A172" s="1" t="s">
        <v>1634</v>
      </c>
      <c r="B172" s="1" t="s">
        <v>1525</v>
      </c>
      <c r="C172" s="5">
        <v>3</v>
      </c>
      <c r="D172" s="15">
        <v>12413422</v>
      </c>
      <c r="E172" s="1" t="s">
        <v>1515</v>
      </c>
      <c r="F172" s="18">
        <v>479053</v>
      </c>
      <c r="G172" s="9">
        <v>45831</v>
      </c>
      <c r="H172" s="1" t="s">
        <v>2510</v>
      </c>
      <c r="I172" s="12" t="s">
        <v>2509</v>
      </c>
      <c r="J172" s="6">
        <v>238687</v>
      </c>
      <c r="K172" s="3">
        <v>15238687</v>
      </c>
    </row>
    <row r="173" spans="1:11" x14ac:dyDescent="0.25">
      <c r="A173" s="1" t="s">
        <v>1635</v>
      </c>
      <c r="B173" s="1" t="s">
        <v>1523</v>
      </c>
      <c r="C173" s="5">
        <v>4</v>
      </c>
      <c r="D173" s="14">
        <v>7945334</v>
      </c>
      <c r="E173" s="1" t="s">
        <v>1538</v>
      </c>
      <c r="F173" s="17">
        <v>1183579</v>
      </c>
      <c r="G173" s="8">
        <v>45719</v>
      </c>
      <c r="H173" s="1" t="s">
        <v>2519</v>
      </c>
      <c r="I173" s="11" t="s">
        <v>1521</v>
      </c>
      <c r="J173" s="6">
        <v>135235</v>
      </c>
      <c r="K173" s="3">
        <v>15135235</v>
      </c>
    </row>
    <row r="174" spans="1:11" x14ac:dyDescent="0.25">
      <c r="A174" s="1" t="s">
        <v>2578</v>
      </c>
      <c r="B174" s="1" t="s">
        <v>1523</v>
      </c>
      <c r="C174" s="5">
        <v>3</v>
      </c>
      <c r="D174" s="15">
        <v>5285255</v>
      </c>
      <c r="E174" s="1" t="s">
        <v>1515</v>
      </c>
      <c r="F174" s="18">
        <v>485839</v>
      </c>
      <c r="G174" s="9">
        <v>45659</v>
      </c>
      <c r="H174" s="1" t="s">
        <v>2512</v>
      </c>
      <c r="I174" s="12" t="s">
        <v>1518</v>
      </c>
      <c r="J174" s="6">
        <v>95988</v>
      </c>
      <c r="K174" s="3">
        <v>15095988</v>
      </c>
    </row>
    <row r="175" spans="1:11" x14ac:dyDescent="0.25">
      <c r="A175" s="1" t="s">
        <v>1636</v>
      </c>
      <c r="B175" s="1" t="s">
        <v>1536</v>
      </c>
      <c r="C175" s="5">
        <v>5</v>
      </c>
      <c r="D175" s="14">
        <v>36035823</v>
      </c>
      <c r="E175" s="1" t="s">
        <v>1538</v>
      </c>
      <c r="F175" s="17">
        <v>5811199</v>
      </c>
      <c r="G175" s="8">
        <v>45669</v>
      </c>
      <c r="H175" s="1" t="s">
        <v>2512</v>
      </c>
      <c r="I175" s="11" t="s">
        <v>1518</v>
      </c>
      <c r="J175" s="6">
        <v>604492</v>
      </c>
      <c r="K175" s="3">
        <v>15604492</v>
      </c>
    </row>
    <row r="176" spans="1:11" x14ac:dyDescent="0.25">
      <c r="A176" s="1" t="s">
        <v>1637</v>
      </c>
      <c r="B176" s="1" t="s">
        <v>1534</v>
      </c>
      <c r="C176" s="5">
        <v>2</v>
      </c>
      <c r="D176" s="15">
        <v>27177801</v>
      </c>
      <c r="E176" s="1" t="s">
        <v>1515</v>
      </c>
      <c r="F176" s="18">
        <v>5288168</v>
      </c>
      <c r="G176" s="9">
        <v>45644</v>
      </c>
      <c r="H176" s="1" t="s">
        <v>1516</v>
      </c>
      <c r="I176" s="12" t="s">
        <v>1521</v>
      </c>
      <c r="J176" s="6">
        <v>437793</v>
      </c>
      <c r="K176" s="3">
        <v>15437793</v>
      </c>
    </row>
    <row r="177" spans="1:11" x14ac:dyDescent="0.25">
      <c r="A177" s="1" t="s">
        <v>2579</v>
      </c>
      <c r="B177" s="1" t="s">
        <v>1540</v>
      </c>
      <c r="C177" s="5">
        <v>5</v>
      </c>
      <c r="D177" s="14">
        <v>38275231</v>
      </c>
      <c r="E177" s="1" t="s">
        <v>2504</v>
      </c>
      <c r="F177" s="17">
        <v>4263529</v>
      </c>
      <c r="G177" s="8">
        <v>45803</v>
      </c>
      <c r="H177" s="1" t="s">
        <v>1516</v>
      </c>
      <c r="I177" s="11" t="s">
        <v>2509</v>
      </c>
      <c r="J177" s="6">
        <v>680234</v>
      </c>
      <c r="K177" s="3">
        <v>15680234</v>
      </c>
    </row>
    <row r="178" spans="1:11" x14ac:dyDescent="0.25">
      <c r="A178" s="1" t="s">
        <v>2580</v>
      </c>
      <c r="B178" s="1" t="s">
        <v>1517</v>
      </c>
      <c r="C178" s="5">
        <v>4</v>
      </c>
      <c r="D178" s="15">
        <v>45855153</v>
      </c>
      <c r="E178" s="1" t="s">
        <v>1515</v>
      </c>
      <c r="F178" s="18">
        <v>1973588</v>
      </c>
      <c r="G178" s="9">
        <v>45849</v>
      </c>
      <c r="H178" s="1" t="s">
        <v>2519</v>
      </c>
      <c r="I178" s="12" t="s">
        <v>1518</v>
      </c>
      <c r="J178" s="6">
        <v>877631</v>
      </c>
      <c r="K178" s="3">
        <v>15877631</v>
      </c>
    </row>
    <row r="179" spans="1:11" x14ac:dyDescent="0.25">
      <c r="A179" s="1" t="s">
        <v>2581</v>
      </c>
      <c r="B179" s="1" t="s">
        <v>1545</v>
      </c>
      <c r="C179" s="5">
        <v>5</v>
      </c>
      <c r="D179" s="14">
        <v>32839879</v>
      </c>
      <c r="E179" s="1" t="s">
        <v>1515</v>
      </c>
      <c r="F179" s="17">
        <v>5083464</v>
      </c>
      <c r="G179" s="8">
        <v>45713</v>
      </c>
      <c r="H179" s="1" t="s">
        <v>1543</v>
      </c>
      <c r="I179" s="11" t="s">
        <v>2511</v>
      </c>
      <c r="J179" s="6">
        <v>555128</v>
      </c>
      <c r="K179" s="3">
        <v>15555128</v>
      </c>
    </row>
    <row r="180" spans="1:11" x14ac:dyDescent="0.25">
      <c r="A180" s="1" t="s">
        <v>1638</v>
      </c>
      <c r="B180" s="1" t="s">
        <v>1545</v>
      </c>
      <c r="C180" s="5">
        <v>1</v>
      </c>
      <c r="D180" s="15">
        <v>41125641</v>
      </c>
      <c r="E180" s="1" t="s">
        <v>1515</v>
      </c>
      <c r="F180" s="18">
        <v>9673798</v>
      </c>
      <c r="G180" s="9">
        <v>45668</v>
      </c>
      <c r="H180" s="1" t="s">
        <v>1519</v>
      </c>
      <c r="I180" s="12" t="s">
        <v>2507</v>
      </c>
      <c r="J180" s="6">
        <v>629037</v>
      </c>
      <c r="K180" s="3">
        <v>15629037</v>
      </c>
    </row>
    <row r="181" spans="1:11" x14ac:dyDescent="0.25">
      <c r="A181" s="1" t="s">
        <v>2582</v>
      </c>
      <c r="B181" s="1" t="s">
        <v>1523</v>
      </c>
      <c r="C181" s="5">
        <v>2</v>
      </c>
      <c r="D181" s="14">
        <v>47060366</v>
      </c>
      <c r="E181" s="1" t="s">
        <v>2504</v>
      </c>
      <c r="F181" s="17">
        <v>9706059</v>
      </c>
      <c r="G181" s="8">
        <v>45721</v>
      </c>
      <c r="H181" s="1" t="s">
        <v>2508</v>
      </c>
      <c r="I181" s="11" t="s">
        <v>1521</v>
      </c>
      <c r="J181" s="6">
        <v>747086</v>
      </c>
      <c r="K181" s="3">
        <v>15747086</v>
      </c>
    </row>
    <row r="182" spans="1:11" x14ac:dyDescent="0.25">
      <c r="A182" s="1" t="s">
        <v>1639</v>
      </c>
      <c r="B182" s="1" t="s">
        <v>1527</v>
      </c>
      <c r="C182" s="5">
        <v>2</v>
      </c>
      <c r="D182" s="15">
        <v>14902759</v>
      </c>
      <c r="E182" s="1" t="s">
        <v>1538</v>
      </c>
      <c r="F182" s="18">
        <v>1945893</v>
      </c>
      <c r="G182" s="9">
        <v>45626</v>
      </c>
      <c r="H182" s="1" t="s">
        <v>2510</v>
      </c>
      <c r="I182" s="12" t="s">
        <v>1512</v>
      </c>
      <c r="J182" s="6">
        <v>259137</v>
      </c>
      <c r="K182" s="3">
        <v>15259137</v>
      </c>
    </row>
    <row r="183" spans="1:11" x14ac:dyDescent="0.25">
      <c r="A183" s="1" t="s">
        <v>1640</v>
      </c>
      <c r="B183" s="1" t="s">
        <v>1525</v>
      </c>
      <c r="C183" s="5">
        <v>2</v>
      </c>
      <c r="D183" s="14">
        <v>30079652</v>
      </c>
      <c r="E183" s="1" t="s">
        <v>1515</v>
      </c>
      <c r="F183" s="17">
        <v>3250296</v>
      </c>
      <c r="G183" s="8">
        <v>45503</v>
      </c>
      <c r="H183" s="1" t="s">
        <v>2512</v>
      </c>
      <c r="I183" s="11" t="s">
        <v>1521</v>
      </c>
      <c r="J183" s="6">
        <v>536587</v>
      </c>
      <c r="K183" s="3">
        <v>15536587</v>
      </c>
    </row>
    <row r="184" spans="1:11" x14ac:dyDescent="0.25">
      <c r="A184" s="1" t="s">
        <v>1641</v>
      </c>
      <c r="B184" s="1" t="s">
        <v>1532</v>
      </c>
      <c r="C184" s="5">
        <v>3</v>
      </c>
      <c r="D184" s="15">
        <v>14170784</v>
      </c>
      <c r="E184" s="1" t="s">
        <v>2504</v>
      </c>
      <c r="F184" s="18">
        <v>3112182</v>
      </c>
      <c r="G184" s="9">
        <v>45614</v>
      </c>
      <c r="H184" s="1" t="s">
        <v>2508</v>
      </c>
      <c r="I184" s="12" t="s">
        <v>1521</v>
      </c>
      <c r="J184" s="6">
        <v>221172</v>
      </c>
      <c r="K184" s="3">
        <v>15221172</v>
      </c>
    </row>
    <row r="185" spans="1:11" x14ac:dyDescent="0.25">
      <c r="A185" s="1" t="s">
        <v>1642</v>
      </c>
      <c r="B185" s="1" t="s">
        <v>1525</v>
      </c>
      <c r="C185" s="5">
        <v>5</v>
      </c>
      <c r="D185" s="14">
        <v>18476725</v>
      </c>
      <c r="E185" s="1" t="s">
        <v>2504</v>
      </c>
      <c r="F185" s="17">
        <v>93127</v>
      </c>
      <c r="G185" s="8">
        <v>45704</v>
      </c>
      <c r="H185" s="1" t="s">
        <v>2508</v>
      </c>
      <c r="I185" s="11" t="s">
        <v>1521</v>
      </c>
      <c r="J185" s="6">
        <v>350909</v>
      </c>
      <c r="K185" s="3">
        <v>15350909</v>
      </c>
    </row>
    <row r="186" spans="1:11" x14ac:dyDescent="0.25">
      <c r="A186" s="1" t="s">
        <v>1643</v>
      </c>
      <c r="B186" s="1" t="s">
        <v>1534</v>
      </c>
      <c r="C186" s="5">
        <v>4</v>
      </c>
      <c r="D186" s="15">
        <v>10094328</v>
      </c>
      <c r="E186" s="1" t="s">
        <v>2504</v>
      </c>
      <c r="F186" s="18">
        <v>1215444</v>
      </c>
      <c r="G186" s="9">
        <v>45642</v>
      </c>
      <c r="H186" s="1" t="s">
        <v>2515</v>
      </c>
      <c r="I186" s="12" t="s">
        <v>1512</v>
      </c>
      <c r="J186" s="6">
        <v>177578</v>
      </c>
      <c r="K186" s="3">
        <v>15177578</v>
      </c>
    </row>
    <row r="187" spans="1:11" x14ac:dyDescent="0.25">
      <c r="A187" s="1" t="s">
        <v>2583</v>
      </c>
      <c r="B187" s="1" t="s">
        <v>1517</v>
      </c>
      <c r="C187" s="5">
        <v>3</v>
      </c>
      <c r="D187" s="14">
        <v>24328044</v>
      </c>
      <c r="E187" s="1" t="s">
        <v>1538</v>
      </c>
      <c r="F187" s="17">
        <v>229009</v>
      </c>
      <c r="G187" s="8">
        <v>45613</v>
      </c>
      <c r="H187" s="1" t="s">
        <v>2508</v>
      </c>
      <c r="I187" s="11" t="s">
        <v>1521</v>
      </c>
      <c r="J187" s="6">
        <v>440759</v>
      </c>
      <c r="K187" s="3">
        <v>15440759</v>
      </c>
    </row>
    <row r="188" spans="1:11" x14ac:dyDescent="0.25">
      <c r="A188" s="1" t="s">
        <v>1644</v>
      </c>
      <c r="B188" s="1" t="s">
        <v>1525</v>
      </c>
      <c r="C188" s="5">
        <v>3</v>
      </c>
      <c r="D188" s="15">
        <v>42277612</v>
      </c>
      <c r="E188" s="1" t="s">
        <v>2504</v>
      </c>
      <c r="F188" s="18">
        <v>5393886</v>
      </c>
      <c r="G188" s="9">
        <v>45662</v>
      </c>
      <c r="H188" s="1" t="s">
        <v>2512</v>
      </c>
      <c r="I188" s="12" t="s">
        <v>2507</v>
      </c>
      <c r="J188" s="6">
        <v>737675</v>
      </c>
      <c r="K188" s="3">
        <v>15737675</v>
      </c>
    </row>
    <row r="189" spans="1:11" x14ac:dyDescent="0.25">
      <c r="A189" s="1" t="s">
        <v>1645</v>
      </c>
      <c r="B189" s="1" t="s">
        <v>1514</v>
      </c>
      <c r="C189" s="5">
        <v>4</v>
      </c>
      <c r="D189" s="14">
        <v>20288837</v>
      </c>
      <c r="E189" s="1" t="s">
        <v>1538</v>
      </c>
      <c r="F189" s="17">
        <v>4385424</v>
      </c>
      <c r="G189" s="8">
        <v>45527</v>
      </c>
      <c r="H189" s="1" t="s">
        <v>2515</v>
      </c>
      <c r="I189" s="11" t="s">
        <v>1512</v>
      </c>
      <c r="J189" s="6">
        <v>318068</v>
      </c>
      <c r="K189" s="3">
        <v>15318068</v>
      </c>
    </row>
    <row r="190" spans="1:11" x14ac:dyDescent="0.25">
      <c r="A190" s="1" t="s">
        <v>2584</v>
      </c>
      <c r="B190" s="1" t="s">
        <v>1517</v>
      </c>
      <c r="C190" s="5">
        <v>2</v>
      </c>
      <c r="D190" s="15">
        <v>21739785</v>
      </c>
      <c r="E190" s="1" t="s">
        <v>1515</v>
      </c>
      <c r="F190" s="18">
        <v>910335</v>
      </c>
      <c r="G190" s="9">
        <v>45741</v>
      </c>
      <c r="H190" s="1" t="s">
        <v>1516</v>
      </c>
      <c r="I190" s="12" t="s">
        <v>2511</v>
      </c>
      <c r="J190" s="6">
        <v>416589</v>
      </c>
      <c r="K190" s="3">
        <v>15416589</v>
      </c>
    </row>
    <row r="191" spans="1:11" x14ac:dyDescent="0.25">
      <c r="A191" s="1" t="s">
        <v>1646</v>
      </c>
      <c r="B191" s="1" t="s">
        <v>1517</v>
      </c>
      <c r="C191" s="5">
        <v>5</v>
      </c>
      <c r="D191" s="14">
        <v>39832579</v>
      </c>
      <c r="E191" s="1" t="s">
        <v>1515</v>
      </c>
      <c r="F191" s="17">
        <v>4266084</v>
      </c>
      <c r="G191" s="8">
        <v>45549</v>
      </c>
      <c r="H191" s="1" t="s">
        <v>1513</v>
      </c>
      <c r="I191" s="11" t="s">
        <v>2511</v>
      </c>
      <c r="J191" s="6">
        <v>71133</v>
      </c>
      <c r="K191" s="3">
        <v>1571133</v>
      </c>
    </row>
    <row r="192" spans="1:11" x14ac:dyDescent="0.25">
      <c r="A192" s="1" t="s">
        <v>2585</v>
      </c>
      <c r="B192" s="1" t="s">
        <v>1514</v>
      </c>
      <c r="C192" s="5">
        <v>5</v>
      </c>
      <c r="D192" s="15">
        <v>34766057</v>
      </c>
      <c r="E192" s="1" t="s">
        <v>1515</v>
      </c>
      <c r="F192" s="18">
        <v>3791485</v>
      </c>
      <c r="G192" s="9">
        <v>45854</v>
      </c>
      <c r="H192" s="1" t="s">
        <v>2510</v>
      </c>
      <c r="I192" s="12" t="s">
        <v>1521</v>
      </c>
      <c r="J192" s="6">
        <v>619491</v>
      </c>
      <c r="K192" s="3">
        <v>15619491</v>
      </c>
    </row>
    <row r="193" spans="1:11" x14ac:dyDescent="0.25">
      <c r="A193" s="1" t="s">
        <v>2586</v>
      </c>
      <c r="B193" s="1" t="s">
        <v>1540</v>
      </c>
      <c r="C193" s="5">
        <v>3</v>
      </c>
      <c r="D193" s="14">
        <v>29157547</v>
      </c>
      <c r="E193" s="1" t="s">
        <v>2504</v>
      </c>
      <c r="F193" s="17">
        <v>4346456</v>
      </c>
      <c r="G193" s="8">
        <v>45543</v>
      </c>
      <c r="H193" s="1" t="s">
        <v>1519</v>
      </c>
      <c r="I193" s="11" t="s">
        <v>2511</v>
      </c>
      <c r="J193" s="6">
        <v>496222</v>
      </c>
      <c r="K193" s="3">
        <v>15496222</v>
      </c>
    </row>
    <row r="194" spans="1:11" x14ac:dyDescent="0.25">
      <c r="A194" s="1" t="s">
        <v>1647</v>
      </c>
      <c r="B194" s="1" t="s">
        <v>1540</v>
      </c>
      <c r="C194" s="5">
        <v>2</v>
      </c>
      <c r="D194" s="15">
        <v>38059648</v>
      </c>
      <c r="E194" s="1" t="s">
        <v>1538</v>
      </c>
      <c r="F194" s="18">
        <v>552738</v>
      </c>
      <c r="G194" s="9">
        <v>45773</v>
      </c>
      <c r="H194" s="1" t="s">
        <v>1543</v>
      </c>
      <c r="I194" s="12" t="s">
        <v>1518</v>
      </c>
      <c r="J194" s="6">
        <v>750138</v>
      </c>
      <c r="K194" s="3">
        <v>15750138</v>
      </c>
    </row>
    <row r="195" spans="1:11" x14ac:dyDescent="0.25">
      <c r="A195" s="1" t="s">
        <v>1648</v>
      </c>
      <c r="B195" s="1" t="s">
        <v>1534</v>
      </c>
      <c r="C195" s="5">
        <v>5</v>
      </c>
      <c r="D195" s="14">
        <v>28795267</v>
      </c>
      <c r="E195" s="1" t="s">
        <v>2504</v>
      </c>
      <c r="F195" s="17">
        <v>44754</v>
      </c>
      <c r="G195" s="8">
        <v>45497</v>
      </c>
      <c r="H195" s="1" t="s">
        <v>2515</v>
      </c>
      <c r="I195" s="11" t="s">
        <v>1518</v>
      </c>
      <c r="J195" s="6">
        <v>57501</v>
      </c>
      <c r="K195" s="3">
        <v>1557501</v>
      </c>
    </row>
    <row r="196" spans="1:11" x14ac:dyDescent="0.25">
      <c r="A196" s="1" t="s">
        <v>2587</v>
      </c>
      <c r="B196" s="1" t="s">
        <v>1523</v>
      </c>
      <c r="C196" s="5">
        <v>1</v>
      </c>
      <c r="D196" s="15">
        <v>2980768</v>
      </c>
      <c r="E196" s="1" t="s">
        <v>1538</v>
      </c>
      <c r="F196" s="18">
        <v>212152</v>
      </c>
      <c r="G196" s="9">
        <v>45645</v>
      </c>
      <c r="H196" s="1" t="s">
        <v>1513</v>
      </c>
      <c r="I196" s="12" t="s">
        <v>2511</v>
      </c>
      <c r="J196" s="6">
        <v>55372</v>
      </c>
      <c r="K196" s="3">
        <v>15055372</v>
      </c>
    </row>
    <row r="197" spans="1:11" x14ac:dyDescent="0.25">
      <c r="A197" s="1" t="s">
        <v>1649</v>
      </c>
      <c r="B197" s="1" t="s">
        <v>1514</v>
      </c>
      <c r="C197" s="5">
        <v>2</v>
      </c>
      <c r="D197" s="14">
        <v>20309037</v>
      </c>
      <c r="E197" s="1" t="s">
        <v>2504</v>
      </c>
      <c r="F197" s="17">
        <v>45851</v>
      </c>
      <c r="G197" s="8">
        <v>45574</v>
      </c>
      <c r="H197" s="1" t="s">
        <v>2515</v>
      </c>
      <c r="I197" s="11" t="s">
        <v>2507</v>
      </c>
      <c r="J197" s="6">
        <v>397011</v>
      </c>
      <c r="K197" s="3">
        <v>15397011</v>
      </c>
    </row>
    <row r="198" spans="1:11" x14ac:dyDescent="0.25">
      <c r="A198" s="1" t="s">
        <v>1650</v>
      </c>
      <c r="B198" s="1" t="s">
        <v>1514</v>
      </c>
      <c r="C198" s="5">
        <v>2</v>
      </c>
      <c r="D198" s="15">
        <v>268392</v>
      </c>
      <c r="E198" s="1" t="s">
        <v>1538</v>
      </c>
      <c r="F198" s="18">
        <v>451802</v>
      </c>
      <c r="G198" s="9">
        <v>45599</v>
      </c>
      <c r="H198" s="1" t="s">
        <v>1543</v>
      </c>
      <c r="I198" s="12" t="s">
        <v>1518</v>
      </c>
      <c r="J198" s="6">
        <v>44642</v>
      </c>
      <c r="K198" s="3">
        <v>15044642</v>
      </c>
    </row>
    <row r="199" spans="1:11" x14ac:dyDescent="0.25">
      <c r="A199" s="1" t="s">
        <v>2588</v>
      </c>
      <c r="B199" s="1" t="s">
        <v>1525</v>
      </c>
      <c r="C199" s="5">
        <v>3</v>
      </c>
      <c r="D199" s="14">
        <v>34644202</v>
      </c>
      <c r="E199" s="1" t="s">
        <v>1515</v>
      </c>
      <c r="F199" s="17">
        <v>3108311</v>
      </c>
      <c r="G199" s="8">
        <v>45792</v>
      </c>
      <c r="H199" s="1" t="s">
        <v>2510</v>
      </c>
      <c r="I199" s="11" t="s">
        <v>1518</v>
      </c>
      <c r="J199" s="6">
        <v>630718</v>
      </c>
      <c r="K199" s="3">
        <v>15630718</v>
      </c>
    </row>
    <row r="200" spans="1:11" x14ac:dyDescent="0.25">
      <c r="A200" s="1" t="s">
        <v>1651</v>
      </c>
      <c r="B200" s="1" t="s">
        <v>1534</v>
      </c>
      <c r="C200" s="5">
        <v>4</v>
      </c>
      <c r="D200" s="15">
        <v>41343699</v>
      </c>
      <c r="E200" s="1" t="s">
        <v>2504</v>
      </c>
      <c r="F200" s="18">
        <v>2187017</v>
      </c>
      <c r="G200" s="9">
        <v>45657</v>
      </c>
      <c r="H200" s="1" t="s">
        <v>2512</v>
      </c>
      <c r="I200" s="12" t="s">
        <v>1518</v>
      </c>
      <c r="J200" s="6">
        <v>783134</v>
      </c>
      <c r="K200" s="3">
        <v>15783134</v>
      </c>
    </row>
    <row r="201" spans="1:11" x14ac:dyDescent="0.25">
      <c r="A201" s="1" t="s">
        <v>1652</v>
      </c>
      <c r="B201" s="1" t="s">
        <v>1534</v>
      </c>
      <c r="C201" s="5">
        <v>5</v>
      </c>
      <c r="D201" s="14">
        <v>11384071</v>
      </c>
      <c r="E201" s="1" t="s">
        <v>2504</v>
      </c>
      <c r="F201" s="17">
        <v>1825203</v>
      </c>
      <c r="G201" s="8">
        <v>45630</v>
      </c>
      <c r="H201" s="1" t="s">
        <v>2512</v>
      </c>
      <c r="I201" s="11" t="s">
        <v>2511</v>
      </c>
      <c r="J201" s="6">
        <v>191177</v>
      </c>
      <c r="K201" s="3">
        <v>15191177</v>
      </c>
    </row>
    <row r="202" spans="1:11" x14ac:dyDescent="0.25">
      <c r="A202" s="1" t="s">
        <v>1653</v>
      </c>
      <c r="B202" s="1" t="s">
        <v>1514</v>
      </c>
      <c r="C202" s="5">
        <v>1</v>
      </c>
      <c r="D202" s="15">
        <v>3044149</v>
      </c>
      <c r="E202" s="1" t="s">
        <v>1538</v>
      </c>
      <c r="F202" s="18">
        <v>53567</v>
      </c>
      <c r="G202" s="9">
        <v>45703</v>
      </c>
      <c r="H202" s="1" t="s">
        <v>1522</v>
      </c>
      <c r="I202" s="12" t="s">
        <v>2509</v>
      </c>
      <c r="J202" s="6">
        <v>59812</v>
      </c>
      <c r="K202" s="3">
        <v>15059812</v>
      </c>
    </row>
    <row r="203" spans="1:11" x14ac:dyDescent="0.25">
      <c r="A203" s="1" t="s">
        <v>1654</v>
      </c>
      <c r="B203" s="1" t="s">
        <v>1534</v>
      </c>
      <c r="C203" s="5">
        <v>5</v>
      </c>
      <c r="D203" s="14">
        <v>5014294</v>
      </c>
      <c r="E203" s="1" t="s">
        <v>1515</v>
      </c>
      <c r="F203" s="17">
        <v>1157436</v>
      </c>
      <c r="G203" s="8">
        <v>45607</v>
      </c>
      <c r="H203" s="1" t="s">
        <v>2512</v>
      </c>
      <c r="I203" s="11" t="s">
        <v>1518</v>
      </c>
      <c r="J203" s="6">
        <v>77137</v>
      </c>
      <c r="K203" s="3">
        <v>15077137</v>
      </c>
    </row>
    <row r="204" spans="1:11" x14ac:dyDescent="0.25">
      <c r="A204" s="1" t="s">
        <v>2589</v>
      </c>
      <c r="B204" s="1" t="s">
        <v>1523</v>
      </c>
      <c r="C204" s="5">
        <v>5</v>
      </c>
      <c r="D204" s="15">
        <v>10190217</v>
      </c>
      <c r="E204" s="1" t="s">
        <v>2504</v>
      </c>
      <c r="F204" s="18">
        <v>1617366</v>
      </c>
      <c r="G204" s="9">
        <v>45624</v>
      </c>
      <c r="H204" s="1" t="s">
        <v>1519</v>
      </c>
      <c r="I204" s="12" t="s">
        <v>1518</v>
      </c>
      <c r="J204" s="6">
        <v>171457</v>
      </c>
      <c r="K204" s="3">
        <v>15171457</v>
      </c>
    </row>
    <row r="205" spans="1:11" x14ac:dyDescent="0.25">
      <c r="A205" s="1" t="s">
        <v>2590</v>
      </c>
      <c r="B205" s="1" t="s">
        <v>1523</v>
      </c>
      <c r="C205" s="5">
        <v>3</v>
      </c>
      <c r="D205" s="14">
        <v>20333789</v>
      </c>
      <c r="E205" s="1" t="s">
        <v>1538</v>
      </c>
      <c r="F205" s="17">
        <v>176155</v>
      </c>
      <c r="G205" s="8">
        <v>45530</v>
      </c>
      <c r="H205" s="1" t="s">
        <v>2510</v>
      </c>
      <c r="I205" s="11" t="s">
        <v>2509</v>
      </c>
      <c r="J205" s="6">
        <v>403153</v>
      </c>
      <c r="K205" s="3">
        <v>15403153</v>
      </c>
    </row>
    <row r="206" spans="1:11" x14ac:dyDescent="0.25">
      <c r="A206" s="1" t="s">
        <v>1655</v>
      </c>
      <c r="B206" s="1" t="s">
        <v>1517</v>
      </c>
      <c r="C206" s="5">
        <v>3</v>
      </c>
      <c r="D206" s="15">
        <v>35504693</v>
      </c>
      <c r="E206" s="1" t="s">
        <v>1538</v>
      </c>
      <c r="F206" s="18">
        <v>1205387</v>
      </c>
      <c r="G206" s="9">
        <v>45698</v>
      </c>
      <c r="H206" s="1" t="s">
        <v>2510</v>
      </c>
      <c r="I206" s="12" t="s">
        <v>2507</v>
      </c>
      <c r="J206" s="6">
        <v>685986</v>
      </c>
      <c r="K206" s="3">
        <v>15685986</v>
      </c>
    </row>
    <row r="207" spans="1:11" x14ac:dyDescent="0.25">
      <c r="A207" s="1" t="s">
        <v>1656</v>
      </c>
      <c r="B207" s="1" t="s">
        <v>1514</v>
      </c>
      <c r="C207" s="5">
        <v>5</v>
      </c>
      <c r="D207" s="14">
        <v>34186754</v>
      </c>
      <c r="E207" s="1" t="s">
        <v>1515</v>
      </c>
      <c r="F207" s="17">
        <v>4297435</v>
      </c>
      <c r="G207" s="8">
        <v>45807</v>
      </c>
      <c r="H207" s="1" t="s">
        <v>2515</v>
      </c>
      <c r="I207" s="11" t="s">
        <v>1518</v>
      </c>
      <c r="J207" s="6">
        <v>597786</v>
      </c>
      <c r="K207" s="3">
        <v>15597786</v>
      </c>
    </row>
    <row r="208" spans="1:11" x14ac:dyDescent="0.25">
      <c r="A208" s="1" t="s">
        <v>2591</v>
      </c>
      <c r="B208" s="1" t="s">
        <v>1536</v>
      </c>
      <c r="C208" s="5">
        <v>1</v>
      </c>
      <c r="D208" s="15">
        <v>3813170</v>
      </c>
      <c r="E208" s="1" t="s">
        <v>2504</v>
      </c>
      <c r="F208" s="18">
        <v>9137728</v>
      </c>
      <c r="G208" s="9">
        <v>45554</v>
      </c>
      <c r="H208" s="1" t="s">
        <v>1513</v>
      </c>
      <c r="I208" s="12" t="s">
        <v>2509</v>
      </c>
      <c r="J208" s="6">
        <v>579879</v>
      </c>
      <c r="K208" s="3">
        <v>15579879</v>
      </c>
    </row>
    <row r="209" spans="1:11" x14ac:dyDescent="0.25">
      <c r="A209" s="1" t="s">
        <v>1657</v>
      </c>
      <c r="B209" s="1" t="s">
        <v>1545</v>
      </c>
      <c r="C209" s="5">
        <v>3</v>
      </c>
      <c r="D209" s="14">
        <v>3407983</v>
      </c>
      <c r="E209" s="1" t="s">
        <v>2504</v>
      </c>
      <c r="F209" s="17">
        <v>1408841</v>
      </c>
      <c r="G209" s="8">
        <v>45590</v>
      </c>
      <c r="H209" s="1" t="s">
        <v>1522</v>
      </c>
      <c r="I209" s="11" t="s">
        <v>1512</v>
      </c>
      <c r="J209" s="6">
        <v>65342</v>
      </c>
      <c r="K209" s="3">
        <v>1565342</v>
      </c>
    </row>
    <row r="210" spans="1:11" x14ac:dyDescent="0.25">
      <c r="A210" s="1" t="s">
        <v>1658</v>
      </c>
      <c r="B210" s="1" t="s">
        <v>1525</v>
      </c>
      <c r="C210" s="5">
        <v>5</v>
      </c>
      <c r="D210" s="15">
        <v>26525599</v>
      </c>
      <c r="E210" s="1" t="s">
        <v>1515</v>
      </c>
      <c r="F210" s="18">
        <v>5660519</v>
      </c>
      <c r="G210" s="9">
        <v>45784</v>
      </c>
      <c r="H210" s="1" t="s">
        <v>2512</v>
      </c>
      <c r="I210" s="12" t="s">
        <v>1512</v>
      </c>
      <c r="J210" s="6">
        <v>417302</v>
      </c>
      <c r="K210" s="3">
        <v>15417302</v>
      </c>
    </row>
    <row r="211" spans="1:11" x14ac:dyDescent="0.25">
      <c r="A211" s="1" t="s">
        <v>2592</v>
      </c>
      <c r="B211" s="1" t="s">
        <v>1525</v>
      </c>
      <c r="C211" s="5">
        <v>2</v>
      </c>
      <c r="D211" s="14">
        <v>39959021</v>
      </c>
      <c r="E211" s="1" t="s">
        <v>1515</v>
      </c>
      <c r="F211" s="17">
        <v>1581513</v>
      </c>
      <c r="G211" s="8">
        <v>45817</v>
      </c>
      <c r="H211" s="1" t="s">
        <v>1513</v>
      </c>
      <c r="I211" s="11" t="s">
        <v>2509</v>
      </c>
      <c r="J211" s="6">
        <v>76755</v>
      </c>
      <c r="K211" s="3">
        <v>1576755</v>
      </c>
    </row>
    <row r="212" spans="1:11" x14ac:dyDescent="0.25">
      <c r="A212" s="1" t="s">
        <v>1659</v>
      </c>
      <c r="B212" s="1" t="s">
        <v>1532</v>
      </c>
      <c r="C212" s="5">
        <v>3</v>
      </c>
      <c r="D212" s="15">
        <v>1736958</v>
      </c>
      <c r="E212" s="1" t="s">
        <v>1515</v>
      </c>
      <c r="F212" s="18">
        <v>36162</v>
      </c>
      <c r="G212" s="9">
        <v>45557</v>
      </c>
      <c r="H212" s="1" t="s">
        <v>2519</v>
      </c>
      <c r="I212" s="12" t="s">
        <v>2507</v>
      </c>
      <c r="J212" s="6">
        <v>346668</v>
      </c>
      <c r="K212" s="3">
        <v>15346668</v>
      </c>
    </row>
    <row r="213" spans="1:11" x14ac:dyDescent="0.25">
      <c r="A213" s="1" t="s">
        <v>1660</v>
      </c>
      <c r="B213" s="1" t="s">
        <v>1523</v>
      </c>
      <c r="C213" s="5">
        <v>3</v>
      </c>
      <c r="D213" s="14">
        <v>2133563</v>
      </c>
      <c r="E213" s="1" t="s">
        <v>2504</v>
      </c>
      <c r="F213" s="17">
        <v>344402</v>
      </c>
      <c r="G213" s="8">
        <v>45519</v>
      </c>
      <c r="H213" s="1" t="s">
        <v>2515</v>
      </c>
      <c r="I213" s="11" t="s">
        <v>1518</v>
      </c>
      <c r="J213" s="6">
        <v>35783</v>
      </c>
      <c r="K213" s="3">
        <v>15035783</v>
      </c>
    </row>
    <row r="214" spans="1:11" x14ac:dyDescent="0.25">
      <c r="A214" s="1" t="s">
        <v>1661</v>
      </c>
      <c r="B214" s="1" t="s">
        <v>1532</v>
      </c>
      <c r="C214" s="5">
        <v>4</v>
      </c>
      <c r="D214" s="15">
        <v>7789251</v>
      </c>
      <c r="E214" s="1" t="s">
        <v>2504</v>
      </c>
      <c r="F214" s="18">
        <v>1911896</v>
      </c>
      <c r="G214" s="9">
        <v>45605</v>
      </c>
      <c r="H214" s="1" t="s">
        <v>1513</v>
      </c>
      <c r="I214" s="12" t="s">
        <v>1521</v>
      </c>
      <c r="J214" s="6">
        <v>117547</v>
      </c>
      <c r="K214" s="3">
        <v>15117547</v>
      </c>
    </row>
    <row r="215" spans="1:11" x14ac:dyDescent="0.25">
      <c r="A215" s="1" t="s">
        <v>1662</v>
      </c>
      <c r="B215" s="1" t="s">
        <v>1517</v>
      </c>
      <c r="C215" s="5">
        <v>1</v>
      </c>
      <c r="D215" s="14">
        <v>23527392</v>
      </c>
      <c r="E215" s="1" t="s">
        <v>1538</v>
      </c>
      <c r="F215" s="17">
        <v>5662097</v>
      </c>
      <c r="G215" s="8">
        <v>45748</v>
      </c>
      <c r="H215" s="1" t="s">
        <v>1516</v>
      </c>
      <c r="I215" s="11" t="s">
        <v>2511</v>
      </c>
      <c r="J215" s="6">
        <v>357306</v>
      </c>
      <c r="K215" s="3">
        <v>15357306</v>
      </c>
    </row>
    <row r="216" spans="1:11" x14ac:dyDescent="0.25">
      <c r="A216" s="1" t="s">
        <v>1663</v>
      </c>
      <c r="B216" s="1" t="s">
        <v>1525</v>
      </c>
      <c r="C216" s="5">
        <v>5</v>
      </c>
      <c r="D216" s="15">
        <v>25431181</v>
      </c>
      <c r="E216" s="1" t="s">
        <v>1515</v>
      </c>
      <c r="F216" s="18">
        <v>729971</v>
      </c>
      <c r="G216" s="9">
        <v>45851</v>
      </c>
      <c r="H216" s="1" t="s">
        <v>1513</v>
      </c>
      <c r="I216" s="12" t="s">
        <v>2507</v>
      </c>
      <c r="J216" s="6">
        <v>494024</v>
      </c>
      <c r="K216" s="3">
        <v>15494024</v>
      </c>
    </row>
    <row r="217" spans="1:11" x14ac:dyDescent="0.25">
      <c r="A217" s="1" t="s">
        <v>2593</v>
      </c>
      <c r="B217" s="1" t="s">
        <v>1523</v>
      </c>
      <c r="C217" s="5">
        <v>5</v>
      </c>
      <c r="D217" s="14">
        <v>7412176</v>
      </c>
      <c r="E217" s="1" t="s">
        <v>1538</v>
      </c>
      <c r="F217" s="17">
        <v>1665125</v>
      </c>
      <c r="G217" s="8">
        <v>45645</v>
      </c>
      <c r="H217" s="1" t="s">
        <v>2512</v>
      </c>
      <c r="I217" s="11" t="s">
        <v>1521</v>
      </c>
      <c r="J217" s="6">
        <v>114941</v>
      </c>
      <c r="K217" s="3">
        <v>15114941</v>
      </c>
    </row>
    <row r="218" spans="1:11" x14ac:dyDescent="0.25">
      <c r="A218" s="1" t="s">
        <v>2594</v>
      </c>
      <c r="B218" s="1" t="s">
        <v>1536</v>
      </c>
      <c r="C218" s="5">
        <v>4</v>
      </c>
      <c r="D218" s="15">
        <v>41817038</v>
      </c>
      <c r="E218" s="1" t="s">
        <v>2504</v>
      </c>
      <c r="F218" s="18">
        <v>8590425</v>
      </c>
      <c r="G218" s="9">
        <v>45540</v>
      </c>
      <c r="H218" s="1" t="s">
        <v>2515</v>
      </c>
      <c r="I218" s="12" t="s">
        <v>2509</v>
      </c>
      <c r="J218" s="6">
        <v>664532</v>
      </c>
      <c r="K218" s="3">
        <v>15664532</v>
      </c>
    </row>
    <row r="219" spans="1:11" x14ac:dyDescent="0.25">
      <c r="A219" s="1" t="s">
        <v>1664</v>
      </c>
      <c r="B219" s="1" t="s">
        <v>1527</v>
      </c>
      <c r="C219" s="5">
        <v>5</v>
      </c>
      <c r="D219" s="14">
        <v>45135166</v>
      </c>
      <c r="E219" s="1" t="s">
        <v>1538</v>
      </c>
      <c r="F219" s="17">
        <v>10778205</v>
      </c>
      <c r="G219" s="8">
        <v>45537</v>
      </c>
      <c r="H219" s="1" t="s">
        <v>1519</v>
      </c>
      <c r="I219" s="11" t="s">
        <v>2511</v>
      </c>
      <c r="J219" s="6">
        <v>687139</v>
      </c>
      <c r="K219" s="3">
        <v>15687139</v>
      </c>
    </row>
    <row r="220" spans="1:11" x14ac:dyDescent="0.25">
      <c r="A220" s="1" t="s">
        <v>1665</v>
      </c>
      <c r="B220" s="1" t="s">
        <v>1540</v>
      </c>
      <c r="C220" s="5">
        <v>2</v>
      </c>
      <c r="D220" s="15">
        <v>31063565</v>
      </c>
      <c r="E220" s="1" t="s">
        <v>1538</v>
      </c>
      <c r="F220" s="18">
        <v>2386759</v>
      </c>
      <c r="G220" s="9">
        <v>45540</v>
      </c>
      <c r="H220" s="1" t="s">
        <v>1513</v>
      </c>
      <c r="I220" s="12" t="s">
        <v>1518</v>
      </c>
      <c r="J220" s="6">
        <v>573536</v>
      </c>
      <c r="K220" s="3">
        <v>15573536</v>
      </c>
    </row>
    <row r="221" spans="1:11" x14ac:dyDescent="0.25">
      <c r="A221" s="1" t="s">
        <v>1666</v>
      </c>
      <c r="B221" s="1" t="s">
        <v>1540</v>
      </c>
      <c r="C221" s="5">
        <v>2</v>
      </c>
      <c r="D221" s="14">
        <v>2527365</v>
      </c>
      <c r="E221" s="1" t="s">
        <v>2504</v>
      </c>
      <c r="F221" s="17">
        <v>535647</v>
      </c>
      <c r="G221" s="8">
        <v>45711</v>
      </c>
      <c r="H221" s="1" t="s">
        <v>1519</v>
      </c>
      <c r="I221" s="11" t="s">
        <v>1518</v>
      </c>
      <c r="J221" s="6">
        <v>39834</v>
      </c>
      <c r="K221" s="3">
        <v>15039834</v>
      </c>
    </row>
    <row r="222" spans="1:11" x14ac:dyDescent="0.25">
      <c r="A222" s="1" t="s">
        <v>1667</v>
      </c>
      <c r="B222" s="1" t="s">
        <v>1527</v>
      </c>
      <c r="C222" s="5">
        <v>1</v>
      </c>
      <c r="D222" s="15">
        <v>22477045</v>
      </c>
      <c r="E222" s="1" t="s">
        <v>2504</v>
      </c>
      <c r="F222" s="18">
        <v>5444454</v>
      </c>
      <c r="G222" s="9">
        <v>45545</v>
      </c>
      <c r="H222" s="1" t="s">
        <v>1513</v>
      </c>
      <c r="I222" s="12" t="s">
        <v>1521</v>
      </c>
      <c r="J222" s="6">
        <v>340652</v>
      </c>
      <c r="K222" s="3">
        <v>15340652</v>
      </c>
    </row>
    <row r="223" spans="1:11" x14ac:dyDescent="0.25">
      <c r="A223" s="1" t="s">
        <v>1668</v>
      </c>
      <c r="B223" s="1" t="s">
        <v>1517</v>
      </c>
      <c r="C223" s="5">
        <v>3</v>
      </c>
      <c r="D223" s="14">
        <v>33382168</v>
      </c>
      <c r="E223" s="1" t="s">
        <v>1538</v>
      </c>
      <c r="F223" s="17">
        <v>7690183</v>
      </c>
      <c r="G223" s="8">
        <v>45600</v>
      </c>
      <c r="H223" s="1" t="s">
        <v>1522</v>
      </c>
      <c r="I223" s="11" t="s">
        <v>2507</v>
      </c>
      <c r="J223" s="6">
        <v>51384</v>
      </c>
      <c r="K223" s="3">
        <v>1551384</v>
      </c>
    </row>
    <row r="224" spans="1:11" x14ac:dyDescent="0.25">
      <c r="A224" s="1" t="s">
        <v>2595</v>
      </c>
      <c r="B224" s="1" t="s">
        <v>1527</v>
      </c>
      <c r="C224" s="5">
        <v>4</v>
      </c>
      <c r="D224" s="15">
        <v>21359197</v>
      </c>
      <c r="E224" s="1" t="s">
        <v>2504</v>
      </c>
      <c r="F224" s="18">
        <v>2515518</v>
      </c>
      <c r="G224" s="9">
        <v>45683</v>
      </c>
      <c r="H224" s="1" t="s">
        <v>2515</v>
      </c>
      <c r="I224" s="12" t="s">
        <v>2509</v>
      </c>
      <c r="J224" s="6">
        <v>376874</v>
      </c>
      <c r="K224" s="3">
        <v>15376874</v>
      </c>
    </row>
    <row r="225" spans="1:11" x14ac:dyDescent="0.25">
      <c r="A225" s="1" t="s">
        <v>2596</v>
      </c>
      <c r="B225" s="1" t="s">
        <v>1525</v>
      </c>
      <c r="C225" s="5">
        <v>1</v>
      </c>
      <c r="D225" s="14">
        <v>19449408</v>
      </c>
      <c r="E225" s="1" t="s">
        <v>1538</v>
      </c>
      <c r="F225" s="17">
        <v>257259</v>
      </c>
      <c r="G225" s="8">
        <v>45595</v>
      </c>
      <c r="H225" s="1" t="s">
        <v>1543</v>
      </c>
      <c r="I225" s="11" t="s">
        <v>2509</v>
      </c>
      <c r="J225" s="6">
        <v>383843</v>
      </c>
      <c r="K225" s="3">
        <v>15383843</v>
      </c>
    </row>
    <row r="226" spans="1:11" x14ac:dyDescent="0.25">
      <c r="A226" s="1" t="s">
        <v>2597</v>
      </c>
      <c r="B226" s="1" t="s">
        <v>1523</v>
      </c>
      <c r="C226" s="5">
        <v>4</v>
      </c>
      <c r="D226" s="15">
        <v>15422761</v>
      </c>
      <c r="E226" s="1" t="s">
        <v>1538</v>
      </c>
      <c r="F226" s="18">
        <v>3419802</v>
      </c>
      <c r="G226" s="9">
        <v>45856</v>
      </c>
      <c r="H226" s="1" t="s">
        <v>1522</v>
      </c>
      <c r="I226" s="12" t="s">
        <v>2507</v>
      </c>
      <c r="J226" s="6">
        <v>240059</v>
      </c>
      <c r="K226" s="3">
        <v>15240059</v>
      </c>
    </row>
    <row r="227" spans="1:11" x14ac:dyDescent="0.25">
      <c r="A227" s="1" t="s">
        <v>1669</v>
      </c>
      <c r="B227" s="1" t="s">
        <v>1514</v>
      </c>
      <c r="C227" s="5">
        <v>3</v>
      </c>
      <c r="D227" s="14">
        <v>15705431</v>
      </c>
      <c r="E227" s="1" t="s">
        <v>1538</v>
      </c>
      <c r="F227" s="17">
        <v>133499</v>
      </c>
      <c r="G227" s="8">
        <v>45852</v>
      </c>
      <c r="H227" s="1" t="s">
        <v>2515</v>
      </c>
      <c r="I227" s="11" t="s">
        <v>1512</v>
      </c>
      <c r="J227" s="6">
        <v>287409</v>
      </c>
      <c r="K227" s="3">
        <v>15287409</v>
      </c>
    </row>
    <row r="228" spans="1:11" x14ac:dyDescent="0.25">
      <c r="A228" s="1" t="s">
        <v>1670</v>
      </c>
      <c r="B228" s="1" t="s">
        <v>1545</v>
      </c>
      <c r="C228" s="5">
        <v>4</v>
      </c>
      <c r="D228" s="15">
        <v>26201673</v>
      </c>
      <c r="E228" s="1" t="s">
        <v>2504</v>
      </c>
      <c r="F228" s="18">
        <v>3977646</v>
      </c>
      <c r="G228" s="9">
        <v>45644</v>
      </c>
      <c r="H228" s="1" t="s">
        <v>2515</v>
      </c>
      <c r="I228" s="12" t="s">
        <v>1518</v>
      </c>
      <c r="J228" s="6">
        <v>444481</v>
      </c>
      <c r="K228" s="3">
        <v>15444481</v>
      </c>
    </row>
    <row r="229" spans="1:11" x14ac:dyDescent="0.25">
      <c r="A229" s="1" t="s">
        <v>1671</v>
      </c>
      <c r="B229" s="1" t="s">
        <v>1545</v>
      </c>
      <c r="C229" s="5">
        <v>4</v>
      </c>
      <c r="D229" s="14">
        <v>48375865</v>
      </c>
      <c r="E229" s="1" t="s">
        <v>1538</v>
      </c>
      <c r="F229" s="17">
        <v>9554773</v>
      </c>
      <c r="G229" s="8">
        <v>45751</v>
      </c>
      <c r="H229" s="1" t="s">
        <v>1522</v>
      </c>
      <c r="I229" s="11" t="s">
        <v>2511</v>
      </c>
      <c r="J229" s="6">
        <v>776422</v>
      </c>
      <c r="K229" s="3">
        <v>15776422</v>
      </c>
    </row>
    <row r="230" spans="1:11" x14ac:dyDescent="0.25">
      <c r="A230" s="1" t="s">
        <v>1672</v>
      </c>
      <c r="B230" s="1" t="s">
        <v>1514</v>
      </c>
      <c r="C230" s="5">
        <v>1</v>
      </c>
      <c r="D230" s="15">
        <v>21244463</v>
      </c>
      <c r="E230" s="1" t="s">
        <v>2504</v>
      </c>
      <c r="F230" s="18">
        <v>996074</v>
      </c>
      <c r="G230" s="9">
        <v>45777</v>
      </c>
      <c r="H230" s="1" t="s">
        <v>1516</v>
      </c>
      <c r="I230" s="12" t="s">
        <v>1512</v>
      </c>
      <c r="J230" s="6">
        <v>404968</v>
      </c>
      <c r="K230" s="3">
        <v>15404968</v>
      </c>
    </row>
    <row r="231" spans="1:11" x14ac:dyDescent="0.25">
      <c r="A231" s="1" t="s">
        <v>2598</v>
      </c>
      <c r="B231" s="1" t="s">
        <v>1527</v>
      </c>
      <c r="C231" s="5">
        <v>3</v>
      </c>
      <c r="D231" s="14">
        <v>21075946</v>
      </c>
      <c r="E231" s="1" t="s">
        <v>1515</v>
      </c>
      <c r="F231" s="17">
        <v>467222</v>
      </c>
      <c r="G231" s="8">
        <v>45582</v>
      </c>
      <c r="H231" s="1" t="s">
        <v>2508</v>
      </c>
      <c r="I231" s="11" t="s">
        <v>2507</v>
      </c>
      <c r="J231" s="6">
        <v>412174</v>
      </c>
      <c r="K231" s="3">
        <v>15412174</v>
      </c>
    </row>
    <row r="232" spans="1:11" x14ac:dyDescent="0.25">
      <c r="A232" s="1" t="s">
        <v>2599</v>
      </c>
      <c r="B232" s="1" t="s">
        <v>1534</v>
      </c>
      <c r="C232" s="5">
        <v>2</v>
      </c>
      <c r="D232" s="15">
        <v>34088597</v>
      </c>
      <c r="E232" s="1" t="s">
        <v>1538</v>
      </c>
      <c r="F232" s="18">
        <v>5910065</v>
      </c>
      <c r="G232" s="9">
        <v>45521</v>
      </c>
      <c r="H232" s="1" t="s">
        <v>2508</v>
      </c>
      <c r="I232" s="12" t="s">
        <v>1518</v>
      </c>
      <c r="J232" s="6">
        <v>563571</v>
      </c>
      <c r="K232" s="3">
        <v>15563571</v>
      </c>
    </row>
    <row r="233" spans="1:11" x14ac:dyDescent="0.25">
      <c r="A233" s="1" t="s">
        <v>1673</v>
      </c>
      <c r="B233" s="1" t="s">
        <v>1532</v>
      </c>
      <c r="C233" s="5">
        <v>4</v>
      </c>
      <c r="D233" s="14">
        <v>43967554</v>
      </c>
      <c r="E233" s="1" t="s">
        <v>1538</v>
      </c>
      <c r="F233" s="17">
        <v>685882</v>
      </c>
      <c r="G233" s="8">
        <v>45817</v>
      </c>
      <c r="H233" s="1" t="s">
        <v>2515</v>
      </c>
      <c r="I233" s="11" t="s">
        <v>1512</v>
      </c>
      <c r="J233" s="6">
        <v>742175</v>
      </c>
      <c r="K233" s="3">
        <v>15742175</v>
      </c>
    </row>
    <row r="234" spans="1:11" x14ac:dyDescent="0.25">
      <c r="A234" s="1" t="s">
        <v>1674</v>
      </c>
      <c r="B234" s="1" t="s">
        <v>1545</v>
      </c>
      <c r="C234" s="5">
        <v>2</v>
      </c>
      <c r="D234" s="15">
        <v>40733967</v>
      </c>
      <c r="E234" s="1" t="s">
        <v>1538</v>
      </c>
      <c r="F234" s="18">
        <v>7936691</v>
      </c>
      <c r="G234" s="9">
        <v>45501</v>
      </c>
      <c r="H234" s="1" t="s">
        <v>1522</v>
      </c>
      <c r="I234" s="12" t="s">
        <v>2511</v>
      </c>
      <c r="J234" s="6">
        <v>655946</v>
      </c>
      <c r="K234" s="3">
        <v>15655946</v>
      </c>
    </row>
    <row r="235" spans="1:11" x14ac:dyDescent="0.25">
      <c r="A235" s="1" t="s">
        <v>1675</v>
      </c>
      <c r="B235" s="1" t="s">
        <v>1523</v>
      </c>
      <c r="C235" s="5">
        <v>3</v>
      </c>
      <c r="D235" s="14">
        <v>42481129</v>
      </c>
      <c r="E235" s="1" t="s">
        <v>1515</v>
      </c>
      <c r="F235" s="17">
        <v>5464092</v>
      </c>
      <c r="G235" s="8">
        <v>45674</v>
      </c>
      <c r="H235" s="1" t="s">
        <v>2519</v>
      </c>
      <c r="I235" s="11" t="s">
        <v>1518</v>
      </c>
      <c r="J235" s="6">
        <v>740341</v>
      </c>
      <c r="K235" s="3">
        <v>15740341</v>
      </c>
    </row>
    <row r="236" spans="1:11" x14ac:dyDescent="0.25">
      <c r="A236" s="1" t="s">
        <v>1676</v>
      </c>
      <c r="B236" s="1" t="s">
        <v>1525</v>
      </c>
      <c r="C236" s="5">
        <v>3</v>
      </c>
      <c r="D236" s="15">
        <v>12268886</v>
      </c>
      <c r="E236" s="1" t="s">
        <v>1538</v>
      </c>
      <c r="F236" s="18">
        <v>1816602</v>
      </c>
      <c r="G236" s="9">
        <v>45803</v>
      </c>
      <c r="H236" s="1" t="s">
        <v>2515</v>
      </c>
      <c r="I236" s="12" t="s">
        <v>2511</v>
      </c>
      <c r="J236" s="6">
        <v>209046</v>
      </c>
      <c r="K236" s="3">
        <v>15209046</v>
      </c>
    </row>
    <row r="237" spans="1:11" x14ac:dyDescent="0.25">
      <c r="A237" s="1" t="s">
        <v>2600</v>
      </c>
      <c r="B237" s="1" t="s">
        <v>1527</v>
      </c>
      <c r="C237" s="5">
        <v>5</v>
      </c>
      <c r="D237" s="14">
        <v>41254906</v>
      </c>
      <c r="E237" s="1" t="s">
        <v>2504</v>
      </c>
      <c r="F237" s="17">
        <v>1738367</v>
      </c>
      <c r="G237" s="8">
        <v>45798</v>
      </c>
      <c r="H237" s="1" t="s">
        <v>1516</v>
      </c>
      <c r="I237" s="11" t="s">
        <v>2511</v>
      </c>
      <c r="J237" s="6">
        <v>790331</v>
      </c>
      <c r="K237" s="3">
        <v>15790331</v>
      </c>
    </row>
    <row r="238" spans="1:11" x14ac:dyDescent="0.25">
      <c r="A238" s="1" t="s">
        <v>1677</v>
      </c>
      <c r="B238" s="1" t="s">
        <v>1517</v>
      </c>
      <c r="C238" s="5">
        <v>1</v>
      </c>
      <c r="D238" s="15">
        <v>6080084</v>
      </c>
      <c r="E238" s="1" t="s">
        <v>1515</v>
      </c>
      <c r="F238" s="18">
        <v>972585</v>
      </c>
      <c r="G238" s="9">
        <v>45498</v>
      </c>
      <c r="H238" s="1" t="s">
        <v>2519</v>
      </c>
      <c r="I238" s="12" t="s">
        <v>2511</v>
      </c>
      <c r="J238" s="6">
        <v>10215</v>
      </c>
      <c r="K238" s="3">
        <v>1510215</v>
      </c>
    </row>
    <row r="239" spans="1:11" x14ac:dyDescent="0.25">
      <c r="A239" s="1" t="s">
        <v>2601</v>
      </c>
      <c r="B239" s="1" t="s">
        <v>1517</v>
      </c>
      <c r="C239" s="5">
        <v>5</v>
      </c>
      <c r="D239" s="14">
        <v>14415342</v>
      </c>
      <c r="E239" s="1" t="s">
        <v>1515</v>
      </c>
      <c r="F239" s="17">
        <v>3476392</v>
      </c>
      <c r="G239" s="8">
        <v>45750</v>
      </c>
      <c r="H239" s="1" t="s">
        <v>2515</v>
      </c>
      <c r="I239" s="11" t="s">
        <v>1521</v>
      </c>
      <c r="J239" s="6">
        <v>218779</v>
      </c>
      <c r="K239" s="3">
        <v>15218779</v>
      </c>
    </row>
    <row r="240" spans="1:11" x14ac:dyDescent="0.25">
      <c r="A240" s="1" t="s">
        <v>1678</v>
      </c>
      <c r="B240" s="1" t="s">
        <v>1545</v>
      </c>
      <c r="C240" s="5">
        <v>2</v>
      </c>
      <c r="D240" s="15">
        <v>46308511</v>
      </c>
      <c r="E240" s="1" t="s">
        <v>2504</v>
      </c>
      <c r="F240" s="18">
        <v>8580247</v>
      </c>
      <c r="G240" s="9">
        <v>45837</v>
      </c>
      <c r="H240" s="1" t="s">
        <v>1522</v>
      </c>
      <c r="I240" s="12" t="s">
        <v>2511</v>
      </c>
      <c r="J240" s="6">
        <v>754565</v>
      </c>
      <c r="K240" s="3">
        <v>15754565</v>
      </c>
    </row>
    <row r="241" spans="1:11" x14ac:dyDescent="0.25">
      <c r="A241" s="1" t="s">
        <v>2602</v>
      </c>
      <c r="B241" s="1" t="s">
        <v>1514</v>
      </c>
      <c r="C241" s="5">
        <v>5</v>
      </c>
      <c r="D241" s="14">
        <v>2024694</v>
      </c>
      <c r="E241" s="1" t="s">
        <v>1538</v>
      </c>
      <c r="F241" s="17">
        <v>443984</v>
      </c>
      <c r="G241" s="8">
        <v>45825</v>
      </c>
      <c r="H241" s="1" t="s">
        <v>2519</v>
      </c>
      <c r="I241" s="11" t="s">
        <v>1521</v>
      </c>
      <c r="J241" s="6">
        <v>31614</v>
      </c>
      <c r="K241" s="3">
        <v>15031614</v>
      </c>
    </row>
    <row r="242" spans="1:11" x14ac:dyDescent="0.25">
      <c r="A242" s="1" t="s">
        <v>1679</v>
      </c>
      <c r="B242" s="1" t="s">
        <v>1527</v>
      </c>
      <c r="C242" s="5">
        <v>5</v>
      </c>
      <c r="D242" s="15">
        <v>22187546</v>
      </c>
      <c r="E242" s="1" t="s">
        <v>1538</v>
      </c>
      <c r="F242" s="18">
        <v>1131226</v>
      </c>
      <c r="G242" s="9">
        <v>45557</v>
      </c>
      <c r="H242" s="1" t="s">
        <v>2515</v>
      </c>
      <c r="I242" s="12" t="s">
        <v>1518</v>
      </c>
      <c r="J242" s="6">
        <v>421126</v>
      </c>
      <c r="K242" s="3">
        <v>15421126</v>
      </c>
    </row>
    <row r="243" spans="1:11" x14ac:dyDescent="0.25">
      <c r="A243" s="1" t="s">
        <v>1680</v>
      </c>
      <c r="B243" s="1" t="s">
        <v>1517</v>
      </c>
      <c r="C243" s="5">
        <v>5</v>
      </c>
      <c r="D243" s="14">
        <v>23932233</v>
      </c>
      <c r="E243" s="1" t="s">
        <v>1515</v>
      </c>
      <c r="F243" s="17">
        <v>3065764</v>
      </c>
      <c r="G243" s="8">
        <v>45798</v>
      </c>
      <c r="H243" s="1" t="s">
        <v>2508</v>
      </c>
      <c r="I243" s="11" t="s">
        <v>2509</v>
      </c>
      <c r="J243" s="6">
        <v>417329</v>
      </c>
      <c r="K243" s="3">
        <v>15417329</v>
      </c>
    </row>
    <row r="244" spans="1:11" x14ac:dyDescent="0.25">
      <c r="A244" s="1" t="s">
        <v>2603</v>
      </c>
      <c r="B244" s="1" t="s">
        <v>1545</v>
      </c>
      <c r="C244" s="5">
        <v>2</v>
      </c>
      <c r="D244" s="15">
        <v>19418805</v>
      </c>
      <c r="E244" s="1" t="s">
        <v>1538</v>
      </c>
      <c r="F244" s="18">
        <v>4194367</v>
      </c>
      <c r="G244" s="9">
        <v>45674</v>
      </c>
      <c r="H244" s="1" t="s">
        <v>2512</v>
      </c>
      <c r="I244" s="12" t="s">
        <v>1521</v>
      </c>
      <c r="J244" s="6">
        <v>304489</v>
      </c>
      <c r="K244" s="3">
        <v>15304489</v>
      </c>
    </row>
    <row r="245" spans="1:11" x14ac:dyDescent="0.25">
      <c r="A245" s="1" t="s">
        <v>1681</v>
      </c>
      <c r="B245" s="1" t="s">
        <v>1534</v>
      </c>
      <c r="C245" s="5">
        <v>2</v>
      </c>
      <c r="D245" s="14">
        <v>33551813</v>
      </c>
      <c r="E245" s="1" t="s">
        <v>2504</v>
      </c>
      <c r="F245" s="17">
        <v>1622653</v>
      </c>
      <c r="G245" s="8">
        <v>45820</v>
      </c>
      <c r="H245" s="1" t="s">
        <v>1543</v>
      </c>
      <c r="I245" s="11" t="s">
        <v>1512</v>
      </c>
      <c r="J245" s="6">
        <v>638583</v>
      </c>
      <c r="K245" s="3">
        <v>15638583</v>
      </c>
    </row>
    <row r="246" spans="1:11" x14ac:dyDescent="0.25">
      <c r="A246" s="1" t="s">
        <v>2604</v>
      </c>
      <c r="B246" s="1" t="s">
        <v>1517</v>
      </c>
      <c r="C246" s="5">
        <v>2</v>
      </c>
      <c r="D246" s="15">
        <v>38632182</v>
      </c>
      <c r="E246" s="1" t="s">
        <v>1538</v>
      </c>
      <c r="F246" s="18">
        <v>8700718</v>
      </c>
      <c r="G246" s="9">
        <v>45540</v>
      </c>
      <c r="H246" s="1" t="s">
        <v>2519</v>
      </c>
      <c r="I246" s="12" t="s">
        <v>2507</v>
      </c>
      <c r="J246" s="6">
        <v>598629</v>
      </c>
      <c r="K246" s="3">
        <v>15598629</v>
      </c>
    </row>
    <row r="247" spans="1:11" x14ac:dyDescent="0.25">
      <c r="A247" s="1" t="s">
        <v>1682</v>
      </c>
      <c r="B247" s="1" t="s">
        <v>1514</v>
      </c>
      <c r="C247" s="5">
        <v>2</v>
      </c>
      <c r="D247" s="14">
        <v>24482784</v>
      </c>
      <c r="E247" s="1" t="s">
        <v>1538</v>
      </c>
      <c r="F247" s="17">
        <v>1778241</v>
      </c>
      <c r="G247" s="8">
        <v>45808</v>
      </c>
      <c r="H247" s="1" t="s">
        <v>2519</v>
      </c>
      <c r="I247" s="11" t="s">
        <v>2507</v>
      </c>
      <c r="J247" s="6">
        <v>454091</v>
      </c>
      <c r="K247" s="3">
        <v>15454091</v>
      </c>
    </row>
    <row r="248" spans="1:11" x14ac:dyDescent="0.25">
      <c r="A248" s="1" t="s">
        <v>2605</v>
      </c>
      <c r="B248" s="1" t="s">
        <v>1534</v>
      </c>
      <c r="C248" s="5">
        <v>4</v>
      </c>
      <c r="D248" s="15">
        <v>2793377</v>
      </c>
      <c r="E248" s="1" t="s">
        <v>1515</v>
      </c>
      <c r="F248" s="18">
        <v>2497802</v>
      </c>
      <c r="G248" s="9">
        <v>45730</v>
      </c>
      <c r="H248" s="1" t="s">
        <v>2510</v>
      </c>
      <c r="I248" s="12" t="s">
        <v>2509</v>
      </c>
      <c r="J248" s="6">
        <v>508719</v>
      </c>
      <c r="K248" s="3">
        <v>15508719</v>
      </c>
    </row>
    <row r="249" spans="1:11" x14ac:dyDescent="0.25">
      <c r="A249" s="1" t="s">
        <v>1683</v>
      </c>
      <c r="B249" s="1" t="s">
        <v>1523</v>
      </c>
      <c r="C249" s="5">
        <v>4</v>
      </c>
      <c r="D249" s="14">
        <v>585018</v>
      </c>
      <c r="E249" s="1" t="s">
        <v>1538</v>
      </c>
      <c r="F249" s="17">
        <v>678298</v>
      </c>
      <c r="G249" s="8">
        <v>45664</v>
      </c>
      <c r="H249" s="1" t="s">
        <v>2508</v>
      </c>
      <c r="I249" s="11" t="s">
        <v>1518</v>
      </c>
      <c r="J249" s="6">
        <v>103438</v>
      </c>
      <c r="K249" s="3">
        <v>15103438</v>
      </c>
    </row>
    <row r="250" spans="1:11" x14ac:dyDescent="0.25">
      <c r="A250" s="1" t="s">
        <v>1684</v>
      </c>
      <c r="B250" s="1" t="s">
        <v>1514</v>
      </c>
      <c r="C250" s="5">
        <v>2</v>
      </c>
      <c r="D250" s="15">
        <v>7005647</v>
      </c>
      <c r="E250" s="1" t="s">
        <v>2504</v>
      </c>
      <c r="F250" s="18">
        <v>66903</v>
      </c>
      <c r="G250" s="9">
        <v>45727</v>
      </c>
      <c r="H250" s="1" t="s">
        <v>1522</v>
      </c>
      <c r="I250" s="12" t="s">
        <v>2509</v>
      </c>
      <c r="J250" s="6">
        <v>138775</v>
      </c>
      <c r="K250" s="3">
        <v>15138775</v>
      </c>
    </row>
    <row r="251" spans="1:11" x14ac:dyDescent="0.25">
      <c r="A251" s="1" t="s">
        <v>2606</v>
      </c>
      <c r="B251" s="1" t="s">
        <v>1514</v>
      </c>
      <c r="C251" s="5">
        <v>5</v>
      </c>
      <c r="D251" s="14">
        <v>30829991</v>
      </c>
      <c r="E251" s="1" t="s">
        <v>2504</v>
      </c>
      <c r="F251" s="17">
        <v>4648537</v>
      </c>
      <c r="G251" s="8">
        <v>45578</v>
      </c>
      <c r="H251" s="1" t="s">
        <v>1516</v>
      </c>
      <c r="I251" s="11" t="s">
        <v>1521</v>
      </c>
      <c r="J251" s="6">
        <v>523629</v>
      </c>
      <c r="K251" s="3">
        <v>15523629</v>
      </c>
    </row>
    <row r="252" spans="1:11" x14ac:dyDescent="0.25">
      <c r="A252" s="1" t="s">
        <v>2607</v>
      </c>
      <c r="B252" s="1" t="s">
        <v>1517</v>
      </c>
      <c r="C252" s="5">
        <v>1</v>
      </c>
      <c r="D252" s="15">
        <v>1613003</v>
      </c>
      <c r="E252" s="1" t="s">
        <v>2504</v>
      </c>
      <c r="F252" s="18">
        <v>1171244</v>
      </c>
      <c r="G252" s="9">
        <v>45703</v>
      </c>
      <c r="H252" s="1" t="s">
        <v>1513</v>
      </c>
      <c r="I252" s="12" t="s">
        <v>1512</v>
      </c>
      <c r="J252" s="6">
        <v>299176</v>
      </c>
      <c r="K252" s="3">
        <v>15299176</v>
      </c>
    </row>
    <row r="253" spans="1:11" x14ac:dyDescent="0.25">
      <c r="A253" s="1" t="s">
        <v>2608</v>
      </c>
      <c r="B253" s="1" t="s">
        <v>1527</v>
      </c>
      <c r="C253" s="5">
        <v>5</v>
      </c>
      <c r="D253" s="14">
        <v>14645084</v>
      </c>
      <c r="E253" s="1" t="s">
        <v>1515</v>
      </c>
      <c r="F253" s="17">
        <v>1467065</v>
      </c>
      <c r="G253" s="8">
        <v>45545</v>
      </c>
      <c r="H253" s="1" t="s">
        <v>2519</v>
      </c>
      <c r="I253" s="11" t="s">
        <v>2507</v>
      </c>
      <c r="J253" s="6">
        <v>26356</v>
      </c>
      <c r="K253" s="3">
        <v>1526356</v>
      </c>
    </row>
    <row r="254" spans="1:11" x14ac:dyDescent="0.25">
      <c r="A254" s="1" t="s">
        <v>1685</v>
      </c>
      <c r="B254" s="1" t="s">
        <v>1517</v>
      </c>
      <c r="C254" s="5">
        <v>5</v>
      </c>
      <c r="D254" s="15">
        <v>33087535</v>
      </c>
      <c r="E254" s="1" t="s">
        <v>2504</v>
      </c>
      <c r="F254" s="18">
        <v>4931545</v>
      </c>
      <c r="G254" s="9">
        <v>45643</v>
      </c>
      <c r="H254" s="1" t="s">
        <v>1513</v>
      </c>
      <c r="I254" s="12" t="s">
        <v>2509</v>
      </c>
      <c r="J254" s="6">
        <v>56312</v>
      </c>
      <c r="K254" s="3">
        <v>1556312</v>
      </c>
    </row>
    <row r="255" spans="1:11" x14ac:dyDescent="0.25">
      <c r="A255" s="1" t="s">
        <v>1686</v>
      </c>
      <c r="B255" s="1" t="s">
        <v>1517</v>
      </c>
      <c r="C255" s="5">
        <v>3</v>
      </c>
      <c r="D255" s="14">
        <v>27481701</v>
      </c>
      <c r="E255" s="1" t="s">
        <v>1515</v>
      </c>
      <c r="F255" s="17">
        <v>489714</v>
      </c>
      <c r="G255" s="8">
        <v>45573</v>
      </c>
      <c r="H255" s="1" t="s">
        <v>1543</v>
      </c>
      <c r="I255" s="11" t="s">
        <v>2511</v>
      </c>
      <c r="J255" s="6">
        <v>53984</v>
      </c>
      <c r="K255" s="3">
        <v>1553984</v>
      </c>
    </row>
    <row r="256" spans="1:11" x14ac:dyDescent="0.25">
      <c r="A256" s="1" t="s">
        <v>1687</v>
      </c>
      <c r="B256" s="1" t="s">
        <v>1532</v>
      </c>
      <c r="C256" s="5">
        <v>1</v>
      </c>
      <c r="D256" s="15">
        <v>14544449</v>
      </c>
      <c r="E256" s="1" t="s">
        <v>1538</v>
      </c>
      <c r="F256" s="18">
        <v>187228</v>
      </c>
      <c r="G256" s="9">
        <v>45624</v>
      </c>
      <c r="H256" s="1" t="s">
        <v>1516</v>
      </c>
      <c r="I256" s="12" t="s">
        <v>2507</v>
      </c>
      <c r="J256" s="6">
        <v>253443</v>
      </c>
      <c r="K256" s="3">
        <v>15253443</v>
      </c>
    </row>
    <row r="257" spans="1:11" x14ac:dyDescent="0.25">
      <c r="A257" s="1" t="s">
        <v>1688</v>
      </c>
      <c r="B257" s="1" t="s">
        <v>1517</v>
      </c>
      <c r="C257" s="5">
        <v>3</v>
      </c>
      <c r="D257" s="14">
        <v>46156855</v>
      </c>
      <c r="E257" s="1" t="s">
        <v>1538</v>
      </c>
      <c r="F257" s="17">
        <v>7937371</v>
      </c>
      <c r="G257" s="8">
        <v>45682</v>
      </c>
      <c r="H257" s="1" t="s">
        <v>2512</v>
      </c>
      <c r="I257" s="11" t="s">
        <v>1521</v>
      </c>
      <c r="J257" s="6">
        <v>76439</v>
      </c>
      <c r="K257" s="3">
        <v>1576439</v>
      </c>
    </row>
    <row r="258" spans="1:11" x14ac:dyDescent="0.25">
      <c r="A258" s="1" t="s">
        <v>2609</v>
      </c>
      <c r="B258" s="1" t="s">
        <v>1534</v>
      </c>
      <c r="C258" s="5">
        <v>5</v>
      </c>
      <c r="D258" s="15">
        <v>9510711</v>
      </c>
      <c r="E258" s="1" t="s">
        <v>2504</v>
      </c>
      <c r="F258" s="18">
        <v>1849092</v>
      </c>
      <c r="G258" s="9">
        <v>45681</v>
      </c>
      <c r="H258" s="1" t="s">
        <v>1522</v>
      </c>
      <c r="I258" s="12" t="s">
        <v>1512</v>
      </c>
      <c r="J258" s="6">
        <v>153232</v>
      </c>
      <c r="K258" s="3">
        <v>15153232</v>
      </c>
    </row>
    <row r="259" spans="1:11" x14ac:dyDescent="0.25">
      <c r="A259" s="1" t="s">
        <v>1689</v>
      </c>
      <c r="B259" s="1" t="s">
        <v>1525</v>
      </c>
      <c r="C259" s="5">
        <v>4</v>
      </c>
      <c r="D259" s="14">
        <v>1926798</v>
      </c>
      <c r="E259" s="1" t="s">
        <v>1538</v>
      </c>
      <c r="F259" s="17">
        <v>61378</v>
      </c>
      <c r="G259" s="8">
        <v>45718</v>
      </c>
      <c r="H259" s="1" t="s">
        <v>1516</v>
      </c>
      <c r="I259" s="11" t="s">
        <v>2509</v>
      </c>
      <c r="J259" s="6">
        <v>37308</v>
      </c>
      <c r="K259" s="3">
        <v>15037308</v>
      </c>
    </row>
    <row r="260" spans="1:11" x14ac:dyDescent="0.25">
      <c r="A260" s="1" t="s">
        <v>1690</v>
      </c>
      <c r="B260" s="1" t="s">
        <v>1527</v>
      </c>
      <c r="C260" s="5">
        <v>4</v>
      </c>
      <c r="D260" s="15">
        <v>12129427</v>
      </c>
      <c r="E260" s="1" t="s">
        <v>2504</v>
      </c>
      <c r="F260" s="18">
        <v>2659678</v>
      </c>
      <c r="G260" s="9">
        <v>45606</v>
      </c>
      <c r="H260" s="1" t="s">
        <v>1519</v>
      </c>
      <c r="I260" s="12" t="s">
        <v>1512</v>
      </c>
      <c r="J260" s="6">
        <v>189395</v>
      </c>
      <c r="K260" s="3">
        <v>15189395</v>
      </c>
    </row>
    <row r="261" spans="1:11" x14ac:dyDescent="0.25">
      <c r="A261" s="1" t="s">
        <v>1691</v>
      </c>
      <c r="B261" s="1" t="s">
        <v>1532</v>
      </c>
      <c r="C261" s="5">
        <v>5</v>
      </c>
      <c r="D261" s="14">
        <v>6213416</v>
      </c>
      <c r="E261" s="1" t="s">
        <v>1538</v>
      </c>
      <c r="F261" s="17">
        <v>1061547</v>
      </c>
      <c r="G261" s="8">
        <v>45757</v>
      </c>
      <c r="H261" s="1" t="s">
        <v>2512</v>
      </c>
      <c r="I261" s="11" t="s">
        <v>1512</v>
      </c>
      <c r="J261" s="6">
        <v>103037</v>
      </c>
      <c r="K261" s="3">
        <v>15103037</v>
      </c>
    </row>
    <row r="262" spans="1:11" x14ac:dyDescent="0.25">
      <c r="A262" s="1" t="s">
        <v>1692</v>
      </c>
      <c r="B262" s="1" t="s">
        <v>1523</v>
      </c>
      <c r="C262" s="5">
        <v>5</v>
      </c>
      <c r="D262" s="15">
        <v>17739812</v>
      </c>
      <c r="E262" s="1" t="s">
        <v>2504</v>
      </c>
      <c r="F262" s="18">
        <v>4341445</v>
      </c>
      <c r="G262" s="9">
        <v>45599</v>
      </c>
      <c r="H262" s="1" t="s">
        <v>2510</v>
      </c>
      <c r="I262" s="12" t="s">
        <v>1518</v>
      </c>
      <c r="J262" s="6">
        <v>267967</v>
      </c>
      <c r="K262" s="3">
        <v>15267967</v>
      </c>
    </row>
    <row r="263" spans="1:11" x14ac:dyDescent="0.25">
      <c r="A263" s="1" t="s">
        <v>1693</v>
      </c>
      <c r="B263" s="1" t="s">
        <v>1527</v>
      </c>
      <c r="C263" s="5">
        <v>4</v>
      </c>
      <c r="D263" s="14">
        <v>8703547</v>
      </c>
      <c r="E263" s="1" t="s">
        <v>1538</v>
      </c>
      <c r="F263" s="17">
        <v>199171</v>
      </c>
      <c r="G263" s="8">
        <v>45526</v>
      </c>
      <c r="H263" s="1" t="s">
        <v>1543</v>
      </c>
      <c r="I263" s="11" t="s">
        <v>2507</v>
      </c>
      <c r="J263" s="6">
        <v>170088</v>
      </c>
      <c r="K263" s="3">
        <v>15170088</v>
      </c>
    </row>
    <row r="264" spans="1:11" x14ac:dyDescent="0.25">
      <c r="A264" s="1" t="s">
        <v>1694</v>
      </c>
      <c r="B264" s="1" t="s">
        <v>1536</v>
      </c>
      <c r="C264" s="5">
        <v>3</v>
      </c>
      <c r="D264" s="15">
        <v>32866493</v>
      </c>
      <c r="E264" s="1" t="s">
        <v>1515</v>
      </c>
      <c r="F264" s="18">
        <v>5030724</v>
      </c>
      <c r="G264" s="9">
        <v>45620</v>
      </c>
      <c r="H264" s="1" t="s">
        <v>2515</v>
      </c>
      <c r="I264" s="12" t="s">
        <v>2509</v>
      </c>
      <c r="J264" s="6">
        <v>556715</v>
      </c>
      <c r="K264" s="3">
        <v>15556715</v>
      </c>
    </row>
    <row r="265" spans="1:11" x14ac:dyDescent="0.25">
      <c r="A265" s="1" t="s">
        <v>1695</v>
      </c>
      <c r="B265" s="1" t="s">
        <v>1525</v>
      </c>
      <c r="C265" s="5">
        <v>3</v>
      </c>
      <c r="D265" s="14">
        <v>40668259</v>
      </c>
      <c r="E265" s="1" t="s">
        <v>1538</v>
      </c>
      <c r="F265" s="17">
        <v>5340169</v>
      </c>
      <c r="G265" s="8">
        <v>45689</v>
      </c>
      <c r="H265" s="1" t="s">
        <v>1513</v>
      </c>
      <c r="I265" s="11" t="s">
        <v>2511</v>
      </c>
      <c r="J265" s="6">
        <v>706562</v>
      </c>
      <c r="K265" s="3">
        <v>15706562</v>
      </c>
    </row>
    <row r="266" spans="1:11" x14ac:dyDescent="0.25">
      <c r="A266" s="1" t="s">
        <v>1696</v>
      </c>
      <c r="B266" s="1" t="s">
        <v>1532</v>
      </c>
      <c r="C266" s="5">
        <v>3</v>
      </c>
      <c r="D266" s="15">
        <v>34382808</v>
      </c>
      <c r="E266" s="1" t="s">
        <v>1515</v>
      </c>
      <c r="F266" s="18">
        <v>4446701</v>
      </c>
      <c r="G266" s="9">
        <v>45615</v>
      </c>
      <c r="H266" s="1" t="s">
        <v>2519</v>
      </c>
      <c r="I266" s="12" t="s">
        <v>1518</v>
      </c>
      <c r="J266" s="6">
        <v>598722</v>
      </c>
      <c r="K266" s="3">
        <v>15598722</v>
      </c>
    </row>
    <row r="267" spans="1:11" x14ac:dyDescent="0.25">
      <c r="A267" s="1" t="s">
        <v>2610</v>
      </c>
      <c r="B267" s="1" t="s">
        <v>1527</v>
      </c>
      <c r="C267" s="5">
        <v>3</v>
      </c>
      <c r="D267" s="14">
        <v>29608725</v>
      </c>
      <c r="E267" s="1" t="s">
        <v>2504</v>
      </c>
      <c r="F267" s="17">
        <v>3015202</v>
      </c>
      <c r="G267" s="8">
        <v>45590</v>
      </c>
      <c r="H267" s="1" t="s">
        <v>2515</v>
      </c>
      <c r="I267" s="11" t="s">
        <v>2507</v>
      </c>
      <c r="J267" s="6">
        <v>53187</v>
      </c>
      <c r="K267" s="3">
        <v>1553187</v>
      </c>
    </row>
    <row r="268" spans="1:11" x14ac:dyDescent="0.25">
      <c r="A268" s="1" t="s">
        <v>1697</v>
      </c>
      <c r="B268" s="1" t="s">
        <v>1525</v>
      </c>
      <c r="C268" s="5">
        <v>3</v>
      </c>
      <c r="D268" s="15">
        <v>6534607</v>
      </c>
      <c r="E268" s="1" t="s">
        <v>1538</v>
      </c>
      <c r="F268" s="18">
        <v>961943</v>
      </c>
      <c r="G268" s="9">
        <v>45567</v>
      </c>
      <c r="H268" s="1" t="s">
        <v>1522</v>
      </c>
      <c r="I268" s="12" t="s">
        <v>2507</v>
      </c>
      <c r="J268" s="6">
        <v>111453</v>
      </c>
      <c r="K268" s="3">
        <v>15111453</v>
      </c>
    </row>
    <row r="269" spans="1:11" x14ac:dyDescent="0.25">
      <c r="A269" s="1" t="s">
        <v>2611</v>
      </c>
      <c r="B269" s="1" t="s">
        <v>1532</v>
      </c>
      <c r="C269" s="5">
        <v>1</v>
      </c>
      <c r="D269" s="14">
        <v>26896105</v>
      </c>
      <c r="E269" s="1" t="s">
        <v>2504</v>
      </c>
      <c r="F269" s="17">
        <v>3148608</v>
      </c>
      <c r="G269" s="8">
        <v>45588</v>
      </c>
      <c r="H269" s="1" t="s">
        <v>2512</v>
      </c>
      <c r="I269" s="11" t="s">
        <v>1521</v>
      </c>
      <c r="J269" s="6">
        <v>47495</v>
      </c>
      <c r="K269" s="3">
        <v>1547495</v>
      </c>
    </row>
    <row r="270" spans="1:11" x14ac:dyDescent="0.25">
      <c r="A270" s="1" t="s">
        <v>1698</v>
      </c>
      <c r="B270" s="1" t="s">
        <v>1534</v>
      </c>
      <c r="C270" s="5">
        <v>5</v>
      </c>
      <c r="D270" s="15">
        <v>18993559</v>
      </c>
      <c r="E270" s="1" t="s">
        <v>1515</v>
      </c>
      <c r="F270" s="18">
        <v>318044</v>
      </c>
      <c r="G270" s="9">
        <v>45738</v>
      </c>
      <c r="H270" s="1" t="s">
        <v>1513</v>
      </c>
      <c r="I270" s="12" t="s">
        <v>2509</v>
      </c>
      <c r="J270" s="6">
        <v>37351</v>
      </c>
      <c r="K270" s="3">
        <v>1537351</v>
      </c>
    </row>
    <row r="271" spans="1:11" x14ac:dyDescent="0.25">
      <c r="A271" s="1" t="s">
        <v>1699</v>
      </c>
      <c r="B271" s="1" t="s">
        <v>1545</v>
      </c>
      <c r="C271" s="5">
        <v>1</v>
      </c>
      <c r="D271" s="14">
        <v>29130052</v>
      </c>
      <c r="E271" s="1" t="s">
        <v>2504</v>
      </c>
      <c r="F271" s="17">
        <v>81414</v>
      </c>
      <c r="G271" s="8">
        <v>45860</v>
      </c>
      <c r="H271" s="1" t="s">
        <v>2508</v>
      </c>
      <c r="I271" s="11" t="s">
        <v>1521</v>
      </c>
      <c r="J271" s="6">
        <v>566318</v>
      </c>
      <c r="K271" s="3">
        <v>15566318</v>
      </c>
    </row>
    <row r="272" spans="1:11" x14ac:dyDescent="0.25">
      <c r="A272" s="1" t="s">
        <v>2612</v>
      </c>
      <c r="B272" s="1" t="s">
        <v>1514</v>
      </c>
      <c r="C272" s="5">
        <v>2</v>
      </c>
      <c r="D272" s="15">
        <v>5497404</v>
      </c>
      <c r="E272" s="1" t="s">
        <v>1515</v>
      </c>
      <c r="F272" s="18">
        <v>418365</v>
      </c>
      <c r="G272" s="9">
        <v>45531</v>
      </c>
      <c r="H272" s="1" t="s">
        <v>1543</v>
      </c>
      <c r="I272" s="12" t="s">
        <v>2507</v>
      </c>
      <c r="J272" s="6">
        <v>101581</v>
      </c>
      <c r="K272" s="3">
        <v>15101581</v>
      </c>
    </row>
    <row r="273" spans="1:11" x14ac:dyDescent="0.25">
      <c r="A273" s="1" t="s">
        <v>2613</v>
      </c>
      <c r="B273" s="1" t="s">
        <v>1527</v>
      </c>
      <c r="C273" s="5">
        <v>5</v>
      </c>
      <c r="D273" s="14">
        <v>11794202</v>
      </c>
      <c r="E273" s="1" t="s">
        <v>1538</v>
      </c>
      <c r="F273" s="17">
        <v>41695</v>
      </c>
      <c r="G273" s="8">
        <v>45601</v>
      </c>
      <c r="H273" s="1" t="s">
        <v>2515</v>
      </c>
      <c r="I273" s="11" t="s">
        <v>2509</v>
      </c>
      <c r="J273" s="6">
        <v>23505</v>
      </c>
      <c r="K273" s="3">
        <v>1523505</v>
      </c>
    </row>
    <row r="274" spans="1:11" x14ac:dyDescent="0.25">
      <c r="A274" s="1" t="s">
        <v>1700</v>
      </c>
      <c r="B274" s="1" t="s">
        <v>1536</v>
      </c>
      <c r="C274" s="5">
        <v>4</v>
      </c>
      <c r="D274" s="15">
        <v>15186151</v>
      </c>
      <c r="E274" s="1" t="s">
        <v>2504</v>
      </c>
      <c r="F274" s="18">
        <v>885357</v>
      </c>
      <c r="G274" s="9">
        <v>45743</v>
      </c>
      <c r="H274" s="1" t="s">
        <v>2519</v>
      </c>
      <c r="I274" s="12" t="s">
        <v>2509</v>
      </c>
      <c r="J274" s="6">
        <v>286016</v>
      </c>
      <c r="K274" s="3">
        <v>15286016</v>
      </c>
    </row>
    <row r="275" spans="1:11" x14ac:dyDescent="0.25">
      <c r="A275" s="1" t="s">
        <v>2614</v>
      </c>
      <c r="B275" s="1" t="s">
        <v>1532</v>
      </c>
      <c r="C275" s="5">
        <v>4</v>
      </c>
      <c r="D275" s="14">
        <v>33406863</v>
      </c>
      <c r="E275" s="1" t="s">
        <v>1515</v>
      </c>
      <c r="F275" s="17">
        <v>650062</v>
      </c>
      <c r="G275" s="8">
        <v>45641</v>
      </c>
      <c r="H275" s="1" t="s">
        <v>1513</v>
      </c>
      <c r="I275" s="11" t="s">
        <v>1512</v>
      </c>
      <c r="J275" s="6">
        <v>655136</v>
      </c>
      <c r="K275" s="3">
        <v>15655136</v>
      </c>
    </row>
    <row r="276" spans="1:11" x14ac:dyDescent="0.25">
      <c r="A276" s="1" t="s">
        <v>2615</v>
      </c>
      <c r="B276" s="1" t="s">
        <v>1523</v>
      </c>
      <c r="C276" s="5">
        <v>5</v>
      </c>
      <c r="D276" s="15">
        <v>25001676</v>
      </c>
      <c r="E276" s="1" t="s">
        <v>1538</v>
      </c>
      <c r="F276" s="18">
        <v>5770489</v>
      </c>
      <c r="G276" s="9">
        <v>45713</v>
      </c>
      <c r="H276" s="1" t="s">
        <v>1513</v>
      </c>
      <c r="I276" s="12" t="s">
        <v>2511</v>
      </c>
      <c r="J276" s="6">
        <v>384624</v>
      </c>
      <c r="K276" s="3">
        <v>15384624</v>
      </c>
    </row>
    <row r="277" spans="1:11" x14ac:dyDescent="0.25">
      <c r="A277" s="1" t="s">
        <v>2616</v>
      </c>
      <c r="B277" s="1" t="s">
        <v>1525</v>
      </c>
      <c r="C277" s="5">
        <v>1</v>
      </c>
      <c r="D277" s="14">
        <v>47295479</v>
      </c>
      <c r="E277" s="1" t="s">
        <v>1538</v>
      </c>
      <c r="F277" s="17">
        <v>1132947</v>
      </c>
      <c r="G277" s="8">
        <v>45767</v>
      </c>
      <c r="H277" s="1" t="s">
        <v>2519</v>
      </c>
      <c r="I277" s="11" t="s">
        <v>2507</v>
      </c>
      <c r="J277" s="6">
        <v>923251</v>
      </c>
      <c r="K277" s="3">
        <v>15923251</v>
      </c>
    </row>
    <row r="278" spans="1:11" x14ac:dyDescent="0.25">
      <c r="A278" s="1" t="s">
        <v>1701</v>
      </c>
      <c r="B278" s="1" t="s">
        <v>1545</v>
      </c>
      <c r="C278" s="5">
        <v>1</v>
      </c>
      <c r="D278" s="15">
        <v>12029269</v>
      </c>
      <c r="E278" s="1" t="s">
        <v>1538</v>
      </c>
      <c r="F278" s="18">
        <v>150344</v>
      </c>
      <c r="G278" s="9">
        <v>45673</v>
      </c>
      <c r="H278" s="1" t="s">
        <v>2519</v>
      </c>
      <c r="I278" s="12" t="s">
        <v>1521</v>
      </c>
      <c r="J278" s="6">
        <v>237578</v>
      </c>
      <c r="K278" s="3">
        <v>15237578</v>
      </c>
    </row>
    <row r="279" spans="1:11" x14ac:dyDescent="0.25">
      <c r="A279" s="1" t="s">
        <v>1702</v>
      </c>
      <c r="B279" s="1" t="s">
        <v>1527</v>
      </c>
      <c r="C279" s="5">
        <v>4</v>
      </c>
      <c r="D279" s="14">
        <v>47820196</v>
      </c>
      <c r="E279" s="1" t="s">
        <v>1515</v>
      </c>
      <c r="F279" s="17">
        <v>264717</v>
      </c>
      <c r="G279" s="8">
        <v>45498</v>
      </c>
      <c r="H279" s="1" t="s">
        <v>2519</v>
      </c>
      <c r="I279" s="11" t="s">
        <v>2509</v>
      </c>
      <c r="J279" s="6">
        <v>903461</v>
      </c>
      <c r="K279" s="3">
        <v>15903461</v>
      </c>
    </row>
    <row r="280" spans="1:11" x14ac:dyDescent="0.25">
      <c r="A280" s="1" t="s">
        <v>2617</v>
      </c>
      <c r="B280" s="1" t="s">
        <v>1527</v>
      </c>
      <c r="C280" s="5">
        <v>2</v>
      </c>
      <c r="D280" s="15">
        <v>3157078</v>
      </c>
      <c r="E280" s="1" t="s">
        <v>1538</v>
      </c>
      <c r="F280" s="18">
        <v>3879286</v>
      </c>
      <c r="G280" s="9">
        <v>45603</v>
      </c>
      <c r="H280" s="1" t="s">
        <v>2519</v>
      </c>
      <c r="I280" s="12" t="s">
        <v>1518</v>
      </c>
      <c r="J280" s="6">
        <v>55383</v>
      </c>
      <c r="K280" s="3">
        <v>1555383</v>
      </c>
    </row>
    <row r="281" spans="1:11" x14ac:dyDescent="0.25">
      <c r="A281" s="1" t="s">
        <v>2618</v>
      </c>
      <c r="B281" s="1" t="s">
        <v>1536</v>
      </c>
      <c r="C281" s="5">
        <v>1</v>
      </c>
      <c r="D281" s="14">
        <v>18653565</v>
      </c>
      <c r="E281" s="1" t="s">
        <v>2504</v>
      </c>
      <c r="F281" s="17">
        <v>425881</v>
      </c>
      <c r="G281" s="8">
        <v>45683</v>
      </c>
      <c r="H281" s="1" t="s">
        <v>1543</v>
      </c>
      <c r="I281" s="11" t="s">
        <v>2511</v>
      </c>
      <c r="J281" s="6">
        <v>287895</v>
      </c>
      <c r="K281" s="3">
        <v>15287895</v>
      </c>
    </row>
    <row r="282" spans="1:11" x14ac:dyDescent="0.25">
      <c r="A282" s="1" t="s">
        <v>2619</v>
      </c>
      <c r="B282" s="1" t="s">
        <v>1525</v>
      </c>
      <c r="C282" s="5">
        <v>1</v>
      </c>
      <c r="D282" s="15">
        <v>33209767</v>
      </c>
      <c r="E282" s="1" t="s">
        <v>2504</v>
      </c>
      <c r="F282" s="18">
        <v>4482171</v>
      </c>
      <c r="G282" s="9">
        <v>45769</v>
      </c>
      <c r="H282" s="1" t="s">
        <v>1543</v>
      </c>
      <c r="I282" s="12" t="s">
        <v>2511</v>
      </c>
      <c r="J282" s="6">
        <v>574552</v>
      </c>
      <c r="K282" s="3">
        <v>15574552</v>
      </c>
    </row>
    <row r="283" spans="1:11" x14ac:dyDescent="0.25">
      <c r="A283" s="1" t="s">
        <v>1703</v>
      </c>
      <c r="B283" s="1" t="s">
        <v>1536</v>
      </c>
      <c r="C283" s="5">
        <v>5</v>
      </c>
      <c r="D283" s="14">
        <v>36462443</v>
      </c>
      <c r="E283" s="1" t="s">
        <v>2504</v>
      </c>
      <c r="F283" s="17">
        <v>239900</v>
      </c>
      <c r="G283" s="8">
        <v>45820</v>
      </c>
      <c r="H283" s="1" t="s">
        <v>2512</v>
      </c>
      <c r="I283" s="11" t="s">
        <v>1518</v>
      </c>
      <c r="J283" s="6">
        <v>681269</v>
      </c>
      <c r="K283" s="3">
        <v>15681269</v>
      </c>
    </row>
    <row r="284" spans="1:11" x14ac:dyDescent="0.25">
      <c r="A284" s="1" t="s">
        <v>1704</v>
      </c>
      <c r="B284" s="1" t="s">
        <v>1540</v>
      </c>
      <c r="C284" s="5">
        <v>3</v>
      </c>
      <c r="D284" s="15">
        <v>9765267</v>
      </c>
      <c r="E284" s="1" t="s">
        <v>2504</v>
      </c>
      <c r="F284" s="18">
        <v>549671</v>
      </c>
      <c r="G284" s="9">
        <v>45531</v>
      </c>
      <c r="H284" s="1" t="s">
        <v>1516</v>
      </c>
      <c r="I284" s="12" t="s">
        <v>2507</v>
      </c>
      <c r="J284" s="6">
        <v>184312</v>
      </c>
      <c r="K284" s="3">
        <v>15184312</v>
      </c>
    </row>
    <row r="285" spans="1:11" x14ac:dyDescent="0.25">
      <c r="A285" s="1" t="s">
        <v>1705</v>
      </c>
      <c r="B285" s="1" t="s">
        <v>1517</v>
      </c>
      <c r="C285" s="5">
        <v>4</v>
      </c>
      <c r="D285" s="14">
        <v>27483496</v>
      </c>
      <c r="E285" s="1" t="s">
        <v>1538</v>
      </c>
      <c r="F285" s="17">
        <v>6365016</v>
      </c>
      <c r="G285" s="8">
        <v>45615</v>
      </c>
      <c r="H285" s="1" t="s">
        <v>1513</v>
      </c>
      <c r="I285" s="11" t="s">
        <v>2507</v>
      </c>
      <c r="J285" s="6">
        <v>42237</v>
      </c>
      <c r="K285" s="3">
        <v>1542237</v>
      </c>
    </row>
    <row r="286" spans="1:11" x14ac:dyDescent="0.25">
      <c r="A286" s="1" t="s">
        <v>1706</v>
      </c>
      <c r="B286" s="1" t="s">
        <v>1532</v>
      </c>
      <c r="C286" s="5">
        <v>1</v>
      </c>
      <c r="D286" s="15">
        <v>19342302</v>
      </c>
      <c r="E286" s="1" t="s">
        <v>1538</v>
      </c>
      <c r="F286" s="18">
        <v>3137848</v>
      </c>
      <c r="G286" s="9">
        <v>45645</v>
      </c>
      <c r="H286" s="1" t="s">
        <v>1543</v>
      </c>
      <c r="I286" s="12" t="s">
        <v>2511</v>
      </c>
      <c r="J286" s="6">
        <v>324089</v>
      </c>
      <c r="K286" s="3">
        <v>15324089</v>
      </c>
    </row>
    <row r="287" spans="1:11" x14ac:dyDescent="0.25">
      <c r="A287" s="1" t="s">
        <v>1707</v>
      </c>
      <c r="B287" s="1" t="s">
        <v>1534</v>
      </c>
      <c r="C287" s="5">
        <v>3</v>
      </c>
      <c r="D287" s="14">
        <v>47677651</v>
      </c>
      <c r="E287" s="1" t="s">
        <v>1515</v>
      </c>
      <c r="F287" s="17">
        <v>3594305</v>
      </c>
      <c r="G287" s="8">
        <v>45838</v>
      </c>
      <c r="H287" s="1" t="s">
        <v>2515</v>
      </c>
      <c r="I287" s="11" t="s">
        <v>1518</v>
      </c>
      <c r="J287" s="6">
        <v>881667</v>
      </c>
      <c r="K287" s="3">
        <v>15881667</v>
      </c>
    </row>
    <row r="288" spans="1:11" x14ac:dyDescent="0.25">
      <c r="A288" s="1" t="s">
        <v>1708</v>
      </c>
      <c r="B288" s="1" t="s">
        <v>1534</v>
      </c>
      <c r="C288" s="5">
        <v>4</v>
      </c>
      <c r="D288" s="15">
        <v>4350124</v>
      </c>
      <c r="E288" s="1" t="s">
        <v>1538</v>
      </c>
      <c r="F288" s="18">
        <v>386601</v>
      </c>
      <c r="G288" s="9">
        <v>45757</v>
      </c>
      <c r="H288" s="1" t="s">
        <v>2510</v>
      </c>
      <c r="I288" s="12" t="s">
        <v>2507</v>
      </c>
      <c r="J288" s="6">
        <v>7927</v>
      </c>
      <c r="K288" s="3">
        <v>1507927</v>
      </c>
    </row>
    <row r="289" spans="1:11" x14ac:dyDescent="0.25">
      <c r="A289" s="1" t="s">
        <v>1709</v>
      </c>
      <c r="B289" s="1" t="s">
        <v>1532</v>
      </c>
      <c r="C289" s="5">
        <v>1</v>
      </c>
      <c r="D289" s="14">
        <v>48869128</v>
      </c>
      <c r="E289" s="1" t="s">
        <v>1538</v>
      </c>
      <c r="F289" s="17">
        <v>912435</v>
      </c>
      <c r="G289" s="8">
        <v>45807</v>
      </c>
      <c r="H289" s="1" t="s">
        <v>2519</v>
      </c>
      <c r="I289" s="11" t="s">
        <v>1521</v>
      </c>
      <c r="J289" s="6">
        <v>959134</v>
      </c>
      <c r="K289" s="3">
        <v>15959134</v>
      </c>
    </row>
    <row r="290" spans="1:11" x14ac:dyDescent="0.25">
      <c r="A290" s="1" t="s">
        <v>1710</v>
      </c>
      <c r="B290" s="1" t="s">
        <v>1545</v>
      </c>
      <c r="C290" s="5">
        <v>2</v>
      </c>
      <c r="D290" s="15">
        <v>12854297</v>
      </c>
      <c r="E290" s="1" t="s">
        <v>2504</v>
      </c>
      <c r="F290" s="18">
        <v>306029</v>
      </c>
      <c r="G290" s="9">
        <v>45643</v>
      </c>
      <c r="H290" s="1" t="s">
        <v>1543</v>
      </c>
      <c r="I290" s="12" t="s">
        <v>1521</v>
      </c>
      <c r="J290" s="6">
        <v>19588</v>
      </c>
      <c r="K290" s="3">
        <v>1519588</v>
      </c>
    </row>
    <row r="291" spans="1:11" x14ac:dyDescent="0.25">
      <c r="A291" s="1" t="s">
        <v>2620</v>
      </c>
      <c r="B291" s="1" t="s">
        <v>1523</v>
      </c>
      <c r="C291" s="5">
        <v>1</v>
      </c>
      <c r="D291" s="14">
        <v>41057557</v>
      </c>
      <c r="E291" s="1" t="s">
        <v>1515</v>
      </c>
      <c r="F291" s="17">
        <v>5186473</v>
      </c>
      <c r="G291" s="8">
        <v>45526</v>
      </c>
      <c r="H291" s="1" t="s">
        <v>2515</v>
      </c>
      <c r="I291" s="11" t="s">
        <v>1521</v>
      </c>
      <c r="J291" s="6">
        <v>717422</v>
      </c>
      <c r="K291" s="3">
        <v>15717422</v>
      </c>
    </row>
    <row r="292" spans="1:11" x14ac:dyDescent="0.25">
      <c r="A292" s="1" t="s">
        <v>1711</v>
      </c>
      <c r="B292" s="1" t="s">
        <v>1545</v>
      </c>
      <c r="C292" s="5">
        <v>5</v>
      </c>
      <c r="D292" s="15">
        <v>41282789</v>
      </c>
      <c r="E292" s="1" t="s">
        <v>2504</v>
      </c>
      <c r="F292" s="18">
        <v>8932563</v>
      </c>
      <c r="G292" s="9">
        <v>45526</v>
      </c>
      <c r="H292" s="1" t="s">
        <v>2515</v>
      </c>
      <c r="I292" s="12" t="s">
        <v>1521</v>
      </c>
      <c r="J292" s="6">
        <v>647005</v>
      </c>
      <c r="K292" s="3">
        <v>15647005</v>
      </c>
    </row>
    <row r="293" spans="1:11" x14ac:dyDescent="0.25">
      <c r="A293" s="1" t="s">
        <v>1712</v>
      </c>
      <c r="B293" s="1" t="s">
        <v>1545</v>
      </c>
      <c r="C293" s="5">
        <v>5</v>
      </c>
      <c r="D293" s="14">
        <v>49024035</v>
      </c>
      <c r="E293" s="1" t="s">
        <v>1538</v>
      </c>
      <c r="F293" s="17">
        <v>410931</v>
      </c>
      <c r="G293" s="8">
        <v>45552</v>
      </c>
      <c r="H293" s="1" t="s">
        <v>1543</v>
      </c>
      <c r="I293" s="11" t="s">
        <v>2511</v>
      </c>
      <c r="J293" s="6">
        <v>898294</v>
      </c>
      <c r="K293" s="3">
        <v>15898294</v>
      </c>
    </row>
    <row r="294" spans="1:11" x14ac:dyDescent="0.25">
      <c r="A294" s="1" t="s">
        <v>1713</v>
      </c>
      <c r="B294" s="1" t="s">
        <v>1523</v>
      </c>
      <c r="C294" s="5">
        <v>2</v>
      </c>
      <c r="D294" s="15">
        <v>3050483</v>
      </c>
      <c r="E294" s="1" t="s">
        <v>2504</v>
      </c>
      <c r="F294" s="18">
        <v>296707</v>
      </c>
      <c r="G294" s="9">
        <v>45679</v>
      </c>
      <c r="H294" s="1" t="s">
        <v>2510</v>
      </c>
      <c r="I294" s="12" t="s">
        <v>1521</v>
      </c>
      <c r="J294" s="6">
        <v>55076</v>
      </c>
      <c r="K294" s="3">
        <v>15055076</v>
      </c>
    </row>
    <row r="295" spans="1:11" x14ac:dyDescent="0.25">
      <c r="A295" s="1" t="s">
        <v>1714</v>
      </c>
      <c r="B295" s="1" t="s">
        <v>1527</v>
      </c>
      <c r="C295" s="5">
        <v>5</v>
      </c>
      <c r="D295" s="14">
        <v>2078882</v>
      </c>
      <c r="E295" s="1" t="s">
        <v>1538</v>
      </c>
      <c r="F295" s="17">
        <v>69629</v>
      </c>
      <c r="G295" s="8">
        <v>45764</v>
      </c>
      <c r="H295" s="1" t="s">
        <v>2510</v>
      </c>
      <c r="I295" s="11" t="s">
        <v>1521</v>
      </c>
      <c r="J295" s="6">
        <v>40185</v>
      </c>
      <c r="K295" s="3">
        <v>15040185</v>
      </c>
    </row>
    <row r="296" spans="1:11" x14ac:dyDescent="0.25">
      <c r="A296" s="1" t="s">
        <v>1715</v>
      </c>
      <c r="B296" s="1" t="s">
        <v>1532</v>
      </c>
      <c r="C296" s="5">
        <v>3</v>
      </c>
      <c r="D296" s="15">
        <v>1329924</v>
      </c>
      <c r="E296" s="1" t="s">
        <v>1538</v>
      </c>
      <c r="F296" s="18">
        <v>671211</v>
      </c>
      <c r="G296" s="9">
        <v>45646</v>
      </c>
      <c r="H296" s="1" t="s">
        <v>1543</v>
      </c>
      <c r="I296" s="12" t="s">
        <v>2509</v>
      </c>
      <c r="J296" s="6">
        <v>252561</v>
      </c>
      <c r="K296" s="3">
        <v>15252561</v>
      </c>
    </row>
    <row r="297" spans="1:11" x14ac:dyDescent="0.25">
      <c r="A297" s="1" t="s">
        <v>2621</v>
      </c>
      <c r="B297" s="1" t="s">
        <v>1545</v>
      </c>
      <c r="C297" s="5">
        <v>1</v>
      </c>
      <c r="D297" s="14">
        <v>22801963</v>
      </c>
      <c r="E297" s="1" t="s">
        <v>1515</v>
      </c>
      <c r="F297" s="17">
        <v>231208</v>
      </c>
      <c r="G297" s="8">
        <v>45660</v>
      </c>
      <c r="H297" s="1" t="s">
        <v>2515</v>
      </c>
      <c r="I297" s="11" t="s">
        <v>2509</v>
      </c>
      <c r="J297" s="6">
        <v>451415</v>
      </c>
      <c r="K297" s="3">
        <v>15451415</v>
      </c>
    </row>
    <row r="298" spans="1:11" x14ac:dyDescent="0.25">
      <c r="A298" s="1" t="s">
        <v>1716</v>
      </c>
      <c r="B298" s="1" t="s">
        <v>1534</v>
      </c>
      <c r="C298" s="5">
        <v>2</v>
      </c>
      <c r="D298" s="15">
        <v>17019919</v>
      </c>
      <c r="E298" s="1" t="s">
        <v>1538</v>
      </c>
      <c r="F298" s="18">
        <v>2280838</v>
      </c>
      <c r="G298" s="9">
        <v>45700</v>
      </c>
      <c r="H298" s="1" t="s">
        <v>1543</v>
      </c>
      <c r="I298" s="12" t="s">
        <v>1518</v>
      </c>
      <c r="J298" s="6">
        <v>294782</v>
      </c>
      <c r="K298" s="3">
        <v>15294782</v>
      </c>
    </row>
    <row r="299" spans="1:11" x14ac:dyDescent="0.25">
      <c r="A299" s="1" t="s">
        <v>1717</v>
      </c>
      <c r="B299" s="1" t="s">
        <v>1534</v>
      </c>
      <c r="C299" s="5">
        <v>4</v>
      </c>
      <c r="D299" s="14">
        <v>4614284</v>
      </c>
      <c r="E299" s="1" t="s">
        <v>2504</v>
      </c>
      <c r="F299" s="17">
        <v>510128</v>
      </c>
      <c r="G299" s="8">
        <v>45639</v>
      </c>
      <c r="H299" s="1" t="s">
        <v>2512</v>
      </c>
      <c r="I299" s="11" t="s">
        <v>2509</v>
      </c>
      <c r="J299" s="6">
        <v>82083</v>
      </c>
      <c r="K299" s="3">
        <v>15082083</v>
      </c>
    </row>
    <row r="300" spans="1:11" x14ac:dyDescent="0.25">
      <c r="A300" s="1" t="s">
        <v>2622</v>
      </c>
      <c r="B300" s="1" t="s">
        <v>1517</v>
      </c>
      <c r="C300" s="5">
        <v>5</v>
      </c>
      <c r="D300" s="15">
        <v>40726808</v>
      </c>
      <c r="E300" s="1" t="s">
        <v>1538</v>
      </c>
      <c r="F300" s="18">
        <v>9570875</v>
      </c>
      <c r="G300" s="9">
        <v>45560</v>
      </c>
      <c r="H300" s="1" t="s">
        <v>1516</v>
      </c>
      <c r="I300" s="12" t="s">
        <v>2509</v>
      </c>
      <c r="J300" s="6">
        <v>623119</v>
      </c>
      <c r="K300" s="3">
        <v>15623119</v>
      </c>
    </row>
    <row r="301" spans="1:11" x14ac:dyDescent="0.25">
      <c r="A301" s="1" t="s">
        <v>1718</v>
      </c>
      <c r="B301" s="1" t="s">
        <v>1534</v>
      </c>
      <c r="C301" s="5">
        <v>4</v>
      </c>
      <c r="D301" s="14">
        <v>19680679</v>
      </c>
      <c r="E301" s="1" t="s">
        <v>1538</v>
      </c>
      <c r="F301" s="17">
        <v>152043</v>
      </c>
      <c r="G301" s="8">
        <v>45501</v>
      </c>
      <c r="H301" s="1" t="s">
        <v>1543</v>
      </c>
      <c r="I301" s="11" t="s">
        <v>1518</v>
      </c>
      <c r="J301" s="6">
        <v>363205</v>
      </c>
      <c r="K301" s="3">
        <v>15363205</v>
      </c>
    </row>
    <row r="302" spans="1:11" x14ac:dyDescent="0.25">
      <c r="A302" s="1" t="s">
        <v>1719</v>
      </c>
      <c r="B302" s="1" t="s">
        <v>1525</v>
      </c>
      <c r="C302" s="5">
        <v>2</v>
      </c>
      <c r="D302" s="15">
        <v>224302</v>
      </c>
      <c r="E302" s="1" t="s">
        <v>1538</v>
      </c>
      <c r="F302" s="18">
        <v>500336</v>
      </c>
      <c r="G302" s="9">
        <v>45670</v>
      </c>
      <c r="H302" s="1" t="s">
        <v>2508</v>
      </c>
      <c r="I302" s="12" t="s">
        <v>1521</v>
      </c>
      <c r="J302" s="6">
        <v>34854</v>
      </c>
      <c r="K302" s="3">
        <v>15034854</v>
      </c>
    </row>
    <row r="303" spans="1:11" x14ac:dyDescent="0.25">
      <c r="A303" s="1" t="s">
        <v>1720</v>
      </c>
      <c r="B303" s="1" t="s">
        <v>1514</v>
      </c>
      <c r="C303" s="5">
        <v>5</v>
      </c>
      <c r="D303" s="14">
        <v>14813388</v>
      </c>
      <c r="E303" s="1" t="s">
        <v>1538</v>
      </c>
      <c r="F303" s="17">
        <v>547954</v>
      </c>
      <c r="G303" s="8">
        <v>45644</v>
      </c>
      <c r="H303" s="1" t="s">
        <v>1522</v>
      </c>
      <c r="I303" s="11" t="s">
        <v>2511</v>
      </c>
      <c r="J303" s="6">
        <v>285309</v>
      </c>
      <c r="K303" s="3">
        <v>15285309</v>
      </c>
    </row>
    <row r="304" spans="1:11" x14ac:dyDescent="0.25">
      <c r="A304" s="1" t="s">
        <v>1721</v>
      </c>
      <c r="B304" s="1" t="s">
        <v>1517</v>
      </c>
      <c r="C304" s="5">
        <v>1</v>
      </c>
      <c r="D304" s="15">
        <v>11347013</v>
      </c>
      <c r="E304" s="1" t="s">
        <v>1515</v>
      </c>
      <c r="F304" s="18">
        <v>229497</v>
      </c>
      <c r="G304" s="9">
        <v>45730</v>
      </c>
      <c r="H304" s="1" t="s">
        <v>1516</v>
      </c>
      <c r="I304" s="12" t="s">
        <v>1512</v>
      </c>
      <c r="J304" s="6">
        <v>181041</v>
      </c>
      <c r="K304" s="3">
        <v>15181041</v>
      </c>
    </row>
    <row r="305" spans="1:11" x14ac:dyDescent="0.25">
      <c r="A305" s="1" t="s">
        <v>2623</v>
      </c>
      <c r="B305" s="1" t="s">
        <v>1514</v>
      </c>
      <c r="C305" s="5">
        <v>5</v>
      </c>
      <c r="D305" s="14">
        <v>32538761</v>
      </c>
      <c r="E305" s="1" t="s">
        <v>1515</v>
      </c>
      <c r="F305" s="17">
        <v>5668942</v>
      </c>
      <c r="G305" s="8">
        <v>45856</v>
      </c>
      <c r="H305" s="1" t="s">
        <v>2512</v>
      </c>
      <c r="I305" s="11" t="s">
        <v>1521</v>
      </c>
      <c r="J305" s="6">
        <v>537396</v>
      </c>
      <c r="K305" s="3">
        <v>15537396</v>
      </c>
    </row>
    <row r="306" spans="1:11" x14ac:dyDescent="0.25">
      <c r="A306" s="1" t="s">
        <v>1722</v>
      </c>
      <c r="B306" s="1" t="s">
        <v>1523</v>
      </c>
      <c r="C306" s="5">
        <v>2</v>
      </c>
      <c r="D306" s="15">
        <v>49420965</v>
      </c>
      <c r="E306" s="1" t="s">
        <v>1515</v>
      </c>
      <c r="F306" s="18">
        <v>587545</v>
      </c>
      <c r="G306" s="9">
        <v>45648</v>
      </c>
      <c r="H306" s="1" t="s">
        <v>1543</v>
      </c>
      <c r="I306" s="12" t="s">
        <v>1518</v>
      </c>
      <c r="J306" s="6">
        <v>976668</v>
      </c>
      <c r="K306" s="3">
        <v>15976668</v>
      </c>
    </row>
    <row r="307" spans="1:11" x14ac:dyDescent="0.25">
      <c r="A307" s="1" t="s">
        <v>1723</v>
      </c>
      <c r="B307" s="1" t="s">
        <v>1545</v>
      </c>
      <c r="C307" s="5">
        <v>4</v>
      </c>
      <c r="D307" s="14">
        <v>35316314</v>
      </c>
      <c r="E307" s="1" t="s">
        <v>2504</v>
      </c>
      <c r="F307" s="17">
        <v>8246622</v>
      </c>
      <c r="G307" s="8">
        <v>45545</v>
      </c>
      <c r="H307" s="1" t="s">
        <v>1543</v>
      </c>
      <c r="I307" s="11" t="s">
        <v>2509</v>
      </c>
      <c r="J307" s="6">
        <v>541394</v>
      </c>
      <c r="K307" s="3">
        <v>15541394</v>
      </c>
    </row>
    <row r="308" spans="1:11" x14ac:dyDescent="0.25">
      <c r="A308" s="1" t="s">
        <v>2624</v>
      </c>
      <c r="B308" s="1" t="s">
        <v>1536</v>
      </c>
      <c r="C308" s="5">
        <v>3</v>
      </c>
      <c r="D308" s="15">
        <v>43829485</v>
      </c>
      <c r="E308" s="1" t="s">
        <v>1538</v>
      </c>
      <c r="F308" s="18">
        <v>2147836</v>
      </c>
      <c r="G308" s="9">
        <v>45587</v>
      </c>
      <c r="H308" s="1" t="s">
        <v>1522</v>
      </c>
      <c r="I308" s="12" t="s">
        <v>1512</v>
      </c>
      <c r="J308" s="6">
        <v>833633</v>
      </c>
      <c r="K308" s="3">
        <v>15833633</v>
      </c>
    </row>
    <row r="309" spans="1:11" x14ac:dyDescent="0.25">
      <c r="A309" s="1" t="s">
        <v>2625</v>
      </c>
      <c r="B309" s="1" t="s">
        <v>1536</v>
      </c>
      <c r="C309" s="5">
        <v>1</v>
      </c>
      <c r="D309" s="14">
        <v>3396161</v>
      </c>
      <c r="E309" s="1" t="s">
        <v>2504</v>
      </c>
      <c r="F309" s="17">
        <v>1130165</v>
      </c>
      <c r="G309" s="8">
        <v>45836</v>
      </c>
      <c r="H309" s="1" t="s">
        <v>2515</v>
      </c>
      <c r="I309" s="11" t="s">
        <v>2509</v>
      </c>
      <c r="J309" s="6">
        <v>656629</v>
      </c>
      <c r="K309" s="3">
        <v>15656629</v>
      </c>
    </row>
    <row r="310" spans="1:11" x14ac:dyDescent="0.25">
      <c r="A310" s="1" t="s">
        <v>1724</v>
      </c>
      <c r="B310" s="1" t="s">
        <v>1545</v>
      </c>
      <c r="C310" s="5">
        <v>1</v>
      </c>
      <c r="D310" s="15">
        <v>37372653</v>
      </c>
      <c r="E310" s="1" t="s">
        <v>1515</v>
      </c>
      <c r="F310" s="18">
        <v>7547649</v>
      </c>
      <c r="G310" s="9">
        <v>45507</v>
      </c>
      <c r="H310" s="1" t="s">
        <v>2519</v>
      </c>
      <c r="I310" s="12" t="s">
        <v>1518</v>
      </c>
      <c r="J310" s="6">
        <v>59650</v>
      </c>
      <c r="K310" s="3">
        <v>1559650</v>
      </c>
    </row>
    <row r="311" spans="1:11" x14ac:dyDescent="0.25">
      <c r="A311" s="1" t="s">
        <v>2626</v>
      </c>
      <c r="B311" s="1" t="s">
        <v>1514</v>
      </c>
      <c r="C311" s="5">
        <v>1</v>
      </c>
      <c r="D311" s="14">
        <v>6315852</v>
      </c>
      <c r="E311" s="1" t="s">
        <v>1538</v>
      </c>
      <c r="F311" s="17">
        <v>1191527</v>
      </c>
      <c r="G311" s="8">
        <v>45838</v>
      </c>
      <c r="H311" s="1" t="s">
        <v>1522</v>
      </c>
      <c r="I311" s="11" t="s">
        <v>1521</v>
      </c>
      <c r="J311" s="6">
        <v>102487</v>
      </c>
      <c r="K311" s="3">
        <v>15102487</v>
      </c>
    </row>
    <row r="312" spans="1:11" x14ac:dyDescent="0.25">
      <c r="A312" s="1" t="s">
        <v>1725</v>
      </c>
      <c r="B312" s="1" t="s">
        <v>1534</v>
      </c>
      <c r="C312" s="5">
        <v>3</v>
      </c>
      <c r="D312" s="15">
        <v>31690153</v>
      </c>
      <c r="E312" s="1" t="s">
        <v>1538</v>
      </c>
      <c r="F312" s="18">
        <v>4142987</v>
      </c>
      <c r="G312" s="9">
        <v>45771</v>
      </c>
      <c r="H312" s="1" t="s">
        <v>2512</v>
      </c>
      <c r="I312" s="12" t="s">
        <v>1518</v>
      </c>
      <c r="J312" s="6">
        <v>550943</v>
      </c>
      <c r="K312" s="3">
        <v>15550943</v>
      </c>
    </row>
    <row r="313" spans="1:11" x14ac:dyDescent="0.25">
      <c r="A313" s="1" t="s">
        <v>1726</v>
      </c>
      <c r="B313" s="1" t="s">
        <v>1527</v>
      </c>
      <c r="C313" s="5">
        <v>4</v>
      </c>
      <c r="D313" s="14">
        <v>7830592</v>
      </c>
      <c r="E313" s="1" t="s">
        <v>1538</v>
      </c>
      <c r="F313" s="17">
        <v>226098</v>
      </c>
      <c r="G313" s="8">
        <v>45696</v>
      </c>
      <c r="H313" s="1" t="s">
        <v>1519</v>
      </c>
      <c r="I313" s="11" t="s">
        <v>1512</v>
      </c>
      <c r="J313" s="6">
        <v>15209</v>
      </c>
      <c r="K313" s="3">
        <v>1515209</v>
      </c>
    </row>
    <row r="314" spans="1:11" x14ac:dyDescent="0.25">
      <c r="A314" s="1" t="s">
        <v>2627</v>
      </c>
      <c r="B314" s="1" t="s">
        <v>1523</v>
      </c>
      <c r="C314" s="5">
        <v>5</v>
      </c>
      <c r="D314" s="15">
        <v>27884727</v>
      </c>
      <c r="E314" s="1" t="s">
        <v>1515</v>
      </c>
      <c r="F314" s="18">
        <v>2176163</v>
      </c>
      <c r="G314" s="9">
        <v>45565</v>
      </c>
      <c r="H314" s="1" t="s">
        <v>2515</v>
      </c>
      <c r="I314" s="12" t="s">
        <v>1521</v>
      </c>
      <c r="J314" s="6">
        <v>514171</v>
      </c>
      <c r="K314" s="3">
        <v>15514171</v>
      </c>
    </row>
    <row r="315" spans="1:11" x14ac:dyDescent="0.25">
      <c r="A315" s="1" t="s">
        <v>2628</v>
      </c>
      <c r="B315" s="1" t="s">
        <v>1540</v>
      </c>
      <c r="C315" s="5">
        <v>2</v>
      </c>
      <c r="D315" s="14">
        <v>40346672</v>
      </c>
      <c r="E315" s="1" t="s">
        <v>1538</v>
      </c>
      <c r="F315" s="17">
        <v>6064697</v>
      </c>
      <c r="G315" s="8">
        <v>45743</v>
      </c>
      <c r="H315" s="1" t="s">
        <v>2512</v>
      </c>
      <c r="I315" s="11" t="s">
        <v>1521</v>
      </c>
      <c r="J315" s="6">
        <v>68564</v>
      </c>
      <c r="K315" s="3">
        <v>1568564</v>
      </c>
    </row>
    <row r="316" spans="1:11" x14ac:dyDescent="0.25">
      <c r="A316" s="1" t="s">
        <v>1727</v>
      </c>
      <c r="B316" s="1" t="s">
        <v>1534</v>
      </c>
      <c r="C316" s="5">
        <v>5</v>
      </c>
      <c r="D316" s="15">
        <v>36464027</v>
      </c>
      <c r="E316" s="1" t="s">
        <v>1538</v>
      </c>
      <c r="F316" s="18">
        <v>6136082</v>
      </c>
      <c r="G316" s="9">
        <v>45650</v>
      </c>
      <c r="H316" s="1" t="s">
        <v>2515</v>
      </c>
      <c r="I316" s="12" t="s">
        <v>2507</v>
      </c>
      <c r="J316" s="6">
        <v>606559</v>
      </c>
      <c r="K316" s="3">
        <v>15606559</v>
      </c>
    </row>
    <row r="317" spans="1:11" x14ac:dyDescent="0.25">
      <c r="A317" s="1" t="s">
        <v>1728</v>
      </c>
      <c r="B317" s="1" t="s">
        <v>1545</v>
      </c>
      <c r="C317" s="5">
        <v>2</v>
      </c>
      <c r="D317" s="14">
        <v>40527368</v>
      </c>
      <c r="E317" s="1" t="s">
        <v>1515</v>
      </c>
      <c r="F317" s="17">
        <v>1207606</v>
      </c>
      <c r="G317" s="8">
        <v>45707</v>
      </c>
      <c r="H317" s="1" t="s">
        <v>1513</v>
      </c>
      <c r="I317" s="11" t="s">
        <v>2507</v>
      </c>
      <c r="J317" s="6">
        <v>786395</v>
      </c>
      <c r="K317" s="3">
        <v>15786395</v>
      </c>
    </row>
    <row r="318" spans="1:11" x14ac:dyDescent="0.25">
      <c r="A318" s="1" t="s">
        <v>1729</v>
      </c>
      <c r="B318" s="1" t="s">
        <v>1532</v>
      </c>
      <c r="C318" s="5">
        <v>4</v>
      </c>
      <c r="D318" s="15">
        <v>36291273</v>
      </c>
      <c r="E318" s="1" t="s">
        <v>1538</v>
      </c>
      <c r="F318" s="18">
        <v>7487806</v>
      </c>
      <c r="G318" s="9">
        <v>45682</v>
      </c>
      <c r="H318" s="1" t="s">
        <v>2515</v>
      </c>
      <c r="I318" s="12" t="s">
        <v>2507</v>
      </c>
      <c r="J318" s="6">
        <v>576069</v>
      </c>
      <c r="K318" s="3">
        <v>15576069</v>
      </c>
    </row>
    <row r="319" spans="1:11" x14ac:dyDescent="0.25">
      <c r="A319" s="1" t="s">
        <v>1730</v>
      </c>
      <c r="B319" s="1" t="s">
        <v>1532</v>
      </c>
      <c r="C319" s="5">
        <v>1</v>
      </c>
      <c r="D319" s="14">
        <v>40116867</v>
      </c>
      <c r="E319" s="1" t="s">
        <v>1515</v>
      </c>
      <c r="F319" s="17">
        <v>6436904</v>
      </c>
      <c r="G319" s="8">
        <v>45547</v>
      </c>
      <c r="H319" s="1" t="s">
        <v>2515</v>
      </c>
      <c r="I319" s="11" t="s">
        <v>1521</v>
      </c>
      <c r="J319" s="6">
        <v>673599</v>
      </c>
      <c r="K319" s="3">
        <v>15673599</v>
      </c>
    </row>
    <row r="320" spans="1:11" x14ac:dyDescent="0.25">
      <c r="A320" s="1" t="s">
        <v>2629</v>
      </c>
      <c r="B320" s="1" t="s">
        <v>1525</v>
      </c>
      <c r="C320" s="5">
        <v>4</v>
      </c>
      <c r="D320" s="15">
        <v>7290595</v>
      </c>
      <c r="E320" s="1" t="s">
        <v>1515</v>
      </c>
      <c r="F320" s="18">
        <v>519982</v>
      </c>
      <c r="G320" s="9">
        <v>45543</v>
      </c>
      <c r="H320" s="1" t="s">
        <v>2519</v>
      </c>
      <c r="I320" s="12" t="s">
        <v>1521</v>
      </c>
      <c r="J320" s="6">
        <v>135412</v>
      </c>
      <c r="K320" s="3">
        <v>15135412</v>
      </c>
    </row>
    <row r="321" spans="1:11" x14ac:dyDescent="0.25">
      <c r="A321" s="1" t="s">
        <v>1731</v>
      </c>
      <c r="B321" s="1" t="s">
        <v>1517</v>
      </c>
      <c r="C321" s="5">
        <v>2</v>
      </c>
      <c r="D321" s="14">
        <v>47629758</v>
      </c>
      <c r="E321" s="1" t="s">
        <v>2504</v>
      </c>
      <c r="F321" s="17">
        <v>8715874</v>
      </c>
      <c r="G321" s="8">
        <v>45553</v>
      </c>
      <c r="H321" s="1" t="s">
        <v>1513</v>
      </c>
      <c r="I321" s="11" t="s">
        <v>2507</v>
      </c>
      <c r="J321" s="6">
        <v>778278</v>
      </c>
      <c r="K321" s="3">
        <v>15778278</v>
      </c>
    </row>
    <row r="322" spans="1:11" x14ac:dyDescent="0.25">
      <c r="A322" s="1" t="s">
        <v>1732</v>
      </c>
      <c r="B322" s="1" t="s">
        <v>1517</v>
      </c>
      <c r="C322" s="5">
        <v>3</v>
      </c>
      <c r="D322" s="15">
        <v>1616609</v>
      </c>
      <c r="E322" s="1" t="s">
        <v>1515</v>
      </c>
      <c r="F322" s="18">
        <v>697473</v>
      </c>
      <c r="G322" s="9">
        <v>45748</v>
      </c>
      <c r="H322" s="1" t="s">
        <v>2508</v>
      </c>
      <c r="I322" s="12" t="s">
        <v>2509</v>
      </c>
      <c r="J322" s="6">
        <v>309372</v>
      </c>
      <c r="K322" s="3">
        <v>15309372</v>
      </c>
    </row>
    <row r="323" spans="1:11" x14ac:dyDescent="0.25">
      <c r="A323" s="1" t="s">
        <v>2630</v>
      </c>
      <c r="B323" s="1" t="s">
        <v>1532</v>
      </c>
      <c r="C323" s="5">
        <v>4</v>
      </c>
      <c r="D323" s="14">
        <v>14333334</v>
      </c>
      <c r="E323" s="1" t="s">
        <v>1538</v>
      </c>
      <c r="F323" s="17">
        <v>2225374</v>
      </c>
      <c r="G323" s="8">
        <v>45513</v>
      </c>
      <c r="H323" s="1" t="s">
        <v>2508</v>
      </c>
      <c r="I323" s="11" t="s">
        <v>1512</v>
      </c>
      <c r="J323" s="6">
        <v>242159</v>
      </c>
      <c r="K323" s="3">
        <v>15242159</v>
      </c>
    </row>
    <row r="324" spans="1:11" x14ac:dyDescent="0.25">
      <c r="A324" s="1" t="s">
        <v>1733</v>
      </c>
      <c r="B324" s="1" t="s">
        <v>1517</v>
      </c>
      <c r="C324" s="5">
        <v>2</v>
      </c>
      <c r="D324" s="15">
        <v>37667585</v>
      </c>
      <c r="E324" s="1" t="s">
        <v>1538</v>
      </c>
      <c r="F324" s="18">
        <v>3349838</v>
      </c>
      <c r="G324" s="9">
        <v>45507</v>
      </c>
      <c r="H324" s="1" t="s">
        <v>1513</v>
      </c>
      <c r="I324" s="12" t="s">
        <v>1518</v>
      </c>
      <c r="J324" s="6">
        <v>686355</v>
      </c>
      <c r="K324" s="3">
        <v>15686355</v>
      </c>
    </row>
    <row r="325" spans="1:11" x14ac:dyDescent="0.25">
      <c r="A325" s="1" t="s">
        <v>1734</v>
      </c>
      <c r="B325" s="1" t="s">
        <v>1540</v>
      </c>
      <c r="C325" s="5">
        <v>3</v>
      </c>
      <c r="D325" s="14">
        <v>33015251</v>
      </c>
      <c r="E325" s="1" t="s">
        <v>2504</v>
      </c>
      <c r="F325" s="17">
        <v>2351431</v>
      </c>
      <c r="G325" s="8">
        <v>45768</v>
      </c>
      <c r="H325" s="1" t="s">
        <v>2519</v>
      </c>
      <c r="I325" s="11" t="s">
        <v>1521</v>
      </c>
      <c r="J325" s="6">
        <v>613276</v>
      </c>
      <c r="K325" s="3">
        <v>15613276</v>
      </c>
    </row>
    <row r="326" spans="1:11" x14ac:dyDescent="0.25">
      <c r="A326" s="1" t="s">
        <v>1735</v>
      </c>
      <c r="B326" s="1" t="s">
        <v>1536</v>
      </c>
      <c r="C326" s="5">
        <v>4</v>
      </c>
      <c r="D326" s="15">
        <v>47350017</v>
      </c>
      <c r="E326" s="1" t="s">
        <v>1515</v>
      </c>
      <c r="F326" s="18">
        <v>294520</v>
      </c>
      <c r="G326" s="9">
        <v>45711</v>
      </c>
      <c r="H326" s="1" t="s">
        <v>1516</v>
      </c>
      <c r="I326" s="12" t="s">
        <v>1512</v>
      </c>
      <c r="J326" s="6">
        <v>888096</v>
      </c>
      <c r="K326" s="3">
        <v>15888096</v>
      </c>
    </row>
    <row r="327" spans="1:11" x14ac:dyDescent="0.25">
      <c r="A327" s="1" t="s">
        <v>2631</v>
      </c>
      <c r="B327" s="1" t="s">
        <v>1534</v>
      </c>
      <c r="C327" s="5">
        <v>5</v>
      </c>
      <c r="D327" s="14">
        <v>12138023</v>
      </c>
      <c r="E327" s="1" t="s">
        <v>1538</v>
      </c>
      <c r="F327" s="17">
        <v>979104</v>
      </c>
      <c r="G327" s="8">
        <v>45820</v>
      </c>
      <c r="H327" s="1" t="s">
        <v>1516</v>
      </c>
      <c r="I327" s="11" t="s">
        <v>2511</v>
      </c>
      <c r="J327" s="6">
        <v>223178</v>
      </c>
      <c r="K327" s="3">
        <v>15223178</v>
      </c>
    </row>
    <row r="328" spans="1:11" x14ac:dyDescent="0.25">
      <c r="A328" s="1" t="s">
        <v>1736</v>
      </c>
      <c r="B328" s="1" t="s">
        <v>1527</v>
      </c>
      <c r="C328" s="5">
        <v>2</v>
      </c>
      <c r="D328" s="15">
        <v>914421</v>
      </c>
      <c r="E328" s="1" t="s">
        <v>2504</v>
      </c>
      <c r="F328" s="18">
        <v>910373</v>
      </c>
      <c r="G328" s="9">
        <v>45758</v>
      </c>
      <c r="H328" s="1" t="s">
        <v>1516</v>
      </c>
      <c r="I328" s="12" t="s">
        <v>1521</v>
      </c>
      <c r="J328" s="6">
        <v>164677</v>
      </c>
      <c r="K328" s="3">
        <v>15164677</v>
      </c>
    </row>
    <row r="329" spans="1:11" x14ac:dyDescent="0.25">
      <c r="A329" s="1" t="s">
        <v>2632</v>
      </c>
      <c r="B329" s="1" t="s">
        <v>1534</v>
      </c>
      <c r="C329" s="5">
        <v>4</v>
      </c>
      <c r="D329" s="14">
        <v>37895654</v>
      </c>
      <c r="E329" s="1" t="s">
        <v>1538</v>
      </c>
      <c r="F329" s="17">
        <v>7002935</v>
      </c>
      <c r="G329" s="8">
        <v>45785</v>
      </c>
      <c r="H329" s="1" t="s">
        <v>2510</v>
      </c>
      <c r="I329" s="11" t="s">
        <v>1521</v>
      </c>
      <c r="J329" s="6">
        <v>617854</v>
      </c>
      <c r="K329" s="3">
        <v>15617854</v>
      </c>
    </row>
    <row r="330" spans="1:11" x14ac:dyDescent="0.25">
      <c r="A330" s="1" t="s">
        <v>1737</v>
      </c>
      <c r="B330" s="1" t="s">
        <v>1536</v>
      </c>
      <c r="C330" s="5">
        <v>1</v>
      </c>
      <c r="D330" s="15">
        <v>1759602</v>
      </c>
      <c r="E330" s="1" t="s">
        <v>1538</v>
      </c>
      <c r="F330" s="18">
        <v>281059</v>
      </c>
      <c r="G330" s="9">
        <v>45817</v>
      </c>
      <c r="H330" s="1" t="s">
        <v>2519</v>
      </c>
      <c r="I330" s="12" t="s">
        <v>1518</v>
      </c>
      <c r="J330" s="6">
        <v>29571</v>
      </c>
      <c r="K330" s="3">
        <v>15029571</v>
      </c>
    </row>
    <row r="331" spans="1:11" x14ac:dyDescent="0.25">
      <c r="A331" s="1" t="s">
        <v>1738</v>
      </c>
      <c r="B331" s="1" t="s">
        <v>1545</v>
      </c>
      <c r="C331" s="5">
        <v>4</v>
      </c>
      <c r="D331" s="14">
        <v>1382184</v>
      </c>
      <c r="E331" s="1" t="s">
        <v>1538</v>
      </c>
      <c r="F331" s="17">
        <v>54088</v>
      </c>
      <c r="G331" s="8">
        <v>45666</v>
      </c>
      <c r="H331" s="1" t="s">
        <v>2519</v>
      </c>
      <c r="I331" s="11" t="s">
        <v>1512</v>
      </c>
      <c r="J331" s="6">
        <v>26562</v>
      </c>
      <c r="K331" s="3">
        <v>15026562</v>
      </c>
    </row>
    <row r="332" spans="1:11" x14ac:dyDescent="0.25">
      <c r="A332" s="1" t="s">
        <v>1739</v>
      </c>
      <c r="B332" s="1" t="s">
        <v>1523</v>
      </c>
      <c r="C332" s="5">
        <v>4</v>
      </c>
      <c r="D332" s="15">
        <v>41887902</v>
      </c>
      <c r="E332" s="1" t="s">
        <v>1515</v>
      </c>
      <c r="F332" s="18">
        <v>8344118</v>
      </c>
      <c r="G332" s="9">
        <v>45711</v>
      </c>
      <c r="H332" s="1" t="s">
        <v>2515</v>
      </c>
      <c r="I332" s="12" t="s">
        <v>1521</v>
      </c>
      <c r="J332" s="6">
        <v>670876</v>
      </c>
      <c r="K332" s="3">
        <v>15670876</v>
      </c>
    </row>
    <row r="333" spans="1:11" x14ac:dyDescent="0.25">
      <c r="A333" s="1" t="s">
        <v>2633</v>
      </c>
      <c r="B333" s="1" t="s">
        <v>1514</v>
      </c>
      <c r="C333" s="5">
        <v>4</v>
      </c>
      <c r="D333" s="14">
        <v>4527357</v>
      </c>
      <c r="E333" s="1" t="s">
        <v>2504</v>
      </c>
      <c r="F333" s="17">
        <v>7295003</v>
      </c>
      <c r="G333" s="8">
        <v>45670</v>
      </c>
      <c r="H333" s="1" t="s">
        <v>2512</v>
      </c>
      <c r="I333" s="11" t="s">
        <v>1512</v>
      </c>
      <c r="J333" s="6">
        <v>759571</v>
      </c>
      <c r="K333" s="3">
        <v>15759571</v>
      </c>
    </row>
    <row r="334" spans="1:11" x14ac:dyDescent="0.25">
      <c r="A334" s="1" t="s">
        <v>2634</v>
      </c>
      <c r="B334" s="1" t="s">
        <v>1517</v>
      </c>
      <c r="C334" s="5">
        <v>1</v>
      </c>
      <c r="D334" s="15">
        <v>41141875</v>
      </c>
      <c r="E334" s="1" t="s">
        <v>1515</v>
      </c>
      <c r="F334" s="18">
        <v>8205996</v>
      </c>
      <c r="G334" s="9">
        <v>45800</v>
      </c>
      <c r="H334" s="1" t="s">
        <v>2512</v>
      </c>
      <c r="I334" s="12" t="s">
        <v>1518</v>
      </c>
      <c r="J334" s="6">
        <v>658718</v>
      </c>
      <c r="K334" s="3">
        <v>15658718</v>
      </c>
    </row>
    <row r="335" spans="1:11" x14ac:dyDescent="0.25">
      <c r="A335" s="1" t="s">
        <v>1740</v>
      </c>
      <c r="B335" s="1" t="s">
        <v>1540</v>
      </c>
      <c r="C335" s="5">
        <v>5</v>
      </c>
      <c r="D335" s="14">
        <v>21206043</v>
      </c>
      <c r="E335" s="1" t="s">
        <v>2504</v>
      </c>
      <c r="F335" s="17">
        <v>1735745</v>
      </c>
      <c r="G335" s="8">
        <v>45508</v>
      </c>
      <c r="H335" s="1" t="s">
        <v>2508</v>
      </c>
      <c r="I335" s="11" t="s">
        <v>2507</v>
      </c>
      <c r="J335" s="6">
        <v>389406</v>
      </c>
      <c r="K335" s="3">
        <v>15389406</v>
      </c>
    </row>
    <row r="336" spans="1:11" x14ac:dyDescent="0.25">
      <c r="A336" s="1" t="s">
        <v>1741</v>
      </c>
      <c r="B336" s="1" t="s">
        <v>1540</v>
      </c>
      <c r="C336" s="5">
        <v>1</v>
      </c>
      <c r="D336" s="15">
        <v>32049209</v>
      </c>
      <c r="E336" s="1" t="s">
        <v>2504</v>
      </c>
      <c r="F336" s="18">
        <v>1267487</v>
      </c>
      <c r="G336" s="9">
        <v>45778</v>
      </c>
      <c r="H336" s="1" t="s">
        <v>1516</v>
      </c>
      <c r="I336" s="12" t="s">
        <v>1518</v>
      </c>
      <c r="J336" s="6">
        <v>615634</v>
      </c>
      <c r="K336" s="3">
        <v>15615634</v>
      </c>
    </row>
    <row r="337" spans="1:11" x14ac:dyDescent="0.25">
      <c r="A337" s="1" t="s">
        <v>1742</v>
      </c>
      <c r="B337" s="1" t="s">
        <v>1545</v>
      </c>
      <c r="C337" s="5">
        <v>3</v>
      </c>
      <c r="D337" s="14">
        <v>8741608</v>
      </c>
      <c r="E337" s="1" t="s">
        <v>1538</v>
      </c>
      <c r="F337" s="17">
        <v>1838564</v>
      </c>
      <c r="G337" s="8">
        <v>45741</v>
      </c>
      <c r="H337" s="1" t="s">
        <v>2508</v>
      </c>
      <c r="I337" s="11" t="s">
        <v>1518</v>
      </c>
      <c r="J337" s="6">
        <v>138061</v>
      </c>
      <c r="K337" s="3">
        <v>15138061</v>
      </c>
    </row>
    <row r="338" spans="1:11" x14ac:dyDescent="0.25">
      <c r="A338" s="1" t="s">
        <v>2635</v>
      </c>
      <c r="B338" s="1" t="s">
        <v>1517</v>
      </c>
      <c r="C338" s="5">
        <v>1</v>
      </c>
      <c r="D338" s="15">
        <v>21294515</v>
      </c>
      <c r="E338" s="1" t="s">
        <v>2504</v>
      </c>
      <c r="F338" s="18">
        <v>2497405</v>
      </c>
      <c r="G338" s="9">
        <v>45650</v>
      </c>
      <c r="H338" s="1" t="s">
        <v>2519</v>
      </c>
      <c r="I338" s="12" t="s">
        <v>2511</v>
      </c>
      <c r="J338" s="6">
        <v>375942</v>
      </c>
      <c r="K338" s="3">
        <v>15375942</v>
      </c>
    </row>
    <row r="339" spans="1:11" x14ac:dyDescent="0.25">
      <c r="A339" s="1" t="s">
        <v>2636</v>
      </c>
      <c r="B339" s="1" t="s">
        <v>1517</v>
      </c>
      <c r="C339" s="5">
        <v>4</v>
      </c>
      <c r="D339" s="14">
        <v>34349079</v>
      </c>
      <c r="E339" s="1" t="s">
        <v>2504</v>
      </c>
      <c r="F339" s="17">
        <v>4289259</v>
      </c>
      <c r="G339" s="8">
        <v>45726</v>
      </c>
      <c r="H339" s="1" t="s">
        <v>1519</v>
      </c>
      <c r="I339" s="11" t="s">
        <v>1521</v>
      </c>
      <c r="J339" s="6">
        <v>601196</v>
      </c>
      <c r="K339" s="3">
        <v>15601196</v>
      </c>
    </row>
    <row r="340" spans="1:11" x14ac:dyDescent="0.25">
      <c r="A340" s="1" t="s">
        <v>1743</v>
      </c>
      <c r="B340" s="1" t="s">
        <v>1527</v>
      </c>
      <c r="C340" s="5">
        <v>5</v>
      </c>
      <c r="D340" s="15">
        <v>29498866</v>
      </c>
      <c r="E340" s="1" t="s">
        <v>1538</v>
      </c>
      <c r="F340" s="18">
        <v>5118186</v>
      </c>
      <c r="G340" s="9">
        <v>45534</v>
      </c>
      <c r="H340" s="1" t="s">
        <v>1516</v>
      </c>
      <c r="I340" s="12" t="s">
        <v>1512</v>
      </c>
      <c r="J340" s="6">
        <v>487614</v>
      </c>
      <c r="K340" s="3">
        <v>15487614</v>
      </c>
    </row>
    <row r="341" spans="1:11" x14ac:dyDescent="0.25">
      <c r="A341" s="1" t="s">
        <v>1744</v>
      </c>
      <c r="B341" s="1" t="s">
        <v>1545</v>
      </c>
      <c r="C341" s="5">
        <v>5</v>
      </c>
      <c r="D341" s="14">
        <v>42793486</v>
      </c>
      <c r="E341" s="1" t="s">
        <v>1538</v>
      </c>
      <c r="F341" s="17">
        <v>4646921</v>
      </c>
      <c r="G341" s="8">
        <v>45554</v>
      </c>
      <c r="H341" s="1" t="s">
        <v>2512</v>
      </c>
      <c r="I341" s="11" t="s">
        <v>2511</v>
      </c>
      <c r="J341" s="6">
        <v>762931</v>
      </c>
      <c r="K341" s="3">
        <v>15762931</v>
      </c>
    </row>
    <row r="342" spans="1:11" x14ac:dyDescent="0.25">
      <c r="A342" s="1" t="s">
        <v>1745</v>
      </c>
      <c r="B342" s="1" t="s">
        <v>1523</v>
      </c>
      <c r="C342" s="5">
        <v>2</v>
      </c>
      <c r="D342" s="15">
        <v>42745784</v>
      </c>
      <c r="E342" s="1" t="s">
        <v>2504</v>
      </c>
      <c r="F342" s="18">
        <v>864518</v>
      </c>
      <c r="G342" s="9">
        <v>45725</v>
      </c>
      <c r="H342" s="1" t="s">
        <v>1513</v>
      </c>
      <c r="I342" s="12" t="s">
        <v>2511</v>
      </c>
      <c r="J342" s="6">
        <v>837625</v>
      </c>
      <c r="K342" s="3">
        <v>15837625</v>
      </c>
    </row>
    <row r="343" spans="1:11" x14ac:dyDescent="0.25">
      <c r="A343" s="1" t="s">
        <v>1746</v>
      </c>
      <c r="B343" s="1" t="s">
        <v>1525</v>
      </c>
      <c r="C343" s="5">
        <v>4</v>
      </c>
      <c r="D343" s="14">
        <v>1431926</v>
      </c>
      <c r="E343" s="1" t="s">
        <v>2504</v>
      </c>
      <c r="F343" s="17">
        <v>74326</v>
      </c>
      <c r="G343" s="8">
        <v>45792</v>
      </c>
      <c r="H343" s="1" t="s">
        <v>2510</v>
      </c>
      <c r="I343" s="11" t="s">
        <v>1518</v>
      </c>
      <c r="J343" s="6">
        <v>27152</v>
      </c>
      <c r="K343" s="3">
        <v>1527152</v>
      </c>
    </row>
    <row r="344" spans="1:11" x14ac:dyDescent="0.25">
      <c r="A344" s="1" t="s">
        <v>2637</v>
      </c>
      <c r="B344" s="1" t="s">
        <v>1517</v>
      </c>
      <c r="C344" s="5">
        <v>2</v>
      </c>
      <c r="D344" s="15">
        <v>37014723</v>
      </c>
      <c r="E344" s="1" t="s">
        <v>1515</v>
      </c>
      <c r="F344" s="18">
        <v>1823139</v>
      </c>
      <c r="G344" s="9">
        <v>45520</v>
      </c>
      <c r="H344" s="1" t="s">
        <v>1516</v>
      </c>
      <c r="I344" s="12" t="s">
        <v>2507</v>
      </c>
      <c r="J344" s="6">
        <v>703832</v>
      </c>
      <c r="K344" s="3">
        <v>15703832</v>
      </c>
    </row>
    <row r="345" spans="1:11" x14ac:dyDescent="0.25">
      <c r="A345" s="1" t="s">
        <v>2638</v>
      </c>
      <c r="B345" s="1" t="s">
        <v>1532</v>
      </c>
      <c r="C345" s="5">
        <v>2</v>
      </c>
      <c r="D345" s="14">
        <v>38873262</v>
      </c>
      <c r="E345" s="1" t="s">
        <v>2504</v>
      </c>
      <c r="F345" s="17">
        <v>9332121</v>
      </c>
      <c r="G345" s="8">
        <v>45718</v>
      </c>
      <c r="H345" s="1" t="s">
        <v>2519</v>
      </c>
      <c r="I345" s="11" t="s">
        <v>1518</v>
      </c>
      <c r="J345" s="6">
        <v>590823</v>
      </c>
      <c r="K345" s="3">
        <v>15590823</v>
      </c>
    </row>
    <row r="346" spans="1:11" x14ac:dyDescent="0.25">
      <c r="A346" s="1" t="s">
        <v>1747</v>
      </c>
      <c r="B346" s="1" t="s">
        <v>1545</v>
      </c>
      <c r="C346" s="5">
        <v>1</v>
      </c>
      <c r="D346" s="15">
        <v>5064138</v>
      </c>
      <c r="E346" s="1" t="s">
        <v>1538</v>
      </c>
      <c r="F346" s="18">
        <v>8721</v>
      </c>
      <c r="G346" s="9">
        <v>45502</v>
      </c>
      <c r="H346" s="1" t="s">
        <v>1543</v>
      </c>
      <c r="I346" s="12" t="s">
        <v>1518</v>
      </c>
      <c r="J346" s="6">
        <v>99539</v>
      </c>
      <c r="K346" s="3">
        <v>15099539</v>
      </c>
    </row>
    <row r="347" spans="1:11" x14ac:dyDescent="0.25">
      <c r="A347" s="1" t="s">
        <v>1748</v>
      </c>
      <c r="B347" s="1" t="s">
        <v>1532</v>
      </c>
      <c r="C347" s="5">
        <v>1</v>
      </c>
      <c r="D347" s="14">
        <v>4419467</v>
      </c>
      <c r="E347" s="1" t="s">
        <v>1515</v>
      </c>
      <c r="F347" s="17">
        <v>8917467</v>
      </c>
      <c r="G347" s="8">
        <v>45570</v>
      </c>
      <c r="H347" s="1" t="s">
        <v>2515</v>
      </c>
      <c r="I347" s="11" t="s">
        <v>2511</v>
      </c>
      <c r="J347" s="6">
        <v>705544</v>
      </c>
      <c r="K347" s="3">
        <v>15705544</v>
      </c>
    </row>
    <row r="348" spans="1:11" x14ac:dyDescent="0.25">
      <c r="A348" s="1" t="s">
        <v>2639</v>
      </c>
      <c r="B348" s="1" t="s">
        <v>1536</v>
      </c>
      <c r="C348" s="5">
        <v>4</v>
      </c>
      <c r="D348" s="15">
        <v>45178854</v>
      </c>
      <c r="E348" s="1" t="s">
        <v>1538</v>
      </c>
      <c r="F348" s="18">
        <v>917933</v>
      </c>
      <c r="G348" s="9">
        <v>45771</v>
      </c>
      <c r="H348" s="1" t="s">
        <v>1543</v>
      </c>
      <c r="I348" s="12" t="s">
        <v>2507</v>
      </c>
      <c r="J348" s="6">
        <v>885218</v>
      </c>
      <c r="K348" s="3">
        <v>15885218</v>
      </c>
    </row>
    <row r="349" spans="1:11" x14ac:dyDescent="0.25">
      <c r="A349" s="1" t="s">
        <v>1749</v>
      </c>
      <c r="B349" s="1" t="s">
        <v>1525</v>
      </c>
      <c r="C349" s="5">
        <v>1</v>
      </c>
      <c r="D349" s="14">
        <v>22661334</v>
      </c>
      <c r="E349" s="1" t="s">
        <v>1515</v>
      </c>
      <c r="F349" s="17">
        <v>770385</v>
      </c>
      <c r="G349" s="8">
        <v>45647</v>
      </c>
      <c r="H349" s="1" t="s">
        <v>1543</v>
      </c>
      <c r="I349" s="11" t="s">
        <v>1518</v>
      </c>
      <c r="J349" s="6">
        <v>437819</v>
      </c>
      <c r="K349" s="3">
        <v>15437819</v>
      </c>
    </row>
    <row r="350" spans="1:11" x14ac:dyDescent="0.25">
      <c r="A350" s="1" t="s">
        <v>2640</v>
      </c>
      <c r="B350" s="1" t="s">
        <v>1514</v>
      </c>
      <c r="C350" s="5">
        <v>3</v>
      </c>
      <c r="D350" s="15">
        <v>19741125</v>
      </c>
      <c r="E350" s="1" t="s">
        <v>2504</v>
      </c>
      <c r="F350" s="18">
        <v>2828175</v>
      </c>
      <c r="G350" s="9">
        <v>45743</v>
      </c>
      <c r="H350" s="1" t="s">
        <v>2515</v>
      </c>
      <c r="I350" s="12" t="s">
        <v>2507</v>
      </c>
      <c r="J350" s="6">
        <v>338259</v>
      </c>
      <c r="K350" s="3">
        <v>15338259</v>
      </c>
    </row>
    <row r="351" spans="1:11" x14ac:dyDescent="0.25">
      <c r="A351" s="1" t="s">
        <v>2641</v>
      </c>
      <c r="B351" s="1" t="s">
        <v>1540</v>
      </c>
      <c r="C351" s="5">
        <v>3</v>
      </c>
      <c r="D351" s="14">
        <v>14154513</v>
      </c>
      <c r="E351" s="1" t="s">
        <v>2504</v>
      </c>
      <c r="F351" s="17">
        <v>338006</v>
      </c>
      <c r="G351" s="8">
        <v>45743</v>
      </c>
      <c r="H351" s="1" t="s">
        <v>2512</v>
      </c>
      <c r="I351" s="11" t="s">
        <v>2511</v>
      </c>
      <c r="J351" s="6">
        <v>215489</v>
      </c>
      <c r="K351" s="3">
        <v>15215489</v>
      </c>
    </row>
    <row r="352" spans="1:11" x14ac:dyDescent="0.25">
      <c r="A352" s="1" t="s">
        <v>1750</v>
      </c>
      <c r="B352" s="1" t="s">
        <v>1536</v>
      </c>
      <c r="C352" s="5">
        <v>1</v>
      </c>
      <c r="D352" s="15">
        <v>10434045</v>
      </c>
      <c r="E352" s="1" t="s">
        <v>1538</v>
      </c>
      <c r="F352" s="18">
        <v>1984611</v>
      </c>
      <c r="G352" s="9">
        <v>45547</v>
      </c>
      <c r="H352" s="1" t="s">
        <v>2519</v>
      </c>
      <c r="I352" s="12" t="s">
        <v>1512</v>
      </c>
      <c r="J352" s="6">
        <v>168989</v>
      </c>
      <c r="K352" s="3">
        <v>15168989</v>
      </c>
    </row>
    <row r="353" spans="1:11" x14ac:dyDescent="0.25">
      <c r="A353" s="1" t="s">
        <v>1751</v>
      </c>
      <c r="B353" s="1" t="s">
        <v>1517</v>
      </c>
      <c r="C353" s="5">
        <v>5</v>
      </c>
      <c r="D353" s="14">
        <v>28237278</v>
      </c>
      <c r="E353" s="1" t="s">
        <v>2504</v>
      </c>
      <c r="F353" s="17">
        <v>535198</v>
      </c>
      <c r="G353" s="8">
        <v>45549</v>
      </c>
      <c r="H353" s="1" t="s">
        <v>1543</v>
      </c>
      <c r="I353" s="11" t="s">
        <v>1521</v>
      </c>
      <c r="J353" s="6">
        <v>554042</v>
      </c>
      <c r="K353" s="3">
        <v>15554042</v>
      </c>
    </row>
    <row r="354" spans="1:11" x14ac:dyDescent="0.25">
      <c r="A354" s="1" t="s">
        <v>1752</v>
      </c>
      <c r="B354" s="1" t="s">
        <v>1517</v>
      </c>
      <c r="C354" s="5">
        <v>5</v>
      </c>
      <c r="D354" s="15">
        <v>32108851</v>
      </c>
      <c r="E354" s="1" t="s">
        <v>1538</v>
      </c>
      <c r="F354" s="18">
        <v>6062861</v>
      </c>
      <c r="G354" s="9">
        <v>45762</v>
      </c>
      <c r="H354" s="1" t="s">
        <v>2510</v>
      </c>
      <c r="I354" s="12" t="s">
        <v>2507</v>
      </c>
      <c r="J354" s="6">
        <v>52092</v>
      </c>
      <c r="K354" s="3">
        <v>1552092</v>
      </c>
    </row>
    <row r="355" spans="1:11" x14ac:dyDescent="0.25">
      <c r="A355" s="1" t="s">
        <v>2642</v>
      </c>
      <c r="B355" s="1" t="s">
        <v>1545</v>
      </c>
      <c r="C355" s="5">
        <v>1</v>
      </c>
      <c r="D355" s="14">
        <v>24237967</v>
      </c>
      <c r="E355" s="1" t="s">
        <v>1538</v>
      </c>
      <c r="F355" s="17">
        <v>522410</v>
      </c>
      <c r="G355" s="8">
        <v>45833</v>
      </c>
      <c r="H355" s="1" t="s">
        <v>1513</v>
      </c>
      <c r="I355" s="11" t="s">
        <v>1518</v>
      </c>
      <c r="J355" s="6">
        <v>380277</v>
      </c>
      <c r="K355" s="3">
        <v>15380277</v>
      </c>
    </row>
    <row r="356" spans="1:11" x14ac:dyDescent="0.25">
      <c r="A356" s="1" t="s">
        <v>1753</v>
      </c>
      <c r="B356" s="1" t="s">
        <v>1523</v>
      </c>
      <c r="C356" s="5">
        <v>2</v>
      </c>
      <c r="D356" s="15">
        <v>36095777</v>
      </c>
      <c r="E356" s="1" t="s">
        <v>2504</v>
      </c>
      <c r="F356" s="18">
        <v>355227</v>
      </c>
      <c r="G356" s="9">
        <v>45802</v>
      </c>
      <c r="H356" s="1" t="s">
        <v>2515</v>
      </c>
      <c r="I356" s="12" t="s">
        <v>1518</v>
      </c>
      <c r="J356" s="6">
        <v>65087</v>
      </c>
      <c r="K356" s="3">
        <v>1565087</v>
      </c>
    </row>
    <row r="357" spans="1:11" x14ac:dyDescent="0.25">
      <c r="A357" s="1" t="s">
        <v>1754</v>
      </c>
      <c r="B357" s="1" t="s">
        <v>1536</v>
      </c>
      <c r="C357" s="5">
        <v>3</v>
      </c>
      <c r="D357" s="14">
        <v>4313748</v>
      </c>
      <c r="E357" s="1" t="s">
        <v>1538</v>
      </c>
      <c r="F357" s="17">
        <v>4048339</v>
      </c>
      <c r="G357" s="8">
        <v>45667</v>
      </c>
      <c r="H357" s="1" t="s">
        <v>1522</v>
      </c>
      <c r="I357" s="11" t="s">
        <v>2507</v>
      </c>
      <c r="J357" s="6">
        <v>781783</v>
      </c>
      <c r="K357" s="3">
        <v>15781783</v>
      </c>
    </row>
    <row r="358" spans="1:11" x14ac:dyDescent="0.25">
      <c r="A358" s="1" t="s">
        <v>1755</v>
      </c>
      <c r="B358" s="1" t="s">
        <v>1540</v>
      </c>
      <c r="C358" s="5">
        <v>2</v>
      </c>
      <c r="D358" s="15">
        <v>40266353</v>
      </c>
      <c r="E358" s="1" t="s">
        <v>2504</v>
      </c>
      <c r="F358" s="18">
        <v>824005</v>
      </c>
      <c r="G358" s="9">
        <v>45551</v>
      </c>
      <c r="H358" s="1" t="s">
        <v>2515</v>
      </c>
      <c r="I358" s="12" t="s">
        <v>2511</v>
      </c>
      <c r="J358" s="6">
        <v>788847</v>
      </c>
      <c r="K358" s="3">
        <v>15788847</v>
      </c>
    </row>
    <row r="359" spans="1:11" x14ac:dyDescent="0.25">
      <c r="A359" s="1" t="s">
        <v>2643</v>
      </c>
      <c r="B359" s="1" t="s">
        <v>1525</v>
      </c>
      <c r="C359" s="5">
        <v>4</v>
      </c>
      <c r="D359" s="14">
        <v>15772478</v>
      </c>
      <c r="E359" s="1" t="s">
        <v>1515</v>
      </c>
      <c r="F359" s="17">
        <v>77025</v>
      </c>
      <c r="G359" s="8">
        <v>45678</v>
      </c>
      <c r="H359" s="1" t="s">
        <v>2515</v>
      </c>
      <c r="I359" s="11" t="s">
        <v>1512</v>
      </c>
      <c r="J359" s="6">
        <v>300045</v>
      </c>
      <c r="K359" s="3">
        <v>15300045</v>
      </c>
    </row>
    <row r="360" spans="1:11" x14ac:dyDescent="0.25">
      <c r="A360" s="1" t="s">
        <v>1756</v>
      </c>
      <c r="B360" s="1" t="s">
        <v>1536</v>
      </c>
      <c r="C360" s="5">
        <v>3</v>
      </c>
      <c r="D360" s="15">
        <v>48556338</v>
      </c>
      <c r="E360" s="1" t="s">
        <v>1538</v>
      </c>
      <c r="F360" s="18">
        <v>11984849</v>
      </c>
      <c r="G360" s="9">
        <v>45814</v>
      </c>
      <c r="H360" s="1" t="s">
        <v>1513</v>
      </c>
      <c r="I360" s="12" t="s">
        <v>1521</v>
      </c>
      <c r="J360" s="6">
        <v>73143</v>
      </c>
      <c r="K360" s="3">
        <v>1573143</v>
      </c>
    </row>
    <row r="361" spans="1:11" x14ac:dyDescent="0.25">
      <c r="A361" s="1" t="s">
        <v>1757</v>
      </c>
      <c r="B361" s="1" t="s">
        <v>1540</v>
      </c>
      <c r="C361" s="5">
        <v>4</v>
      </c>
      <c r="D361" s="14">
        <v>44444855</v>
      </c>
      <c r="E361" s="1" t="s">
        <v>1515</v>
      </c>
      <c r="F361" s="17">
        <v>5392579</v>
      </c>
      <c r="G361" s="8">
        <v>45836</v>
      </c>
      <c r="H361" s="1" t="s">
        <v>1513</v>
      </c>
      <c r="I361" s="11" t="s">
        <v>2509</v>
      </c>
      <c r="J361" s="6">
        <v>781046</v>
      </c>
      <c r="K361" s="3">
        <v>15781046</v>
      </c>
    </row>
    <row r="362" spans="1:11" x14ac:dyDescent="0.25">
      <c r="A362" s="1" t="s">
        <v>1758</v>
      </c>
      <c r="B362" s="1" t="s">
        <v>1527</v>
      </c>
      <c r="C362" s="5">
        <v>2</v>
      </c>
      <c r="D362" s="15">
        <v>3657255</v>
      </c>
      <c r="E362" s="1" t="s">
        <v>1515</v>
      </c>
      <c r="F362" s="18">
        <v>450033</v>
      </c>
      <c r="G362" s="9">
        <v>45506</v>
      </c>
      <c r="H362" s="1" t="s">
        <v>1543</v>
      </c>
      <c r="I362" s="12" t="s">
        <v>1518</v>
      </c>
      <c r="J362" s="6">
        <v>64144</v>
      </c>
      <c r="K362" s="3">
        <v>15064144</v>
      </c>
    </row>
    <row r="363" spans="1:11" x14ac:dyDescent="0.25">
      <c r="A363" s="1" t="s">
        <v>2644</v>
      </c>
      <c r="B363" s="1" t="s">
        <v>1536</v>
      </c>
      <c r="C363" s="5">
        <v>3</v>
      </c>
      <c r="D363" s="14">
        <v>49607813</v>
      </c>
      <c r="E363" s="1" t="s">
        <v>2504</v>
      </c>
      <c r="F363" s="17">
        <v>9948675</v>
      </c>
      <c r="G363" s="8">
        <v>45845</v>
      </c>
      <c r="H363" s="1" t="s">
        <v>1543</v>
      </c>
      <c r="I363" s="11" t="s">
        <v>1521</v>
      </c>
      <c r="J363" s="6">
        <v>793183</v>
      </c>
      <c r="K363" s="3">
        <v>15793183</v>
      </c>
    </row>
    <row r="364" spans="1:11" x14ac:dyDescent="0.25">
      <c r="A364" s="1" t="s">
        <v>1759</v>
      </c>
      <c r="B364" s="1" t="s">
        <v>1514</v>
      </c>
      <c r="C364" s="5">
        <v>2</v>
      </c>
      <c r="D364" s="15">
        <v>13177628</v>
      </c>
      <c r="E364" s="1" t="s">
        <v>1515</v>
      </c>
      <c r="F364" s="18">
        <v>1835779</v>
      </c>
      <c r="G364" s="9">
        <v>45824</v>
      </c>
      <c r="H364" s="1" t="s">
        <v>2519</v>
      </c>
      <c r="I364" s="12" t="s">
        <v>2511</v>
      </c>
      <c r="J364" s="6">
        <v>226837</v>
      </c>
      <c r="K364" s="3">
        <v>15226837</v>
      </c>
    </row>
    <row r="365" spans="1:11" x14ac:dyDescent="0.25">
      <c r="A365" s="1" t="s">
        <v>1760</v>
      </c>
      <c r="B365" s="1" t="s">
        <v>1517</v>
      </c>
      <c r="C365" s="5">
        <v>3</v>
      </c>
      <c r="D365" s="14">
        <v>5572789</v>
      </c>
      <c r="E365" s="1" t="s">
        <v>1515</v>
      </c>
      <c r="F365" s="17">
        <v>672934</v>
      </c>
      <c r="G365" s="8">
        <v>45708</v>
      </c>
      <c r="H365" s="1" t="s">
        <v>1522</v>
      </c>
      <c r="I365" s="11" t="s">
        <v>1512</v>
      </c>
      <c r="J365" s="6">
        <v>97997</v>
      </c>
      <c r="K365" s="3">
        <v>15097997</v>
      </c>
    </row>
    <row r="366" spans="1:11" x14ac:dyDescent="0.25">
      <c r="A366" s="1" t="s">
        <v>2645</v>
      </c>
      <c r="B366" s="1" t="s">
        <v>1525</v>
      </c>
      <c r="C366" s="5">
        <v>4</v>
      </c>
      <c r="D366" s="15">
        <v>3590680</v>
      </c>
      <c r="E366" s="1" t="s">
        <v>1515</v>
      </c>
      <c r="F366" s="18">
        <v>557282</v>
      </c>
      <c r="G366" s="9">
        <v>45597</v>
      </c>
      <c r="H366" s="1" t="s">
        <v>2512</v>
      </c>
      <c r="I366" s="12" t="s">
        <v>1518</v>
      </c>
      <c r="J366" s="6">
        <v>70699</v>
      </c>
      <c r="K366" s="3">
        <v>1570699</v>
      </c>
    </row>
    <row r="367" spans="1:11" x14ac:dyDescent="0.25">
      <c r="A367" s="1" t="s">
        <v>2646</v>
      </c>
      <c r="B367" s="1" t="s">
        <v>1536</v>
      </c>
      <c r="C367" s="5">
        <v>4</v>
      </c>
      <c r="D367" s="14">
        <v>24028176</v>
      </c>
      <c r="E367" s="1" t="s">
        <v>2504</v>
      </c>
      <c r="F367" s="17">
        <v>233362</v>
      </c>
      <c r="G367" s="8">
        <v>45744</v>
      </c>
      <c r="H367" s="1" t="s">
        <v>1522</v>
      </c>
      <c r="I367" s="11" t="s">
        <v>2507</v>
      </c>
      <c r="J367" s="6">
        <v>433891</v>
      </c>
      <c r="K367" s="3">
        <v>15433891</v>
      </c>
    </row>
    <row r="368" spans="1:11" x14ac:dyDescent="0.25">
      <c r="A368" s="1" t="s">
        <v>2647</v>
      </c>
      <c r="B368" s="1" t="s">
        <v>1534</v>
      </c>
      <c r="C368" s="5">
        <v>1</v>
      </c>
      <c r="D368" s="15">
        <v>37911796</v>
      </c>
      <c r="E368" s="1" t="s">
        <v>1515</v>
      </c>
      <c r="F368" s="18">
        <v>2100157</v>
      </c>
      <c r="G368" s="9">
        <v>45590</v>
      </c>
      <c r="H368" s="1" t="s">
        <v>2512</v>
      </c>
      <c r="I368" s="12" t="s">
        <v>1518</v>
      </c>
      <c r="J368" s="6">
        <v>716233</v>
      </c>
      <c r="K368" s="3">
        <v>15716233</v>
      </c>
    </row>
    <row r="369" spans="1:11" x14ac:dyDescent="0.25">
      <c r="A369" s="1" t="s">
        <v>2648</v>
      </c>
      <c r="B369" s="1" t="s">
        <v>1523</v>
      </c>
      <c r="C369" s="5">
        <v>3</v>
      </c>
      <c r="D369" s="14">
        <v>10438933</v>
      </c>
      <c r="E369" s="1" t="s">
        <v>1538</v>
      </c>
      <c r="F369" s="17">
        <v>2071698</v>
      </c>
      <c r="G369" s="8">
        <v>45742</v>
      </c>
      <c r="H369" s="1" t="s">
        <v>2508</v>
      </c>
      <c r="I369" s="11" t="s">
        <v>1521</v>
      </c>
      <c r="J369" s="6">
        <v>167345</v>
      </c>
      <c r="K369" s="3">
        <v>15167345</v>
      </c>
    </row>
    <row r="370" spans="1:11" x14ac:dyDescent="0.25">
      <c r="A370" s="1" t="s">
        <v>1761</v>
      </c>
      <c r="B370" s="1" t="s">
        <v>1527</v>
      </c>
      <c r="C370" s="5">
        <v>1</v>
      </c>
      <c r="D370" s="15">
        <v>42869338</v>
      </c>
      <c r="E370" s="1" t="s">
        <v>2504</v>
      </c>
      <c r="F370" s="18">
        <v>5640977</v>
      </c>
      <c r="G370" s="9">
        <v>45621</v>
      </c>
      <c r="H370" s="1" t="s">
        <v>2519</v>
      </c>
      <c r="I370" s="12" t="s">
        <v>2511</v>
      </c>
      <c r="J370" s="6">
        <v>744567</v>
      </c>
      <c r="K370" s="3">
        <v>15744567</v>
      </c>
    </row>
    <row r="371" spans="1:11" x14ac:dyDescent="0.25">
      <c r="A371" s="1" t="s">
        <v>2649</v>
      </c>
      <c r="B371" s="1" t="s">
        <v>1532</v>
      </c>
      <c r="C371" s="5">
        <v>5</v>
      </c>
      <c r="D371" s="14">
        <v>18179953</v>
      </c>
      <c r="E371" s="1" t="s">
        <v>1515</v>
      </c>
      <c r="F371" s="17">
        <v>3669728</v>
      </c>
      <c r="G371" s="8">
        <v>45660</v>
      </c>
      <c r="H371" s="1" t="s">
        <v>1543</v>
      </c>
      <c r="I371" s="11" t="s">
        <v>1521</v>
      </c>
      <c r="J371" s="6">
        <v>290205</v>
      </c>
      <c r="K371" s="3">
        <v>15290205</v>
      </c>
    </row>
    <row r="372" spans="1:11" x14ac:dyDescent="0.25">
      <c r="A372" s="1" t="s">
        <v>2650</v>
      </c>
      <c r="B372" s="1" t="s">
        <v>1545</v>
      </c>
      <c r="C372" s="5">
        <v>1</v>
      </c>
      <c r="D372" s="15">
        <v>41360963</v>
      </c>
      <c r="E372" s="1" t="s">
        <v>1515</v>
      </c>
      <c r="F372" s="18">
        <v>2975793</v>
      </c>
      <c r="G372" s="9">
        <v>45819</v>
      </c>
      <c r="H372" s="1" t="s">
        <v>2510</v>
      </c>
      <c r="I372" s="12" t="s">
        <v>2509</v>
      </c>
      <c r="J372" s="6">
        <v>767703</v>
      </c>
      <c r="K372" s="3">
        <v>15767703</v>
      </c>
    </row>
    <row r="373" spans="1:11" x14ac:dyDescent="0.25">
      <c r="A373" s="1" t="s">
        <v>2651</v>
      </c>
      <c r="B373" s="1" t="s">
        <v>1534</v>
      </c>
      <c r="C373" s="5">
        <v>5</v>
      </c>
      <c r="D373" s="14">
        <v>4936183</v>
      </c>
      <c r="E373" s="1" t="s">
        <v>1515</v>
      </c>
      <c r="F373" s="17">
        <v>1046785</v>
      </c>
      <c r="G373" s="8">
        <v>45596</v>
      </c>
      <c r="H373" s="1" t="s">
        <v>1519</v>
      </c>
      <c r="I373" s="11" t="s">
        <v>1518</v>
      </c>
      <c r="J373" s="6">
        <v>77788</v>
      </c>
      <c r="K373" s="3">
        <v>15077788</v>
      </c>
    </row>
    <row r="374" spans="1:11" x14ac:dyDescent="0.25">
      <c r="A374" s="1" t="s">
        <v>1762</v>
      </c>
      <c r="B374" s="1" t="s">
        <v>1536</v>
      </c>
      <c r="C374" s="5">
        <v>5</v>
      </c>
      <c r="D374" s="15">
        <v>17260041</v>
      </c>
      <c r="E374" s="1" t="s">
        <v>1515</v>
      </c>
      <c r="F374" s="18">
        <v>297367</v>
      </c>
      <c r="G374" s="9">
        <v>45607</v>
      </c>
      <c r="H374" s="1" t="s">
        <v>2519</v>
      </c>
      <c r="I374" s="12" t="s">
        <v>1521</v>
      </c>
      <c r="J374" s="6">
        <v>285727</v>
      </c>
      <c r="K374" s="3">
        <v>15285727</v>
      </c>
    </row>
    <row r="375" spans="1:11" x14ac:dyDescent="0.25">
      <c r="A375" s="1" t="s">
        <v>1763</v>
      </c>
      <c r="B375" s="1" t="s">
        <v>1534</v>
      </c>
      <c r="C375" s="5">
        <v>1</v>
      </c>
      <c r="D375" s="14">
        <v>12817369</v>
      </c>
      <c r="E375" s="1" t="s">
        <v>1515</v>
      </c>
      <c r="F375" s="17">
        <v>2268233</v>
      </c>
      <c r="G375" s="8">
        <v>45552</v>
      </c>
      <c r="H375" s="1" t="s">
        <v>2512</v>
      </c>
      <c r="I375" s="11" t="s">
        <v>1518</v>
      </c>
      <c r="J375" s="6">
        <v>210983</v>
      </c>
      <c r="K375" s="3">
        <v>15210983</v>
      </c>
    </row>
    <row r="376" spans="1:11" x14ac:dyDescent="0.25">
      <c r="A376" s="1" t="s">
        <v>1764</v>
      </c>
      <c r="B376" s="1" t="s">
        <v>1527</v>
      </c>
      <c r="C376" s="5">
        <v>5</v>
      </c>
      <c r="D376" s="15">
        <v>29348138</v>
      </c>
      <c r="E376" s="1" t="s">
        <v>1515</v>
      </c>
      <c r="F376" s="18">
        <v>5860447</v>
      </c>
      <c r="G376" s="9">
        <v>45685</v>
      </c>
      <c r="H376" s="1" t="s">
        <v>2512</v>
      </c>
      <c r="I376" s="12" t="s">
        <v>2509</v>
      </c>
      <c r="J376" s="6">
        <v>469754</v>
      </c>
      <c r="K376" s="3">
        <v>15469754</v>
      </c>
    </row>
    <row r="377" spans="1:11" x14ac:dyDescent="0.25">
      <c r="A377" s="1" t="s">
        <v>1765</v>
      </c>
      <c r="B377" s="1" t="s">
        <v>1527</v>
      </c>
      <c r="C377" s="5">
        <v>5</v>
      </c>
      <c r="D377" s="14">
        <v>4416279</v>
      </c>
      <c r="E377" s="1" t="s">
        <v>1538</v>
      </c>
      <c r="F377" s="17">
        <v>499637</v>
      </c>
      <c r="G377" s="8">
        <v>45787</v>
      </c>
      <c r="H377" s="1" t="s">
        <v>1519</v>
      </c>
      <c r="I377" s="11" t="s">
        <v>2509</v>
      </c>
      <c r="J377" s="6">
        <v>78333</v>
      </c>
      <c r="K377" s="3">
        <v>15078333</v>
      </c>
    </row>
    <row r="378" spans="1:11" x14ac:dyDescent="0.25">
      <c r="A378" s="1" t="s">
        <v>1766</v>
      </c>
      <c r="B378" s="1" t="s">
        <v>1527</v>
      </c>
      <c r="C378" s="5">
        <v>3</v>
      </c>
      <c r="D378" s="15">
        <v>32758482</v>
      </c>
      <c r="E378" s="1" t="s">
        <v>1538</v>
      </c>
      <c r="F378" s="18">
        <v>241136</v>
      </c>
      <c r="G378" s="9">
        <v>45718</v>
      </c>
      <c r="H378" s="1" t="s">
        <v>1543</v>
      </c>
      <c r="I378" s="12" t="s">
        <v>1512</v>
      </c>
      <c r="J378" s="6">
        <v>650347</v>
      </c>
      <c r="K378" s="3">
        <v>15650347</v>
      </c>
    </row>
    <row r="379" spans="1:11" x14ac:dyDescent="0.25">
      <c r="A379" s="1" t="s">
        <v>2652</v>
      </c>
      <c r="B379" s="1" t="s">
        <v>1517</v>
      </c>
      <c r="C379" s="5">
        <v>2</v>
      </c>
      <c r="D379" s="14">
        <v>34756553</v>
      </c>
      <c r="E379" s="1" t="s">
        <v>2504</v>
      </c>
      <c r="F379" s="17">
        <v>344468</v>
      </c>
      <c r="G379" s="8">
        <v>45511</v>
      </c>
      <c r="H379" s="1" t="s">
        <v>2519</v>
      </c>
      <c r="I379" s="11" t="s">
        <v>2507</v>
      </c>
      <c r="J379" s="6">
        <v>688242</v>
      </c>
      <c r="K379" s="3">
        <v>15688242</v>
      </c>
    </row>
    <row r="380" spans="1:11" x14ac:dyDescent="0.25">
      <c r="A380" s="1" t="s">
        <v>1767</v>
      </c>
      <c r="B380" s="1" t="s">
        <v>1532</v>
      </c>
      <c r="C380" s="5">
        <v>3</v>
      </c>
      <c r="D380" s="15">
        <v>43266876</v>
      </c>
      <c r="E380" s="1" t="s">
        <v>2504</v>
      </c>
      <c r="F380" s="18">
        <v>9153368</v>
      </c>
      <c r="G380" s="9">
        <v>45814</v>
      </c>
      <c r="H380" s="1" t="s">
        <v>1519</v>
      </c>
      <c r="I380" s="12" t="s">
        <v>2509</v>
      </c>
      <c r="J380" s="6">
        <v>68227</v>
      </c>
      <c r="K380" s="3">
        <v>1568227</v>
      </c>
    </row>
    <row r="381" spans="1:11" x14ac:dyDescent="0.25">
      <c r="A381" s="1" t="s">
        <v>1768</v>
      </c>
      <c r="B381" s="1" t="s">
        <v>1545</v>
      </c>
      <c r="C381" s="5">
        <v>5</v>
      </c>
      <c r="D381" s="14">
        <v>29472286</v>
      </c>
      <c r="E381" s="1" t="s">
        <v>1538</v>
      </c>
      <c r="F381" s="17">
        <v>647971</v>
      </c>
      <c r="G381" s="8">
        <v>45554</v>
      </c>
      <c r="H381" s="1" t="s">
        <v>2512</v>
      </c>
      <c r="I381" s="11" t="s">
        <v>2509</v>
      </c>
      <c r="J381" s="6">
        <v>459852</v>
      </c>
      <c r="K381" s="3">
        <v>15459852</v>
      </c>
    </row>
    <row r="382" spans="1:11" x14ac:dyDescent="0.25">
      <c r="A382" s="1" t="s">
        <v>2653</v>
      </c>
      <c r="B382" s="1" t="s">
        <v>1514</v>
      </c>
      <c r="C382" s="5">
        <v>2</v>
      </c>
      <c r="D382" s="15">
        <v>41519932</v>
      </c>
      <c r="E382" s="1" t="s">
        <v>2504</v>
      </c>
      <c r="F382" s="18">
        <v>5608214</v>
      </c>
      <c r="G382" s="9">
        <v>45588</v>
      </c>
      <c r="H382" s="1" t="s">
        <v>2508</v>
      </c>
      <c r="I382" s="12" t="s">
        <v>2511</v>
      </c>
      <c r="J382" s="6">
        <v>718234</v>
      </c>
      <c r="K382" s="3">
        <v>15718234</v>
      </c>
    </row>
    <row r="383" spans="1:11" x14ac:dyDescent="0.25">
      <c r="A383" s="1" t="s">
        <v>1769</v>
      </c>
      <c r="B383" s="1" t="s">
        <v>1532</v>
      </c>
      <c r="C383" s="5">
        <v>1</v>
      </c>
      <c r="D383" s="14">
        <v>33845206</v>
      </c>
      <c r="E383" s="1" t="s">
        <v>1515</v>
      </c>
      <c r="F383" s="17">
        <v>1694141</v>
      </c>
      <c r="G383" s="8">
        <v>45503</v>
      </c>
      <c r="H383" s="1" t="s">
        <v>1543</v>
      </c>
      <c r="I383" s="11" t="s">
        <v>2509</v>
      </c>
      <c r="J383" s="6">
        <v>643021</v>
      </c>
      <c r="K383" s="3">
        <v>15643021</v>
      </c>
    </row>
    <row r="384" spans="1:11" x14ac:dyDescent="0.25">
      <c r="A384" s="1" t="s">
        <v>1770</v>
      </c>
      <c r="B384" s="1" t="s">
        <v>1536</v>
      </c>
      <c r="C384" s="5">
        <v>3</v>
      </c>
      <c r="D384" s="15">
        <v>35166362</v>
      </c>
      <c r="E384" s="1" t="s">
        <v>2504</v>
      </c>
      <c r="F384" s="18">
        <v>7571002</v>
      </c>
      <c r="G384" s="9">
        <v>45517</v>
      </c>
      <c r="H384" s="1" t="s">
        <v>1543</v>
      </c>
      <c r="I384" s="12" t="s">
        <v>1521</v>
      </c>
      <c r="J384" s="6">
        <v>551907</v>
      </c>
      <c r="K384" s="3">
        <v>15551907</v>
      </c>
    </row>
    <row r="385" spans="1:11" x14ac:dyDescent="0.25">
      <c r="A385" s="1" t="s">
        <v>1771</v>
      </c>
      <c r="B385" s="1" t="s">
        <v>1532</v>
      </c>
      <c r="C385" s="5">
        <v>3</v>
      </c>
      <c r="D385" s="14">
        <v>41030907</v>
      </c>
      <c r="E385" s="1" t="s">
        <v>2504</v>
      </c>
      <c r="F385" s="17">
        <v>818695</v>
      </c>
      <c r="G385" s="8">
        <v>45621</v>
      </c>
      <c r="H385" s="1" t="s">
        <v>2508</v>
      </c>
      <c r="I385" s="11" t="s">
        <v>1521</v>
      </c>
      <c r="J385" s="6">
        <v>804244</v>
      </c>
      <c r="K385" s="3">
        <v>15804244</v>
      </c>
    </row>
    <row r="386" spans="1:11" x14ac:dyDescent="0.25">
      <c r="A386" s="1" t="s">
        <v>2654</v>
      </c>
      <c r="B386" s="1" t="s">
        <v>1545</v>
      </c>
      <c r="C386" s="5">
        <v>5</v>
      </c>
      <c r="D386" s="15">
        <v>6670172</v>
      </c>
      <c r="E386" s="1" t="s">
        <v>2504</v>
      </c>
      <c r="F386" s="18">
        <v>516124</v>
      </c>
      <c r="G386" s="9">
        <v>45750</v>
      </c>
      <c r="H386" s="1" t="s">
        <v>2515</v>
      </c>
      <c r="I386" s="12" t="s">
        <v>2509</v>
      </c>
      <c r="J386" s="6">
        <v>123081</v>
      </c>
      <c r="K386" s="3">
        <v>15123081</v>
      </c>
    </row>
    <row r="387" spans="1:11" x14ac:dyDescent="0.25">
      <c r="A387" s="1" t="s">
        <v>1772</v>
      </c>
      <c r="B387" s="1" t="s">
        <v>1532</v>
      </c>
      <c r="C387" s="5">
        <v>2</v>
      </c>
      <c r="D387" s="14">
        <v>27309709</v>
      </c>
      <c r="E387" s="1" t="s">
        <v>1515</v>
      </c>
      <c r="F387" s="17">
        <v>214558</v>
      </c>
      <c r="G387" s="8">
        <v>45705</v>
      </c>
      <c r="H387" s="1" t="s">
        <v>1519</v>
      </c>
      <c r="I387" s="11" t="s">
        <v>1518</v>
      </c>
      <c r="J387" s="6">
        <v>503283</v>
      </c>
      <c r="K387" s="3">
        <v>15503283</v>
      </c>
    </row>
    <row r="388" spans="1:11" x14ac:dyDescent="0.25">
      <c r="A388" s="1" t="s">
        <v>1773</v>
      </c>
      <c r="B388" s="1" t="s">
        <v>1545</v>
      </c>
      <c r="C388" s="5">
        <v>5</v>
      </c>
      <c r="D388" s="15">
        <v>42756256</v>
      </c>
      <c r="E388" s="1" t="s">
        <v>1538</v>
      </c>
      <c r="F388" s="18">
        <v>8561123</v>
      </c>
      <c r="G388" s="9">
        <v>45786</v>
      </c>
      <c r="H388" s="1" t="s">
        <v>1519</v>
      </c>
      <c r="I388" s="12" t="s">
        <v>1518</v>
      </c>
      <c r="J388" s="6">
        <v>683903</v>
      </c>
      <c r="K388" s="3">
        <v>15683903</v>
      </c>
    </row>
    <row r="389" spans="1:11" x14ac:dyDescent="0.25">
      <c r="A389" s="1" t="s">
        <v>2655</v>
      </c>
      <c r="B389" s="1" t="s">
        <v>1527</v>
      </c>
      <c r="C389" s="5">
        <v>3</v>
      </c>
      <c r="D389" s="14">
        <v>48914955</v>
      </c>
      <c r="E389" s="1" t="s">
        <v>1538</v>
      </c>
      <c r="F389" s="17">
        <v>106891</v>
      </c>
      <c r="G389" s="8">
        <v>45786</v>
      </c>
      <c r="H389" s="1" t="s">
        <v>2519</v>
      </c>
      <c r="I389" s="11" t="s">
        <v>1518</v>
      </c>
      <c r="J389" s="6">
        <v>956921</v>
      </c>
      <c r="K389" s="3">
        <v>15956921</v>
      </c>
    </row>
    <row r="390" spans="1:11" x14ac:dyDescent="0.25">
      <c r="A390" s="1" t="s">
        <v>1774</v>
      </c>
      <c r="B390" s="1" t="s">
        <v>1536</v>
      </c>
      <c r="C390" s="5">
        <v>4</v>
      </c>
      <c r="D390" s="15">
        <v>31091381</v>
      </c>
      <c r="E390" s="1" t="s">
        <v>2504</v>
      </c>
      <c r="F390" s="18">
        <v>2646236</v>
      </c>
      <c r="G390" s="9">
        <v>45618</v>
      </c>
      <c r="H390" s="1" t="s">
        <v>2519</v>
      </c>
      <c r="I390" s="12" t="s">
        <v>1518</v>
      </c>
      <c r="J390" s="6">
        <v>568903</v>
      </c>
      <c r="K390" s="3">
        <v>15568903</v>
      </c>
    </row>
    <row r="391" spans="1:11" x14ac:dyDescent="0.25">
      <c r="A391" s="1" t="s">
        <v>2656</v>
      </c>
      <c r="B391" s="1" t="s">
        <v>1517</v>
      </c>
      <c r="C391" s="5">
        <v>2</v>
      </c>
      <c r="D391" s="14">
        <v>7516094</v>
      </c>
      <c r="E391" s="1" t="s">
        <v>1538</v>
      </c>
      <c r="F391" s="17">
        <v>60596</v>
      </c>
      <c r="G391" s="8">
        <v>45746</v>
      </c>
      <c r="H391" s="1" t="s">
        <v>2508</v>
      </c>
      <c r="I391" s="11" t="s">
        <v>2507</v>
      </c>
      <c r="J391" s="6">
        <v>14911</v>
      </c>
      <c r="K391" s="3">
        <v>1514911</v>
      </c>
    </row>
    <row r="392" spans="1:11" x14ac:dyDescent="0.25">
      <c r="A392" s="1" t="s">
        <v>1775</v>
      </c>
      <c r="B392" s="1" t="s">
        <v>1514</v>
      </c>
      <c r="C392" s="5">
        <v>5</v>
      </c>
      <c r="D392" s="15">
        <v>33263155</v>
      </c>
      <c r="E392" s="1" t="s">
        <v>2504</v>
      </c>
      <c r="F392" s="18">
        <v>5461741</v>
      </c>
      <c r="G392" s="9">
        <v>45779</v>
      </c>
      <c r="H392" s="1" t="s">
        <v>2519</v>
      </c>
      <c r="I392" s="12" t="s">
        <v>2511</v>
      </c>
      <c r="J392" s="6">
        <v>556028</v>
      </c>
      <c r="K392" s="3">
        <v>15556028</v>
      </c>
    </row>
    <row r="393" spans="1:11" x14ac:dyDescent="0.25">
      <c r="A393" s="1" t="s">
        <v>1776</v>
      </c>
      <c r="B393" s="1" t="s">
        <v>1540</v>
      </c>
      <c r="C393" s="5">
        <v>4</v>
      </c>
      <c r="D393" s="14">
        <v>35847459</v>
      </c>
      <c r="E393" s="1" t="s">
        <v>2504</v>
      </c>
      <c r="F393" s="17">
        <v>8719571</v>
      </c>
      <c r="G393" s="8">
        <v>45663</v>
      </c>
      <c r="H393" s="1" t="s">
        <v>2510</v>
      </c>
      <c r="I393" s="11" t="s">
        <v>2511</v>
      </c>
      <c r="J393" s="6">
        <v>542558</v>
      </c>
      <c r="K393" s="3">
        <v>15542558</v>
      </c>
    </row>
    <row r="394" spans="1:11" x14ac:dyDescent="0.25">
      <c r="A394" s="1" t="s">
        <v>2657</v>
      </c>
      <c r="B394" s="1" t="s">
        <v>1523</v>
      </c>
      <c r="C394" s="5">
        <v>3</v>
      </c>
      <c r="D394" s="15">
        <v>1481726</v>
      </c>
      <c r="E394" s="1" t="s">
        <v>1538</v>
      </c>
      <c r="F394" s="18">
        <v>1170631</v>
      </c>
      <c r="G394" s="9">
        <v>45768</v>
      </c>
      <c r="H394" s="1" t="s">
        <v>2519</v>
      </c>
      <c r="I394" s="12" t="s">
        <v>2511</v>
      </c>
      <c r="J394" s="6">
        <v>272933</v>
      </c>
      <c r="K394" s="3">
        <v>15272933</v>
      </c>
    </row>
    <row r="395" spans="1:11" x14ac:dyDescent="0.25">
      <c r="A395" s="1" t="s">
        <v>2658</v>
      </c>
      <c r="B395" s="1" t="s">
        <v>1525</v>
      </c>
      <c r="C395" s="5">
        <v>3</v>
      </c>
      <c r="D395" s="14">
        <v>963263</v>
      </c>
      <c r="E395" s="1" t="s">
        <v>1538</v>
      </c>
      <c r="F395" s="17">
        <v>272198</v>
      </c>
      <c r="G395" s="8">
        <v>45756</v>
      </c>
      <c r="H395" s="1" t="s">
        <v>1522</v>
      </c>
      <c r="I395" s="11" t="s">
        <v>1512</v>
      </c>
      <c r="J395" s="6">
        <v>187209</v>
      </c>
      <c r="K395" s="3">
        <v>15187209</v>
      </c>
    </row>
    <row r="396" spans="1:11" x14ac:dyDescent="0.25">
      <c r="A396" s="1" t="s">
        <v>2659</v>
      </c>
      <c r="B396" s="1" t="s">
        <v>1536</v>
      </c>
      <c r="C396" s="5">
        <v>4</v>
      </c>
      <c r="D396" s="15">
        <v>3600591</v>
      </c>
      <c r="E396" s="1" t="s">
        <v>1515</v>
      </c>
      <c r="F396" s="18">
        <v>411815</v>
      </c>
      <c r="G396" s="9">
        <v>45829</v>
      </c>
      <c r="H396" s="1" t="s">
        <v>1519</v>
      </c>
      <c r="I396" s="12" t="s">
        <v>1518</v>
      </c>
      <c r="J396" s="6">
        <v>63776</v>
      </c>
      <c r="K396" s="3">
        <v>15063776</v>
      </c>
    </row>
    <row r="397" spans="1:11" x14ac:dyDescent="0.25">
      <c r="A397" s="1" t="s">
        <v>1777</v>
      </c>
      <c r="B397" s="1" t="s">
        <v>1536</v>
      </c>
      <c r="C397" s="5">
        <v>3</v>
      </c>
      <c r="D397" s="14">
        <v>9246519</v>
      </c>
      <c r="E397" s="1" t="s">
        <v>2504</v>
      </c>
      <c r="F397" s="17">
        <v>1124049</v>
      </c>
      <c r="G397" s="8">
        <v>45758</v>
      </c>
      <c r="H397" s="1" t="s">
        <v>2510</v>
      </c>
      <c r="I397" s="11" t="s">
        <v>1512</v>
      </c>
      <c r="J397" s="6">
        <v>162449</v>
      </c>
      <c r="K397" s="3">
        <v>15162449</v>
      </c>
    </row>
    <row r="398" spans="1:11" x14ac:dyDescent="0.25">
      <c r="A398" s="1" t="s">
        <v>1778</v>
      </c>
      <c r="B398" s="1" t="s">
        <v>1532</v>
      </c>
      <c r="C398" s="5">
        <v>5</v>
      </c>
      <c r="D398" s="15">
        <v>35524392</v>
      </c>
      <c r="E398" s="1" t="s">
        <v>2504</v>
      </c>
      <c r="F398" s="18">
        <v>398417</v>
      </c>
      <c r="G398" s="9">
        <v>45533</v>
      </c>
      <c r="H398" s="1" t="s">
        <v>1513</v>
      </c>
      <c r="I398" s="12" t="s">
        <v>2507</v>
      </c>
      <c r="J398" s="6">
        <v>702519</v>
      </c>
      <c r="K398" s="3">
        <v>15702519</v>
      </c>
    </row>
    <row r="399" spans="1:11" x14ac:dyDescent="0.25">
      <c r="A399" s="1" t="s">
        <v>1779</v>
      </c>
      <c r="B399" s="1" t="s">
        <v>1514</v>
      </c>
      <c r="C399" s="5">
        <v>1</v>
      </c>
      <c r="D399" s="14">
        <v>14146485</v>
      </c>
      <c r="E399" s="1" t="s">
        <v>1538</v>
      </c>
      <c r="F399" s="17">
        <v>1305808</v>
      </c>
      <c r="G399" s="8">
        <v>45526</v>
      </c>
      <c r="H399" s="1" t="s">
        <v>2510</v>
      </c>
      <c r="I399" s="11" t="s">
        <v>1518</v>
      </c>
      <c r="J399" s="6">
        <v>256814</v>
      </c>
      <c r="K399" s="3">
        <v>15256814</v>
      </c>
    </row>
    <row r="400" spans="1:11" x14ac:dyDescent="0.25">
      <c r="A400" s="1" t="s">
        <v>2660</v>
      </c>
      <c r="B400" s="1" t="s">
        <v>1527</v>
      </c>
      <c r="C400" s="5">
        <v>2</v>
      </c>
      <c r="D400" s="15">
        <v>8979693</v>
      </c>
      <c r="E400" s="1" t="s">
        <v>1515</v>
      </c>
      <c r="F400" s="18">
        <v>1968096</v>
      </c>
      <c r="G400" s="9">
        <v>45811</v>
      </c>
      <c r="H400" s="1" t="s">
        <v>1543</v>
      </c>
      <c r="I400" s="12" t="s">
        <v>1512</v>
      </c>
      <c r="J400" s="6">
        <v>140232</v>
      </c>
      <c r="K400" s="3">
        <v>15140232</v>
      </c>
    </row>
    <row r="401" spans="1:11" x14ac:dyDescent="0.25">
      <c r="A401" s="1" t="s">
        <v>1780</v>
      </c>
      <c r="B401" s="1" t="s">
        <v>1536</v>
      </c>
      <c r="C401" s="5">
        <v>5</v>
      </c>
      <c r="D401" s="14">
        <v>45787304</v>
      </c>
      <c r="E401" s="1" t="s">
        <v>1515</v>
      </c>
      <c r="F401" s="17">
        <v>220420</v>
      </c>
      <c r="G401" s="8">
        <v>45827</v>
      </c>
      <c r="H401" s="1" t="s">
        <v>2510</v>
      </c>
      <c r="I401" s="11" t="s">
        <v>2511</v>
      </c>
      <c r="J401" s="6">
        <v>871662</v>
      </c>
      <c r="K401" s="3">
        <v>15871662</v>
      </c>
    </row>
    <row r="402" spans="1:11" x14ac:dyDescent="0.25">
      <c r="A402" s="1" t="s">
        <v>1781</v>
      </c>
      <c r="B402" s="1" t="s">
        <v>1532</v>
      </c>
      <c r="C402" s="5">
        <v>3</v>
      </c>
      <c r="D402" s="15">
        <v>42427233</v>
      </c>
      <c r="E402" s="1" t="s">
        <v>1538</v>
      </c>
      <c r="F402" s="18">
        <v>4065922</v>
      </c>
      <c r="G402" s="9">
        <v>45569</v>
      </c>
      <c r="H402" s="1" t="s">
        <v>1513</v>
      </c>
      <c r="I402" s="12" t="s">
        <v>2507</v>
      </c>
      <c r="J402" s="6">
        <v>767226</v>
      </c>
      <c r="K402" s="3">
        <v>15767226</v>
      </c>
    </row>
    <row r="403" spans="1:11" x14ac:dyDescent="0.25">
      <c r="A403" s="1" t="s">
        <v>1782</v>
      </c>
      <c r="B403" s="1" t="s">
        <v>1523</v>
      </c>
      <c r="C403" s="5">
        <v>3</v>
      </c>
      <c r="D403" s="14">
        <v>42268867</v>
      </c>
      <c r="E403" s="1" t="s">
        <v>2504</v>
      </c>
      <c r="F403" s="17">
        <v>8187007</v>
      </c>
      <c r="G403" s="8">
        <v>45535</v>
      </c>
      <c r="H403" s="1" t="s">
        <v>2515</v>
      </c>
      <c r="I403" s="11" t="s">
        <v>2509</v>
      </c>
      <c r="J403" s="6">
        <v>681637</v>
      </c>
      <c r="K403" s="3">
        <v>15681637</v>
      </c>
    </row>
    <row r="404" spans="1:11" x14ac:dyDescent="0.25">
      <c r="A404" s="1" t="s">
        <v>1783</v>
      </c>
      <c r="B404" s="1" t="s">
        <v>1534</v>
      </c>
      <c r="C404" s="5">
        <v>5</v>
      </c>
      <c r="D404" s="15">
        <v>26695619</v>
      </c>
      <c r="E404" s="1" t="s">
        <v>1515</v>
      </c>
      <c r="F404" s="18">
        <v>136347</v>
      </c>
      <c r="G404" s="9">
        <v>45591</v>
      </c>
      <c r="H404" s="1" t="s">
        <v>2510</v>
      </c>
      <c r="I404" s="12" t="s">
        <v>1521</v>
      </c>
      <c r="J404" s="6">
        <v>506643</v>
      </c>
      <c r="K404" s="3">
        <v>15506643</v>
      </c>
    </row>
    <row r="405" spans="1:11" x14ac:dyDescent="0.25">
      <c r="A405" s="1" t="s">
        <v>2661</v>
      </c>
      <c r="B405" s="1" t="s">
        <v>1525</v>
      </c>
      <c r="C405" s="5">
        <v>5</v>
      </c>
      <c r="D405" s="14">
        <v>18848095</v>
      </c>
      <c r="E405" s="1" t="s">
        <v>2504</v>
      </c>
      <c r="F405" s="17">
        <v>593821</v>
      </c>
      <c r="G405" s="8">
        <v>45551</v>
      </c>
      <c r="H405" s="1" t="s">
        <v>1519</v>
      </c>
      <c r="I405" s="11" t="s">
        <v>1512</v>
      </c>
      <c r="J405" s="6">
        <v>365085</v>
      </c>
      <c r="K405" s="3">
        <v>15365085</v>
      </c>
    </row>
    <row r="406" spans="1:11" x14ac:dyDescent="0.25">
      <c r="A406" s="1" t="s">
        <v>2662</v>
      </c>
      <c r="B406" s="1" t="s">
        <v>1517</v>
      </c>
      <c r="C406" s="5">
        <v>3</v>
      </c>
      <c r="D406" s="15">
        <v>32478877</v>
      </c>
      <c r="E406" s="1" t="s">
        <v>1515</v>
      </c>
      <c r="F406" s="18">
        <v>3195298</v>
      </c>
      <c r="G406" s="9">
        <v>45814</v>
      </c>
      <c r="H406" s="1" t="s">
        <v>1543</v>
      </c>
      <c r="I406" s="12" t="s">
        <v>2511</v>
      </c>
      <c r="J406" s="6">
        <v>585672</v>
      </c>
      <c r="K406" s="3">
        <v>15585672</v>
      </c>
    </row>
    <row r="407" spans="1:11" x14ac:dyDescent="0.25">
      <c r="A407" s="1" t="s">
        <v>1784</v>
      </c>
      <c r="B407" s="1" t="s">
        <v>1523</v>
      </c>
      <c r="C407" s="5">
        <v>5</v>
      </c>
      <c r="D407" s="14">
        <v>18490442</v>
      </c>
      <c r="E407" s="1" t="s">
        <v>1515</v>
      </c>
      <c r="F407" s="17">
        <v>3918728</v>
      </c>
      <c r="G407" s="8">
        <v>45704</v>
      </c>
      <c r="H407" s="1" t="s">
        <v>1543</v>
      </c>
      <c r="I407" s="11" t="s">
        <v>2507</v>
      </c>
      <c r="J407" s="6">
        <v>291434</v>
      </c>
      <c r="K407" s="3">
        <v>15291434</v>
      </c>
    </row>
    <row r="408" spans="1:11" x14ac:dyDescent="0.25">
      <c r="A408" s="1" t="s">
        <v>1785</v>
      </c>
      <c r="B408" s="1" t="s">
        <v>1532</v>
      </c>
      <c r="C408" s="5">
        <v>2</v>
      </c>
      <c r="D408" s="15">
        <v>39816575</v>
      </c>
      <c r="E408" s="1" t="s">
        <v>1515</v>
      </c>
      <c r="F408" s="18">
        <v>8502172</v>
      </c>
      <c r="G408" s="9">
        <v>45588</v>
      </c>
      <c r="H408" s="1" t="s">
        <v>1513</v>
      </c>
      <c r="I408" s="12" t="s">
        <v>1518</v>
      </c>
      <c r="J408" s="6">
        <v>626288</v>
      </c>
      <c r="K408" s="3">
        <v>15626288</v>
      </c>
    </row>
    <row r="409" spans="1:11" x14ac:dyDescent="0.25">
      <c r="A409" s="1" t="s">
        <v>1786</v>
      </c>
      <c r="B409" s="1" t="s">
        <v>1527</v>
      </c>
      <c r="C409" s="5">
        <v>5</v>
      </c>
      <c r="D409" s="14">
        <v>3250658</v>
      </c>
      <c r="E409" s="1" t="s">
        <v>2504</v>
      </c>
      <c r="F409" s="17">
        <v>775795</v>
      </c>
      <c r="G409" s="8">
        <v>45682</v>
      </c>
      <c r="H409" s="1" t="s">
        <v>1522</v>
      </c>
      <c r="I409" s="11" t="s">
        <v>1512</v>
      </c>
      <c r="J409" s="6">
        <v>49497</v>
      </c>
      <c r="K409" s="3">
        <v>15049497</v>
      </c>
    </row>
    <row r="410" spans="1:11" x14ac:dyDescent="0.25">
      <c r="A410" s="1" t="s">
        <v>2663</v>
      </c>
      <c r="B410" s="1" t="s">
        <v>1532</v>
      </c>
      <c r="C410" s="5">
        <v>4</v>
      </c>
      <c r="D410" s="15">
        <v>8472193</v>
      </c>
      <c r="E410" s="1" t="s">
        <v>1538</v>
      </c>
      <c r="F410" s="18">
        <v>412234</v>
      </c>
      <c r="G410" s="9">
        <v>45756</v>
      </c>
      <c r="H410" s="1" t="s">
        <v>1543</v>
      </c>
      <c r="I410" s="12" t="s">
        <v>1512</v>
      </c>
      <c r="J410" s="6">
        <v>161199</v>
      </c>
      <c r="K410" s="3">
        <v>15161199</v>
      </c>
    </row>
    <row r="411" spans="1:11" x14ac:dyDescent="0.25">
      <c r="A411" s="1" t="s">
        <v>1787</v>
      </c>
      <c r="B411" s="1" t="s">
        <v>1523</v>
      </c>
      <c r="C411" s="5">
        <v>2</v>
      </c>
      <c r="D411" s="14">
        <v>40388469</v>
      </c>
      <c r="E411" s="1" t="s">
        <v>1538</v>
      </c>
      <c r="F411" s="17">
        <v>5672739</v>
      </c>
      <c r="G411" s="8">
        <v>45718</v>
      </c>
      <c r="H411" s="1" t="s">
        <v>2512</v>
      </c>
      <c r="I411" s="11" t="s">
        <v>1518</v>
      </c>
      <c r="J411" s="6">
        <v>694315</v>
      </c>
      <c r="K411" s="3">
        <v>15694315</v>
      </c>
    </row>
    <row r="412" spans="1:11" x14ac:dyDescent="0.25">
      <c r="A412" s="1" t="s">
        <v>1788</v>
      </c>
      <c r="B412" s="1" t="s">
        <v>1523</v>
      </c>
      <c r="C412" s="5">
        <v>2</v>
      </c>
      <c r="D412" s="15">
        <v>1169919</v>
      </c>
      <c r="E412" s="1" t="s">
        <v>2504</v>
      </c>
      <c r="F412" s="18">
        <v>266687</v>
      </c>
      <c r="G412" s="9">
        <v>45617</v>
      </c>
      <c r="H412" s="1" t="s">
        <v>2508</v>
      </c>
      <c r="I412" s="12" t="s">
        <v>2509</v>
      </c>
      <c r="J412" s="6">
        <v>18065</v>
      </c>
      <c r="K412" s="3">
        <v>15018065</v>
      </c>
    </row>
    <row r="413" spans="1:11" x14ac:dyDescent="0.25">
      <c r="A413" s="1" t="s">
        <v>2664</v>
      </c>
      <c r="B413" s="1" t="s">
        <v>1545</v>
      </c>
      <c r="C413" s="5">
        <v>3</v>
      </c>
      <c r="D413" s="14">
        <v>33025125</v>
      </c>
      <c r="E413" s="1" t="s">
        <v>2504</v>
      </c>
      <c r="F413" s="17">
        <v>8059319</v>
      </c>
      <c r="G413" s="8">
        <v>45687</v>
      </c>
      <c r="H413" s="1" t="s">
        <v>2508</v>
      </c>
      <c r="I413" s="11" t="s">
        <v>2509</v>
      </c>
      <c r="J413" s="6">
        <v>499316</v>
      </c>
      <c r="K413" s="3">
        <v>15499316</v>
      </c>
    </row>
    <row r="414" spans="1:11" x14ac:dyDescent="0.25">
      <c r="A414" s="1" t="s">
        <v>2665</v>
      </c>
      <c r="B414" s="1" t="s">
        <v>1525</v>
      </c>
      <c r="C414" s="5">
        <v>2</v>
      </c>
      <c r="D414" s="15">
        <v>33615812</v>
      </c>
      <c r="E414" s="1" t="s">
        <v>1515</v>
      </c>
      <c r="F414" s="18">
        <v>4576993</v>
      </c>
      <c r="G414" s="9">
        <v>45738</v>
      </c>
      <c r="H414" s="1" t="s">
        <v>1543</v>
      </c>
      <c r="I414" s="12" t="s">
        <v>2507</v>
      </c>
      <c r="J414" s="6">
        <v>580776</v>
      </c>
      <c r="K414" s="3">
        <v>15580776</v>
      </c>
    </row>
    <row r="415" spans="1:11" x14ac:dyDescent="0.25">
      <c r="A415" s="1" t="s">
        <v>2666</v>
      </c>
      <c r="B415" s="1" t="s">
        <v>1532</v>
      </c>
      <c r="C415" s="5">
        <v>5</v>
      </c>
      <c r="D415" s="14">
        <v>20472418</v>
      </c>
      <c r="E415" s="1" t="s">
        <v>1538</v>
      </c>
      <c r="F415" s="17">
        <v>3351439</v>
      </c>
      <c r="G415" s="8">
        <v>45783</v>
      </c>
      <c r="H415" s="1" t="s">
        <v>2510</v>
      </c>
      <c r="I415" s="11" t="s">
        <v>1512</v>
      </c>
      <c r="J415" s="6">
        <v>34242</v>
      </c>
      <c r="K415" s="3">
        <v>1534242</v>
      </c>
    </row>
    <row r="416" spans="1:11" x14ac:dyDescent="0.25">
      <c r="A416" s="1" t="s">
        <v>1789</v>
      </c>
      <c r="B416" s="1" t="s">
        <v>1523</v>
      </c>
      <c r="C416" s="5">
        <v>1</v>
      </c>
      <c r="D416" s="15">
        <v>15652394</v>
      </c>
      <c r="E416" s="1" t="s">
        <v>1515</v>
      </c>
      <c r="F416" s="18">
        <v>2776977</v>
      </c>
      <c r="G416" s="9">
        <v>45807</v>
      </c>
      <c r="H416" s="1" t="s">
        <v>2519</v>
      </c>
      <c r="I416" s="12" t="s">
        <v>1512</v>
      </c>
      <c r="J416" s="6">
        <v>257508</v>
      </c>
      <c r="K416" s="3">
        <v>15257508</v>
      </c>
    </row>
    <row r="417" spans="1:11" x14ac:dyDescent="0.25">
      <c r="A417" s="1" t="s">
        <v>2667</v>
      </c>
      <c r="B417" s="1" t="s">
        <v>1532</v>
      </c>
      <c r="C417" s="5">
        <v>1</v>
      </c>
      <c r="D417" s="14">
        <v>4151114</v>
      </c>
      <c r="E417" s="1" t="s">
        <v>2504</v>
      </c>
      <c r="F417" s="17">
        <v>422399</v>
      </c>
      <c r="G417" s="8">
        <v>45526</v>
      </c>
      <c r="H417" s="1" t="s">
        <v>2510</v>
      </c>
      <c r="I417" s="11" t="s">
        <v>1521</v>
      </c>
      <c r="J417" s="6">
        <v>74574</v>
      </c>
      <c r="K417" s="3">
        <v>15074574</v>
      </c>
    </row>
    <row r="418" spans="1:11" x14ac:dyDescent="0.25">
      <c r="A418" s="1" t="s">
        <v>2668</v>
      </c>
      <c r="B418" s="1" t="s">
        <v>1532</v>
      </c>
      <c r="C418" s="5">
        <v>2</v>
      </c>
      <c r="D418" s="15">
        <v>28526061</v>
      </c>
      <c r="E418" s="1" t="s">
        <v>2504</v>
      </c>
      <c r="F418" s="18">
        <v>2231878</v>
      </c>
      <c r="G418" s="9">
        <v>45797</v>
      </c>
      <c r="H418" s="1" t="s">
        <v>1519</v>
      </c>
      <c r="I418" s="12" t="s">
        <v>1518</v>
      </c>
      <c r="J418" s="6">
        <v>525884</v>
      </c>
      <c r="K418" s="3">
        <v>15525884</v>
      </c>
    </row>
    <row r="419" spans="1:11" x14ac:dyDescent="0.25">
      <c r="A419" s="1" t="s">
        <v>2669</v>
      </c>
      <c r="B419" s="1" t="s">
        <v>1540</v>
      </c>
      <c r="C419" s="5">
        <v>4</v>
      </c>
      <c r="D419" s="14">
        <v>22184043</v>
      </c>
      <c r="E419" s="1" t="s">
        <v>1515</v>
      </c>
      <c r="F419" s="17">
        <v>4846909</v>
      </c>
      <c r="G419" s="8">
        <v>45574</v>
      </c>
      <c r="H419" s="1" t="s">
        <v>2512</v>
      </c>
      <c r="I419" s="11" t="s">
        <v>2511</v>
      </c>
      <c r="J419" s="6">
        <v>346743</v>
      </c>
      <c r="K419" s="3">
        <v>15346743</v>
      </c>
    </row>
    <row r="420" spans="1:11" x14ac:dyDescent="0.25">
      <c r="A420" s="1" t="s">
        <v>2670</v>
      </c>
      <c r="B420" s="1" t="s">
        <v>1545</v>
      </c>
      <c r="C420" s="5">
        <v>2</v>
      </c>
      <c r="D420" s="15">
        <v>23327058</v>
      </c>
      <c r="E420" s="1" t="s">
        <v>1515</v>
      </c>
      <c r="F420" s="18">
        <v>2691257</v>
      </c>
      <c r="G420" s="9">
        <v>45509</v>
      </c>
      <c r="H420" s="1" t="s">
        <v>2510</v>
      </c>
      <c r="I420" s="12" t="s">
        <v>1518</v>
      </c>
      <c r="J420" s="6">
        <v>412716</v>
      </c>
      <c r="K420" s="3">
        <v>15412716</v>
      </c>
    </row>
    <row r="421" spans="1:11" x14ac:dyDescent="0.25">
      <c r="A421" s="1" t="s">
        <v>2671</v>
      </c>
      <c r="B421" s="1" t="s">
        <v>1540</v>
      </c>
      <c r="C421" s="5">
        <v>5</v>
      </c>
      <c r="D421" s="14">
        <v>29785029</v>
      </c>
      <c r="E421" s="1" t="s">
        <v>1538</v>
      </c>
      <c r="F421" s="17">
        <v>7034831</v>
      </c>
      <c r="G421" s="8">
        <v>45818</v>
      </c>
      <c r="H421" s="1" t="s">
        <v>2519</v>
      </c>
      <c r="I421" s="11" t="s">
        <v>1521</v>
      </c>
      <c r="J421" s="6">
        <v>455004</v>
      </c>
      <c r="K421" s="3">
        <v>15455004</v>
      </c>
    </row>
    <row r="422" spans="1:11" x14ac:dyDescent="0.25">
      <c r="A422" s="1" t="s">
        <v>1790</v>
      </c>
      <c r="B422" s="1" t="s">
        <v>1514</v>
      </c>
      <c r="C422" s="5">
        <v>5</v>
      </c>
      <c r="D422" s="15">
        <v>40374236</v>
      </c>
      <c r="E422" s="1" t="s">
        <v>1515</v>
      </c>
      <c r="F422" s="18">
        <v>9986048</v>
      </c>
      <c r="G422" s="9">
        <v>45791</v>
      </c>
      <c r="H422" s="1" t="s">
        <v>2510</v>
      </c>
      <c r="I422" s="12" t="s">
        <v>1521</v>
      </c>
      <c r="J422" s="6">
        <v>607764</v>
      </c>
      <c r="K422" s="3">
        <v>15607764</v>
      </c>
    </row>
    <row r="423" spans="1:11" x14ac:dyDescent="0.25">
      <c r="A423" s="1" t="s">
        <v>1791</v>
      </c>
      <c r="B423" s="1" t="s">
        <v>1534</v>
      </c>
      <c r="C423" s="5">
        <v>2</v>
      </c>
      <c r="D423" s="14">
        <v>39865573</v>
      </c>
      <c r="E423" s="1" t="s">
        <v>2504</v>
      </c>
      <c r="F423" s="17">
        <v>9238597</v>
      </c>
      <c r="G423" s="8">
        <v>45738</v>
      </c>
      <c r="H423" s="1" t="s">
        <v>2508</v>
      </c>
      <c r="I423" s="11" t="s">
        <v>2511</v>
      </c>
      <c r="J423" s="6">
        <v>61254</v>
      </c>
      <c r="K423" s="3">
        <v>1561254</v>
      </c>
    </row>
    <row r="424" spans="1:11" x14ac:dyDescent="0.25">
      <c r="A424" s="1" t="s">
        <v>2672</v>
      </c>
      <c r="B424" s="1" t="s">
        <v>1540</v>
      </c>
      <c r="C424" s="5">
        <v>3</v>
      </c>
      <c r="D424" s="15">
        <v>39114794</v>
      </c>
      <c r="E424" s="1" t="s">
        <v>2504</v>
      </c>
      <c r="F424" s="18">
        <v>8196791</v>
      </c>
      <c r="G424" s="9">
        <v>45854</v>
      </c>
      <c r="H424" s="1" t="s">
        <v>2510</v>
      </c>
      <c r="I424" s="12" t="s">
        <v>1512</v>
      </c>
      <c r="J424" s="6">
        <v>61836</v>
      </c>
      <c r="K424" s="3">
        <v>1561836</v>
      </c>
    </row>
    <row r="425" spans="1:11" x14ac:dyDescent="0.25">
      <c r="A425" s="1" t="s">
        <v>1792</v>
      </c>
      <c r="B425" s="1" t="s">
        <v>1545</v>
      </c>
      <c r="C425" s="5">
        <v>5</v>
      </c>
      <c r="D425" s="14">
        <v>12981902</v>
      </c>
      <c r="E425" s="1" t="s">
        <v>1515</v>
      </c>
      <c r="F425" s="17">
        <v>1431434</v>
      </c>
      <c r="G425" s="8">
        <v>45659</v>
      </c>
      <c r="H425" s="1" t="s">
        <v>2515</v>
      </c>
      <c r="I425" s="11" t="s">
        <v>1521</v>
      </c>
      <c r="J425" s="6">
        <v>231009</v>
      </c>
      <c r="K425" s="3">
        <v>15231009</v>
      </c>
    </row>
    <row r="426" spans="1:11" x14ac:dyDescent="0.25">
      <c r="A426" s="1" t="s">
        <v>1793</v>
      </c>
      <c r="B426" s="1" t="s">
        <v>1545</v>
      </c>
      <c r="C426" s="5">
        <v>3</v>
      </c>
      <c r="D426" s="15">
        <v>19325459</v>
      </c>
      <c r="E426" s="1" t="s">
        <v>2504</v>
      </c>
      <c r="F426" s="18">
        <v>1855799</v>
      </c>
      <c r="G426" s="9">
        <v>45503</v>
      </c>
      <c r="H426" s="1" t="s">
        <v>1519</v>
      </c>
      <c r="I426" s="12" t="s">
        <v>1521</v>
      </c>
      <c r="J426" s="6">
        <v>349393</v>
      </c>
      <c r="K426" s="3">
        <v>15349393</v>
      </c>
    </row>
    <row r="427" spans="1:11" x14ac:dyDescent="0.25">
      <c r="A427" s="1" t="s">
        <v>1794</v>
      </c>
      <c r="B427" s="1" t="s">
        <v>1517</v>
      </c>
      <c r="C427" s="5">
        <v>2</v>
      </c>
      <c r="D427" s="14">
        <v>38237597</v>
      </c>
      <c r="E427" s="1" t="s">
        <v>1515</v>
      </c>
      <c r="F427" s="17">
        <v>6732789</v>
      </c>
      <c r="G427" s="8">
        <v>45591</v>
      </c>
      <c r="H427" s="1" t="s">
        <v>2508</v>
      </c>
      <c r="I427" s="11" t="s">
        <v>2509</v>
      </c>
      <c r="J427" s="6">
        <v>630096</v>
      </c>
      <c r="K427" s="3">
        <v>15630096</v>
      </c>
    </row>
    <row r="428" spans="1:11" x14ac:dyDescent="0.25">
      <c r="A428" s="1" t="s">
        <v>1795</v>
      </c>
      <c r="B428" s="1" t="s">
        <v>1525</v>
      </c>
      <c r="C428" s="5">
        <v>3</v>
      </c>
      <c r="D428" s="15">
        <v>32720463</v>
      </c>
      <c r="E428" s="1" t="s">
        <v>2504</v>
      </c>
      <c r="F428" s="18">
        <v>8006891</v>
      </c>
      <c r="G428" s="9">
        <v>45576</v>
      </c>
      <c r="H428" s="1" t="s">
        <v>2515</v>
      </c>
      <c r="I428" s="12" t="s">
        <v>1521</v>
      </c>
      <c r="J428" s="6">
        <v>494271</v>
      </c>
      <c r="K428" s="3">
        <v>15494271</v>
      </c>
    </row>
    <row r="429" spans="1:11" x14ac:dyDescent="0.25">
      <c r="A429" s="1" t="s">
        <v>1796</v>
      </c>
      <c r="B429" s="1" t="s">
        <v>1514</v>
      </c>
      <c r="C429" s="5">
        <v>3</v>
      </c>
      <c r="D429" s="14">
        <v>3962299</v>
      </c>
      <c r="E429" s="1" t="s">
        <v>2504</v>
      </c>
      <c r="F429" s="17">
        <v>4025747</v>
      </c>
      <c r="G429" s="8">
        <v>45648</v>
      </c>
      <c r="H429" s="1" t="s">
        <v>2508</v>
      </c>
      <c r="I429" s="11" t="s">
        <v>1518</v>
      </c>
      <c r="J429" s="6">
        <v>711945</v>
      </c>
      <c r="K429" s="3">
        <v>15711945</v>
      </c>
    </row>
    <row r="430" spans="1:11" x14ac:dyDescent="0.25">
      <c r="A430" s="1" t="s">
        <v>1797</v>
      </c>
      <c r="B430" s="1" t="s">
        <v>1534</v>
      </c>
      <c r="C430" s="5">
        <v>4</v>
      </c>
      <c r="D430" s="15">
        <v>33465253</v>
      </c>
      <c r="E430" s="1" t="s">
        <v>1515</v>
      </c>
      <c r="F430" s="18">
        <v>2840534</v>
      </c>
      <c r="G430" s="9">
        <v>45564</v>
      </c>
      <c r="H430" s="1" t="s">
        <v>1522</v>
      </c>
      <c r="I430" s="12" t="s">
        <v>1521</v>
      </c>
      <c r="J430" s="6">
        <v>612494</v>
      </c>
      <c r="K430" s="3">
        <v>15612494</v>
      </c>
    </row>
    <row r="431" spans="1:11" x14ac:dyDescent="0.25">
      <c r="A431" s="1" t="s">
        <v>1798</v>
      </c>
      <c r="B431" s="1" t="s">
        <v>1514</v>
      </c>
      <c r="C431" s="5">
        <v>2</v>
      </c>
      <c r="D431" s="14">
        <v>20694007</v>
      </c>
      <c r="E431" s="1" t="s">
        <v>1515</v>
      </c>
      <c r="F431" s="17">
        <v>194122</v>
      </c>
      <c r="G431" s="8">
        <v>45725</v>
      </c>
      <c r="H431" s="1" t="s">
        <v>2519</v>
      </c>
      <c r="I431" s="11" t="s">
        <v>1518</v>
      </c>
      <c r="J431" s="6">
        <v>375056</v>
      </c>
      <c r="K431" s="3">
        <v>15375056</v>
      </c>
    </row>
    <row r="432" spans="1:11" x14ac:dyDescent="0.25">
      <c r="A432" s="1" t="s">
        <v>1799</v>
      </c>
      <c r="B432" s="1" t="s">
        <v>1514</v>
      </c>
      <c r="C432" s="5">
        <v>5</v>
      </c>
      <c r="D432" s="15">
        <v>19784769</v>
      </c>
      <c r="E432" s="1" t="s">
        <v>2504</v>
      </c>
      <c r="F432" s="18">
        <v>2865005</v>
      </c>
      <c r="G432" s="9">
        <v>45598</v>
      </c>
      <c r="H432" s="1" t="s">
        <v>1543</v>
      </c>
      <c r="I432" s="12" t="s">
        <v>1521</v>
      </c>
      <c r="J432" s="6">
        <v>338395</v>
      </c>
      <c r="K432" s="3">
        <v>15338395</v>
      </c>
    </row>
    <row r="433" spans="1:11" x14ac:dyDescent="0.25">
      <c r="A433" s="1" t="s">
        <v>2673</v>
      </c>
      <c r="B433" s="1" t="s">
        <v>1514</v>
      </c>
      <c r="C433" s="5">
        <v>5</v>
      </c>
      <c r="D433" s="14">
        <v>48897978</v>
      </c>
      <c r="E433" s="1" t="s">
        <v>1538</v>
      </c>
      <c r="F433" s="17">
        <v>12197339</v>
      </c>
      <c r="G433" s="8">
        <v>45609</v>
      </c>
      <c r="H433" s="1" t="s">
        <v>1516</v>
      </c>
      <c r="I433" s="11" t="s">
        <v>1521</v>
      </c>
      <c r="J433" s="6">
        <v>734013</v>
      </c>
      <c r="K433" s="3">
        <v>15734013</v>
      </c>
    </row>
    <row r="434" spans="1:11" x14ac:dyDescent="0.25">
      <c r="A434" s="1" t="s">
        <v>1800</v>
      </c>
      <c r="B434" s="1" t="s">
        <v>1536</v>
      </c>
      <c r="C434" s="5">
        <v>1</v>
      </c>
      <c r="D434" s="15">
        <v>30526386</v>
      </c>
      <c r="E434" s="1" t="s">
        <v>1538</v>
      </c>
      <c r="F434" s="18">
        <v>3838755</v>
      </c>
      <c r="G434" s="9">
        <v>45568</v>
      </c>
      <c r="H434" s="1" t="s">
        <v>1522</v>
      </c>
      <c r="I434" s="12" t="s">
        <v>1512</v>
      </c>
      <c r="J434" s="6">
        <v>533753</v>
      </c>
      <c r="K434" s="3">
        <v>15533753</v>
      </c>
    </row>
    <row r="435" spans="1:11" x14ac:dyDescent="0.25">
      <c r="A435" s="1" t="s">
        <v>1801</v>
      </c>
      <c r="B435" s="1" t="s">
        <v>1534</v>
      </c>
      <c r="C435" s="5">
        <v>5</v>
      </c>
      <c r="D435" s="14">
        <v>3951950</v>
      </c>
      <c r="E435" s="1" t="s">
        <v>1515</v>
      </c>
      <c r="F435" s="17">
        <v>539029</v>
      </c>
      <c r="G435" s="8">
        <v>45780</v>
      </c>
      <c r="H435" s="1" t="s">
        <v>2508</v>
      </c>
      <c r="I435" s="11" t="s">
        <v>2511</v>
      </c>
      <c r="J435" s="6">
        <v>779609</v>
      </c>
      <c r="K435" s="3">
        <v>15779609</v>
      </c>
    </row>
    <row r="436" spans="1:11" x14ac:dyDescent="0.25">
      <c r="A436" s="1" t="s">
        <v>2674</v>
      </c>
      <c r="B436" s="1" t="s">
        <v>1532</v>
      </c>
      <c r="C436" s="5">
        <v>3</v>
      </c>
      <c r="D436" s="15">
        <v>3827591</v>
      </c>
      <c r="E436" s="1" t="s">
        <v>1515</v>
      </c>
      <c r="F436" s="18">
        <v>696894</v>
      </c>
      <c r="G436" s="9">
        <v>45685</v>
      </c>
      <c r="H436" s="1" t="s">
        <v>1543</v>
      </c>
      <c r="I436" s="12" t="s">
        <v>2507</v>
      </c>
      <c r="J436" s="6">
        <v>62614</v>
      </c>
      <c r="K436" s="3">
        <v>15062614</v>
      </c>
    </row>
    <row r="437" spans="1:11" x14ac:dyDescent="0.25">
      <c r="A437" s="1" t="s">
        <v>1802</v>
      </c>
      <c r="B437" s="1" t="s">
        <v>1527</v>
      </c>
      <c r="C437" s="5">
        <v>5</v>
      </c>
      <c r="D437" s="14">
        <v>22611579</v>
      </c>
      <c r="E437" s="1" t="s">
        <v>2504</v>
      </c>
      <c r="F437" s="17">
        <v>1253578</v>
      </c>
      <c r="G437" s="8">
        <v>45528</v>
      </c>
      <c r="H437" s="1" t="s">
        <v>1522</v>
      </c>
      <c r="I437" s="11" t="s">
        <v>1521</v>
      </c>
      <c r="J437" s="6">
        <v>42716</v>
      </c>
      <c r="K437" s="3">
        <v>1542716</v>
      </c>
    </row>
    <row r="438" spans="1:11" x14ac:dyDescent="0.25">
      <c r="A438" s="1" t="s">
        <v>1803</v>
      </c>
      <c r="B438" s="1" t="s">
        <v>1517</v>
      </c>
      <c r="C438" s="5">
        <v>5</v>
      </c>
      <c r="D438" s="15">
        <v>34077646</v>
      </c>
      <c r="E438" s="1" t="s">
        <v>1538</v>
      </c>
      <c r="F438" s="18">
        <v>4517768</v>
      </c>
      <c r="G438" s="9">
        <v>45559</v>
      </c>
      <c r="H438" s="1" t="s">
        <v>2515</v>
      </c>
      <c r="I438" s="12" t="s">
        <v>1518</v>
      </c>
      <c r="J438" s="6">
        <v>591198</v>
      </c>
      <c r="K438" s="3">
        <v>15591198</v>
      </c>
    </row>
    <row r="439" spans="1:11" x14ac:dyDescent="0.25">
      <c r="A439" s="1" t="s">
        <v>1804</v>
      </c>
      <c r="B439" s="1" t="s">
        <v>1527</v>
      </c>
      <c r="C439" s="5">
        <v>2</v>
      </c>
      <c r="D439" s="14">
        <v>3460739</v>
      </c>
      <c r="E439" s="1" t="s">
        <v>1538</v>
      </c>
      <c r="F439" s="17">
        <v>6323936</v>
      </c>
      <c r="G439" s="8">
        <v>45789</v>
      </c>
      <c r="H439" s="1" t="s">
        <v>1522</v>
      </c>
      <c r="I439" s="11" t="s">
        <v>2507</v>
      </c>
      <c r="J439" s="6">
        <v>565669</v>
      </c>
      <c r="K439" s="3">
        <v>15565669</v>
      </c>
    </row>
    <row r="440" spans="1:11" x14ac:dyDescent="0.25">
      <c r="A440" s="1" t="s">
        <v>1805</v>
      </c>
      <c r="B440" s="1" t="s">
        <v>1536</v>
      </c>
      <c r="C440" s="5">
        <v>4</v>
      </c>
      <c r="D440" s="15">
        <v>20572826</v>
      </c>
      <c r="E440" s="1" t="s">
        <v>1515</v>
      </c>
      <c r="F440" s="18">
        <v>1949168</v>
      </c>
      <c r="G440" s="9">
        <v>45695</v>
      </c>
      <c r="H440" s="1" t="s">
        <v>1516</v>
      </c>
      <c r="I440" s="12" t="s">
        <v>1521</v>
      </c>
      <c r="J440" s="6">
        <v>372473</v>
      </c>
      <c r="K440" s="3">
        <v>15372473</v>
      </c>
    </row>
    <row r="441" spans="1:11" x14ac:dyDescent="0.25">
      <c r="A441" s="1" t="s">
        <v>1806</v>
      </c>
      <c r="B441" s="1" t="s">
        <v>1540</v>
      </c>
      <c r="C441" s="5">
        <v>4</v>
      </c>
      <c r="D441" s="14">
        <v>12642797</v>
      </c>
      <c r="E441" s="1" t="s">
        <v>1515</v>
      </c>
      <c r="F441" s="17">
        <v>190759</v>
      </c>
      <c r="G441" s="8">
        <v>45513</v>
      </c>
      <c r="H441" s="1" t="s">
        <v>1522</v>
      </c>
      <c r="I441" s="11" t="s">
        <v>1512</v>
      </c>
      <c r="J441" s="6">
        <v>249041</v>
      </c>
      <c r="K441" s="3">
        <v>15249041</v>
      </c>
    </row>
    <row r="442" spans="1:11" x14ac:dyDescent="0.25">
      <c r="A442" s="1" t="s">
        <v>2675</v>
      </c>
      <c r="B442" s="1" t="s">
        <v>1540</v>
      </c>
      <c r="C442" s="5">
        <v>5</v>
      </c>
      <c r="D442" s="15">
        <v>21193325</v>
      </c>
      <c r="E442" s="1" t="s">
        <v>1515</v>
      </c>
      <c r="F442" s="18">
        <v>1390977</v>
      </c>
      <c r="G442" s="9">
        <v>45550</v>
      </c>
      <c r="H442" s="1" t="s">
        <v>1513</v>
      </c>
      <c r="I442" s="12" t="s">
        <v>1521</v>
      </c>
      <c r="J442" s="6">
        <v>396047</v>
      </c>
      <c r="K442" s="3">
        <v>15396047</v>
      </c>
    </row>
    <row r="443" spans="1:11" x14ac:dyDescent="0.25">
      <c r="A443" s="1" t="s">
        <v>1807</v>
      </c>
      <c r="B443" s="1" t="s">
        <v>1534</v>
      </c>
      <c r="C443" s="5">
        <v>2</v>
      </c>
      <c r="D443" s="14">
        <v>39208581</v>
      </c>
      <c r="E443" s="1" t="s">
        <v>1538</v>
      </c>
      <c r="F443" s="17">
        <v>543539</v>
      </c>
      <c r="G443" s="8">
        <v>45793</v>
      </c>
      <c r="H443" s="1" t="s">
        <v>1543</v>
      </c>
      <c r="I443" s="11" t="s">
        <v>2507</v>
      </c>
      <c r="J443" s="6">
        <v>773301</v>
      </c>
      <c r="K443" s="3">
        <v>15773301</v>
      </c>
    </row>
    <row r="444" spans="1:11" x14ac:dyDescent="0.25">
      <c r="A444" s="1" t="s">
        <v>1808</v>
      </c>
      <c r="B444" s="1" t="s">
        <v>1540</v>
      </c>
      <c r="C444" s="5">
        <v>4</v>
      </c>
      <c r="D444" s="15">
        <v>4432081</v>
      </c>
      <c r="E444" s="1" t="s">
        <v>1515</v>
      </c>
      <c r="F444" s="18">
        <v>9182461</v>
      </c>
      <c r="G444" s="9">
        <v>45637</v>
      </c>
      <c r="H444" s="1" t="s">
        <v>2508</v>
      </c>
      <c r="I444" s="12" t="s">
        <v>1518</v>
      </c>
      <c r="J444" s="6">
        <v>702767</v>
      </c>
      <c r="K444" s="3">
        <v>15702767</v>
      </c>
    </row>
    <row r="445" spans="1:11" x14ac:dyDescent="0.25">
      <c r="A445" s="1" t="s">
        <v>2676</v>
      </c>
      <c r="B445" s="1" t="s">
        <v>1532</v>
      </c>
      <c r="C445" s="5">
        <v>1</v>
      </c>
      <c r="D445" s="14">
        <v>47541546</v>
      </c>
      <c r="E445" s="1" t="s">
        <v>1515</v>
      </c>
      <c r="F445" s="17">
        <v>6143812</v>
      </c>
      <c r="G445" s="8">
        <v>45621</v>
      </c>
      <c r="H445" s="1" t="s">
        <v>1522</v>
      </c>
      <c r="I445" s="11" t="s">
        <v>1521</v>
      </c>
      <c r="J445" s="6">
        <v>827955</v>
      </c>
      <c r="K445" s="3">
        <v>15827955</v>
      </c>
    </row>
    <row r="446" spans="1:11" x14ac:dyDescent="0.25">
      <c r="A446" s="1" t="s">
        <v>1809</v>
      </c>
      <c r="B446" s="1" t="s">
        <v>1523</v>
      </c>
      <c r="C446" s="5">
        <v>4</v>
      </c>
      <c r="D446" s="15">
        <v>44707859</v>
      </c>
      <c r="E446" s="1" t="s">
        <v>1538</v>
      </c>
      <c r="F446" s="18">
        <v>2983971</v>
      </c>
      <c r="G446" s="9">
        <v>45606</v>
      </c>
      <c r="H446" s="1" t="s">
        <v>2508</v>
      </c>
      <c r="I446" s="12" t="s">
        <v>2511</v>
      </c>
      <c r="J446" s="6">
        <v>834478</v>
      </c>
      <c r="K446" s="3">
        <v>15834478</v>
      </c>
    </row>
    <row r="447" spans="1:11" x14ac:dyDescent="0.25">
      <c r="A447" s="1" t="s">
        <v>1810</v>
      </c>
      <c r="B447" s="1" t="s">
        <v>1525</v>
      </c>
      <c r="C447" s="5">
        <v>2</v>
      </c>
      <c r="D447" s="14">
        <v>11262132</v>
      </c>
      <c r="E447" s="1" t="s">
        <v>1515</v>
      </c>
      <c r="F447" s="17">
        <v>821514</v>
      </c>
      <c r="G447" s="8">
        <v>45724</v>
      </c>
      <c r="H447" s="1" t="s">
        <v>1513</v>
      </c>
      <c r="I447" s="11" t="s">
        <v>2511</v>
      </c>
      <c r="J447" s="6">
        <v>208812</v>
      </c>
      <c r="K447" s="3">
        <v>15208812</v>
      </c>
    </row>
    <row r="448" spans="1:11" x14ac:dyDescent="0.25">
      <c r="A448" s="1" t="s">
        <v>2677</v>
      </c>
      <c r="B448" s="1" t="s">
        <v>1532</v>
      </c>
      <c r="C448" s="5">
        <v>1</v>
      </c>
      <c r="D448" s="15">
        <v>22188307</v>
      </c>
      <c r="E448" s="1" t="s">
        <v>1538</v>
      </c>
      <c r="F448" s="18">
        <v>402913</v>
      </c>
      <c r="G448" s="9">
        <v>45549</v>
      </c>
      <c r="H448" s="1" t="s">
        <v>2512</v>
      </c>
      <c r="I448" s="12" t="s">
        <v>2509</v>
      </c>
      <c r="J448" s="6">
        <v>435708</v>
      </c>
      <c r="K448" s="3">
        <v>15435708</v>
      </c>
    </row>
    <row r="449" spans="1:11" x14ac:dyDescent="0.25">
      <c r="A449" s="1" t="s">
        <v>2678</v>
      </c>
      <c r="B449" s="1" t="s">
        <v>1525</v>
      </c>
      <c r="C449" s="5">
        <v>2</v>
      </c>
      <c r="D449" s="14">
        <v>7305101</v>
      </c>
      <c r="E449" s="1" t="s">
        <v>2504</v>
      </c>
      <c r="F449" s="17">
        <v>616985</v>
      </c>
      <c r="G449" s="8">
        <v>45579</v>
      </c>
      <c r="H449" s="1" t="s">
        <v>2519</v>
      </c>
      <c r="I449" s="11" t="s">
        <v>1518</v>
      </c>
      <c r="J449" s="6">
        <v>133762</v>
      </c>
      <c r="K449" s="3">
        <v>15133762</v>
      </c>
    </row>
    <row r="450" spans="1:11" x14ac:dyDescent="0.25">
      <c r="A450" s="1" t="s">
        <v>1811</v>
      </c>
      <c r="B450" s="1" t="s">
        <v>1545</v>
      </c>
      <c r="C450" s="5">
        <v>5</v>
      </c>
      <c r="D450" s="15">
        <v>3507131</v>
      </c>
      <c r="E450" s="1" t="s">
        <v>1538</v>
      </c>
      <c r="F450" s="18">
        <v>2374331</v>
      </c>
      <c r="G450" s="9">
        <v>45810</v>
      </c>
      <c r="H450" s="1" t="s">
        <v>1516</v>
      </c>
      <c r="I450" s="12" t="s">
        <v>2511</v>
      </c>
      <c r="J450" s="6">
        <v>65394</v>
      </c>
      <c r="K450" s="3">
        <v>1565394</v>
      </c>
    </row>
    <row r="451" spans="1:11" x14ac:dyDescent="0.25">
      <c r="A451" s="1" t="s">
        <v>1812</v>
      </c>
      <c r="B451" s="1" t="s">
        <v>1523</v>
      </c>
      <c r="C451" s="5">
        <v>1</v>
      </c>
      <c r="D451" s="14">
        <v>13690953</v>
      </c>
      <c r="E451" s="1" t="s">
        <v>2504</v>
      </c>
      <c r="F451" s="17">
        <v>1412998</v>
      </c>
      <c r="G451" s="8">
        <v>45849</v>
      </c>
      <c r="H451" s="1" t="s">
        <v>2510</v>
      </c>
      <c r="I451" s="11" t="s">
        <v>2511</v>
      </c>
      <c r="J451" s="6">
        <v>245559</v>
      </c>
      <c r="K451" s="3">
        <v>15245559</v>
      </c>
    </row>
    <row r="452" spans="1:11" x14ac:dyDescent="0.25">
      <c r="A452" s="1" t="s">
        <v>2679</v>
      </c>
      <c r="B452" s="1" t="s">
        <v>1514</v>
      </c>
      <c r="C452" s="5">
        <v>4</v>
      </c>
      <c r="D452" s="15">
        <v>18326537</v>
      </c>
      <c r="E452" s="1" t="s">
        <v>2504</v>
      </c>
      <c r="F452" s="18">
        <v>3459397</v>
      </c>
      <c r="G452" s="9">
        <v>45654</v>
      </c>
      <c r="H452" s="1" t="s">
        <v>1513</v>
      </c>
      <c r="I452" s="12" t="s">
        <v>2509</v>
      </c>
      <c r="J452" s="6">
        <v>297343</v>
      </c>
      <c r="K452" s="3">
        <v>15297343</v>
      </c>
    </row>
    <row r="453" spans="1:11" x14ac:dyDescent="0.25">
      <c r="A453" s="1" t="s">
        <v>1813</v>
      </c>
      <c r="B453" s="1" t="s">
        <v>1517</v>
      </c>
      <c r="C453" s="5">
        <v>4</v>
      </c>
      <c r="D453" s="14">
        <v>49216622</v>
      </c>
      <c r="E453" s="1" t="s">
        <v>2504</v>
      </c>
      <c r="F453" s="17">
        <v>4638306</v>
      </c>
      <c r="G453" s="8">
        <v>45784</v>
      </c>
      <c r="H453" s="1" t="s">
        <v>2519</v>
      </c>
      <c r="I453" s="11" t="s">
        <v>2509</v>
      </c>
      <c r="J453" s="6">
        <v>891566</v>
      </c>
      <c r="K453" s="3">
        <v>15891566</v>
      </c>
    </row>
    <row r="454" spans="1:11" x14ac:dyDescent="0.25">
      <c r="A454" s="1" t="s">
        <v>2680</v>
      </c>
      <c r="B454" s="1" t="s">
        <v>1545</v>
      </c>
      <c r="C454" s="5">
        <v>5</v>
      </c>
      <c r="D454" s="15">
        <v>43699761</v>
      </c>
      <c r="E454" s="1" t="s">
        <v>2504</v>
      </c>
      <c r="F454" s="18">
        <v>2152997</v>
      </c>
      <c r="G454" s="9">
        <v>45604</v>
      </c>
      <c r="H454" s="1" t="s">
        <v>2512</v>
      </c>
      <c r="I454" s="12" t="s">
        <v>2507</v>
      </c>
      <c r="J454" s="6">
        <v>830935</v>
      </c>
      <c r="K454" s="3">
        <v>15830935</v>
      </c>
    </row>
    <row r="455" spans="1:11" x14ac:dyDescent="0.25">
      <c r="A455" s="1" t="s">
        <v>2681</v>
      </c>
      <c r="B455" s="1" t="s">
        <v>1523</v>
      </c>
      <c r="C455" s="5">
        <v>2</v>
      </c>
      <c r="D455" s="14">
        <v>7610404</v>
      </c>
      <c r="E455" s="1" t="s">
        <v>1538</v>
      </c>
      <c r="F455" s="17">
        <v>814252</v>
      </c>
      <c r="G455" s="8">
        <v>45549</v>
      </c>
      <c r="H455" s="1" t="s">
        <v>1513</v>
      </c>
      <c r="I455" s="11" t="s">
        <v>2511</v>
      </c>
      <c r="J455" s="6">
        <v>135923</v>
      </c>
      <c r="K455" s="3">
        <v>15135923</v>
      </c>
    </row>
    <row r="456" spans="1:11" x14ac:dyDescent="0.25">
      <c r="A456" s="1" t="s">
        <v>1814</v>
      </c>
      <c r="B456" s="1" t="s">
        <v>1532</v>
      </c>
      <c r="C456" s="5">
        <v>5</v>
      </c>
      <c r="D456" s="15">
        <v>42167683</v>
      </c>
      <c r="E456" s="1" t="s">
        <v>2504</v>
      </c>
      <c r="F456" s="18">
        <v>587379</v>
      </c>
      <c r="G456" s="9">
        <v>45616</v>
      </c>
      <c r="H456" s="1" t="s">
        <v>2508</v>
      </c>
      <c r="I456" s="12" t="s">
        <v>1518</v>
      </c>
      <c r="J456" s="6">
        <v>725878</v>
      </c>
      <c r="K456" s="3">
        <v>15725878</v>
      </c>
    </row>
    <row r="457" spans="1:11" x14ac:dyDescent="0.25">
      <c r="A457" s="1" t="s">
        <v>1815</v>
      </c>
      <c r="B457" s="1" t="s">
        <v>1527</v>
      </c>
      <c r="C457" s="5">
        <v>1</v>
      </c>
      <c r="D457" s="14">
        <v>28279606</v>
      </c>
      <c r="E457" s="1" t="s">
        <v>1515</v>
      </c>
      <c r="F457" s="17">
        <v>1987541</v>
      </c>
      <c r="G457" s="8">
        <v>45736</v>
      </c>
      <c r="H457" s="1" t="s">
        <v>1516</v>
      </c>
      <c r="I457" s="11" t="s">
        <v>2511</v>
      </c>
      <c r="J457" s="6">
        <v>525841</v>
      </c>
      <c r="K457" s="3">
        <v>15525841</v>
      </c>
    </row>
    <row r="458" spans="1:11" x14ac:dyDescent="0.25">
      <c r="A458" s="1" t="s">
        <v>1816</v>
      </c>
      <c r="B458" s="1" t="s">
        <v>1525</v>
      </c>
      <c r="C458" s="5">
        <v>5</v>
      </c>
      <c r="D458" s="15">
        <v>9179029</v>
      </c>
      <c r="E458" s="1" t="s">
        <v>2504</v>
      </c>
      <c r="F458" s="18">
        <v>398949</v>
      </c>
      <c r="G458" s="9">
        <v>45771</v>
      </c>
      <c r="H458" s="1" t="s">
        <v>1522</v>
      </c>
      <c r="I458" s="12" t="s">
        <v>1521</v>
      </c>
      <c r="J458" s="6">
        <v>175602</v>
      </c>
      <c r="K458" s="3">
        <v>15175602</v>
      </c>
    </row>
    <row r="459" spans="1:11" x14ac:dyDescent="0.25">
      <c r="A459" s="1" t="s">
        <v>2682</v>
      </c>
      <c r="B459" s="1" t="s">
        <v>1517</v>
      </c>
      <c r="C459" s="5">
        <v>1</v>
      </c>
      <c r="D459" s="14">
        <v>43774387</v>
      </c>
      <c r="E459" s="1" t="s">
        <v>1538</v>
      </c>
      <c r="F459" s="17">
        <v>636794</v>
      </c>
      <c r="G459" s="8">
        <v>45586</v>
      </c>
      <c r="H459" s="1" t="s">
        <v>2519</v>
      </c>
      <c r="I459" s="11" t="s">
        <v>2509</v>
      </c>
      <c r="J459" s="6">
        <v>748129</v>
      </c>
      <c r="K459" s="3">
        <v>15748129</v>
      </c>
    </row>
    <row r="460" spans="1:11" x14ac:dyDescent="0.25">
      <c r="A460" s="1" t="s">
        <v>1817</v>
      </c>
      <c r="B460" s="1" t="s">
        <v>1545</v>
      </c>
      <c r="C460" s="5">
        <v>2</v>
      </c>
      <c r="D460" s="15">
        <v>4899837</v>
      </c>
      <c r="E460" s="1" t="s">
        <v>1538</v>
      </c>
      <c r="F460" s="18">
        <v>2177236</v>
      </c>
      <c r="G460" s="9">
        <v>45860</v>
      </c>
      <c r="H460" s="1" t="s">
        <v>1543</v>
      </c>
      <c r="I460" s="12" t="s">
        <v>2507</v>
      </c>
      <c r="J460" s="6">
        <v>936423</v>
      </c>
      <c r="K460" s="3">
        <v>15936423</v>
      </c>
    </row>
    <row r="461" spans="1:11" x14ac:dyDescent="0.25">
      <c r="A461" s="1" t="s">
        <v>1818</v>
      </c>
      <c r="B461" s="1" t="s">
        <v>1532</v>
      </c>
      <c r="C461" s="5">
        <v>5</v>
      </c>
      <c r="D461" s="14">
        <v>5803294</v>
      </c>
      <c r="E461" s="1" t="s">
        <v>1515</v>
      </c>
      <c r="F461" s="17">
        <v>1219894</v>
      </c>
      <c r="G461" s="8">
        <v>45529</v>
      </c>
      <c r="H461" s="1" t="s">
        <v>1519</v>
      </c>
      <c r="I461" s="11" t="s">
        <v>2507</v>
      </c>
      <c r="J461" s="6">
        <v>91668</v>
      </c>
      <c r="K461" s="3">
        <v>15091668</v>
      </c>
    </row>
    <row r="462" spans="1:11" x14ac:dyDescent="0.25">
      <c r="A462" s="1" t="s">
        <v>1819</v>
      </c>
      <c r="B462" s="1" t="s">
        <v>1517</v>
      </c>
      <c r="C462" s="5">
        <v>3</v>
      </c>
      <c r="D462" s="15">
        <v>47562644</v>
      </c>
      <c r="E462" s="1" t="s">
        <v>1515</v>
      </c>
      <c r="F462" s="18">
        <v>350918</v>
      </c>
      <c r="G462" s="9">
        <v>45804</v>
      </c>
      <c r="H462" s="1" t="s">
        <v>1519</v>
      </c>
      <c r="I462" s="12" t="s">
        <v>1512</v>
      </c>
      <c r="J462" s="6">
        <v>944235</v>
      </c>
      <c r="K462" s="3">
        <v>15944235</v>
      </c>
    </row>
    <row r="463" spans="1:11" x14ac:dyDescent="0.25">
      <c r="A463" s="1" t="s">
        <v>2683</v>
      </c>
      <c r="B463" s="1" t="s">
        <v>1545</v>
      </c>
      <c r="C463" s="5">
        <v>3</v>
      </c>
      <c r="D463" s="14">
        <v>26184135</v>
      </c>
      <c r="E463" s="1" t="s">
        <v>1515</v>
      </c>
      <c r="F463" s="17">
        <v>525994</v>
      </c>
      <c r="G463" s="8">
        <v>45701</v>
      </c>
      <c r="H463" s="1" t="s">
        <v>1522</v>
      </c>
      <c r="I463" s="11" t="s">
        <v>1521</v>
      </c>
      <c r="J463" s="6">
        <v>418484</v>
      </c>
      <c r="K463" s="3">
        <v>15418484</v>
      </c>
    </row>
    <row r="464" spans="1:11" x14ac:dyDescent="0.25">
      <c r="A464" s="1" t="s">
        <v>1820</v>
      </c>
      <c r="B464" s="1" t="s">
        <v>1517</v>
      </c>
      <c r="C464" s="5">
        <v>4</v>
      </c>
      <c r="D464" s="15">
        <v>45242942</v>
      </c>
      <c r="E464" s="1" t="s">
        <v>1515</v>
      </c>
      <c r="F464" s="18">
        <v>4321314</v>
      </c>
      <c r="G464" s="9">
        <v>45640</v>
      </c>
      <c r="H464" s="1" t="s">
        <v>2515</v>
      </c>
      <c r="I464" s="12" t="s">
        <v>1518</v>
      </c>
      <c r="J464" s="6">
        <v>818433</v>
      </c>
      <c r="K464" s="3">
        <v>15818433</v>
      </c>
    </row>
    <row r="465" spans="1:11" x14ac:dyDescent="0.25">
      <c r="A465" s="1" t="s">
        <v>2684</v>
      </c>
      <c r="B465" s="1" t="s">
        <v>1536</v>
      </c>
      <c r="C465" s="5">
        <v>1</v>
      </c>
      <c r="D465" s="14">
        <v>2280172</v>
      </c>
      <c r="E465" s="1" t="s">
        <v>1538</v>
      </c>
      <c r="F465" s="17">
        <v>186842</v>
      </c>
      <c r="G465" s="8">
        <v>45636</v>
      </c>
      <c r="H465" s="1" t="s">
        <v>1516</v>
      </c>
      <c r="I465" s="11" t="s">
        <v>1518</v>
      </c>
      <c r="J465" s="6">
        <v>41867</v>
      </c>
      <c r="K465" s="3">
        <v>15041867</v>
      </c>
    </row>
    <row r="466" spans="1:11" x14ac:dyDescent="0.25">
      <c r="A466" s="1" t="s">
        <v>1821</v>
      </c>
      <c r="B466" s="1" t="s">
        <v>1525</v>
      </c>
      <c r="C466" s="5">
        <v>5</v>
      </c>
      <c r="D466" s="15">
        <v>11928038</v>
      </c>
      <c r="E466" s="1" t="s">
        <v>2504</v>
      </c>
      <c r="F466" s="18">
        <v>1482534</v>
      </c>
      <c r="G466" s="9">
        <v>45715</v>
      </c>
      <c r="H466" s="1" t="s">
        <v>1513</v>
      </c>
      <c r="I466" s="12" t="s">
        <v>1518</v>
      </c>
      <c r="J466" s="6">
        <v>20891</v>
      </c>
      <c r="K466" s="3">
        <v>1520891</v>
      </c>
    </row>
    <row r="467" spans="1:11" x14ac:dyDescent="0.25">
      <c r="A467" s="1" t="s">
        <v>1822</v>
      </c>
      <c r="B467" s="1" t="s">
        <v>1540</v>
      </c>
      <c r="C467" s="5">
        <v>2</v>
      </c>
      <c r="D467" s="14">
        <v>1644863</v>
      </c>
      <c r="E467" s="1" t="s">
        <v>2504</v>
      </c>
      <c r="F467" s="17">
        <v>278819</v>
      </c>
      <c r="G467" s="8">
        <v>45703</v>
      </c>
      <c r="H467" s="1" t="s">
        <v>2512</v>
      </c>
      <c r="I467" s="11" t="s">
        <v>2509</v>
      </c>
      <c r="J467" s="6">
        <v>27321</v>
      </c>
      <c r="K467" s="3">
        <v>15027321</v>
      </c>
    </row>
    <row r="468" spans="1:11" x14ac:dyDescent="0.25">
      <c r="A468" s="1" t="s">
        <v>1823</v>
      </c>
      <c r="B468" s="1" t="s">
        <v>1514</v>
      </c>
      <c r="C468" s="5">
        <v>4</v>
      </c>
      <c r="D468" s="15">
        <v>1012696</v>
      </c>
      <c r="E468" s="1" t="s">
        <v>2504</v>
      </c>
      <c r="F468" s="18">
        <v>126497</v>
      </c>
      <c r="G468" s="9">
        <v>45793</v>
      </c>
      <c r="H468" s="1" t="s">
        <v>1519</v>
      </c>
      <c r="I468" s="12" t="s">
        <v>2511</v>
      </c>
      <c r="J468" s="6">
        <v>17724</v>
      </c>
      <c r="K468" s="3">
        <v>15017724</v>
      </c>
    </row>
    <row r="469" spans="1:11" x14ac:dyDescent="0.25">
      <c r="A469" s="1" t="s">
        <v>1824</v>
      </c>
      <c r="B469" s="1" t="s">
        <v>1536</v>
      </c>
      <c r="C469" s="5">
        <v>4</v>
      </c>
      <c r="D469" s="14">
        <v>16465644</v>
      </c>
      <c r="E469" s="1" t="s">
        <v>1515</v>
      </c>
      <c r="F469" s="17">
        <v>3385885</v>
      </c>
      <c r="G469" s="8">
        <v>45649</v>
      </c>
      <c r="H469" s="1" t="s">
        <v>1516</v>
      </c>
      <c r="I469" s="11" t="s">
        <v>1518</v>
      </c>
      <c r="J469" s="6">
        <v>261595</v>
      </c>
      <c r="K469" s="3">
        <v>15261595</v>
      </c>
    </row>
    <row r="470" spans="1:11" x14ac:dyDescent="0.25">
      <c r="A470" s="1" t="s">
        <v>2685</v>
      </c>
      <c r="B470" s="1" t="s">
        <v>1545</v>
      </c>
      <c r="C470" s="5">
        <v>1</v>
      </c>
      <c r="D470" s="15">
        <v>5641448</v>
      </c>
      <c r="E470" s="1" t="s">
        <v>1538</v>
      </c>
      <c r="F470" s="18">
        <v>1210224</v>
      </c>
      <c r="G470" s="9">
        <v>45652</v>
      </c>
      <c r="H470" s="1" t="s">
        <v>2510</v>
      </c>
      <c r="I470" s="12" t="s">
        <v>1521</v>
      </c>
      <c r="J470" s="6">
        <v>88624</v>
      </c>
      <c r="K470" s="3">
        <v>15088624</v>
      </c>
    </row>
    <row r="471" spans="1:11" x14ac:dyDescent="0.25">
      <c r="A471" s="1" t="s">
        <v>1825</v>
      </c>
      <c r="B471" s="1" t="s">
        <v>1540</v>
      </c>
      <c r="C471" s="5">
        <v>5</v>
      </c>
      <c r="D471" s="14">
        <v>37253153</v>
      </c>
      <c r="E471" s="1" t="s">
        <v>2504</v>
      </c>
      <c r="F471" s="17">
        <v>2747841</v>
      </c>
      <c r="G471" s="8">
        <v>45565</v>
      </c>
      <c r="H471" s="1" t="s">
        <v>2510</v>
      </c>
      <c r="I471" s="11" t="s">
        <v>1518</v>
      </c>
      <c r="J471" s="6">
        <v>690106</v>
      </c>
      <c r="K471" s="3">
        <v>15690106</v>
      </c>
    </row>
    <row r="472" spans="1:11" x14ac:dyDescent="0.25">
      <c r="A472" s="1" t="s">
        <v>2686</v>
      </c>
      <c r="B472" s="1" t="s">
        <v>1540</v>
      </c>
      <c r="C472" s="5">
        <v>4</v>
      </c>
      <c r="D472" s="15">
        <v>28463429</v>
      </c>
      <c r="E472" s="1" t="s">
        <v>2504</v>
      </c>
      <c r="F472" s="18">
        <v>1759545</v>
      </c>
      <c r="G472" s="9">
        <v>45555</v>
      </c>
      <c r="H472" s="1" t="s">
        <v>2512</v>
      </c>
      <c r="I472" s="12" t="s">
        <v>2509</v>
      </c>
      <c r="J472" s="6">
        <v>534078</v>
      </c>
      <c r="K472" s="3">
        <v>15534078</v>
      </c>
    </row>
    <row r="473" spans="1:11" x14ac:dyDescent="0.25">
      <c r="A473" s="1" t="s">
        <v>1826</v>
      </c>
      <c r="B473" s="1" t="s">
        <v>1534</v>
      </c>
      <c r="C473" s="5">
        <v>3</v>
      </c>
      <c r="D473" s="14">
        <v>38132442</v>
      </c>
      <c r="E473" s="1" t="s">
        <v>2504</v>
      </c>
      <c r="F473" s="17">
        <v>667740</v>
      </c>
      <c r="G473" s="8">
        <v>45504</v>
      </c>
      <c r="H473" s="1" t="s">
        <v>2515</v>
      </c>
      <c r="I473" s="11" t="s">
        <v>2509</v>
      </c>
      <c r="J473" s="6">
        <v>629101</v>
      </c>
      <c r="K473" s="3">
        <v>15629101</v>
      </c>
    </row>
    <row r="474" spans="1:11" x14ac:dyDescent="0.25">
      <c r="A474" s="1" t="s">
        <v>1827</v>
      </c>
      <c r="B474" s="1" t="s">
        <v>1527</v>
      </c>
      <c r="C474" s="5">
        <v>3</v>
      </c>
      <c r="D474" s="15">
        <v>9063162</v>
      </c>
      <c r="E474" s="1" t="s">
        <v>1515</v>
      </c>
      <c r="F474" s="18">
        <v>1228402</v>
      </c>
      <c r="G474" s="9">
        <v>45612</v>
      </c>
      <c r="H474" s="1" t="s">
        <v>1513</v>
      </c>
      <c r="I474" s="12" t="s">
        <v>1512</v>
      </c>
      <c r="J474" s="6">
        <v>156695</v>
      </c>
      <c r="K474" s="3">
        <v>15156695</v>
      </c>
    </row>
    <row r="475" spans="1:11" x14ac:dyDescent="0.25">
      <c r="A475" s="1" t="s">
        <v>1828</v>
      </c>
      <c r="B475" s="1" t="s">
        <v>1517</v>
      </c>
      <c r="C475" s="5">
        <v>4</v>
      </c>
      <c r="D475" s="14">
        <v>1485439</v>
      </c>
      <c r="E475" s="1" t="s">
        <v>1538</v>
      </c>
      <c r="F475" s="17">
        <v>92059</v>
      </c>
      <c r="G475" s="8">
        <v>45681</v>
      </c>
      <c r="H475" s="1" t="s">
        <v>1513</v>
      </c>
      <c r="I475" s="11" t="s">
        <v>1512</v>
      </c>
      <c r="J475" s="6">
        <v>27868</v>
      </c>
      <c r="K475" s="3">
        <v>15027868</v>
      </c>
    </row>
    <row r="476" spans="1:11" x14ac:dyDescent="0.25">
      <c r="A476" s="1" t="s">
        <v>1829</v>
      </c>
      <c r="B476" s="1" t="s">
        <v>1517</v>
      </c>
      <c r="C476" s="5">
        <v>1</v>
      </c>
      <c r="D476" s="15">
        <v>2137172</v>
      </c>
      <c r="E476" s="1" t="s">
        <v>1538</v>
      </c>
      <c r="F476" s="18">
        <v>16757</v>
      </c>
      <c r="G476" s="9">
        <v>45565</v>
      </c>
      <c r="H476" s="1" t="s">
        <v>2515</v>
      </c>
      <c r="I476" s="12" t="s">
        <v>2509</v>
      </c>
      <c r="J476" s="6">
        <v>39392</v>
      </c>
      <c r="K476" s="3">
        <v>15039392</v>
      </c>
    </row>
    <row r="477" spans="1:11" x14ac:dyDescent="0.25">
      <c r="A477" s="1" t="s">
        <v>1830</v>
      </c>
      <c r="B477" s="1" t="s">
        <v>1540</v>
      </c>
      <c r="C477" s="5">
        <v>4</v>
      </c>
      <c r="D477" s="14">
        <v>2279970</v>
      </c>
      <c r="E477" s="1" t="s">
        <v>1538</v>
      </c>
      <c r="F477" s="17">
        <v>4013388</v>
      </c>
      <c r="G477" s="8">
        <v>45726</v>
      </c>
      <c r="H477" s="1" t="s">
        <v>2512</v>
      </c>
      <c r="I477" s="11" t="s">
        <v>1521</v>
      </c>
      <c r="J477" s="6">
        <v>375726</v>
      </c>
      <c r="K477" s="3">
        <v>15375726</v>
      </c>
    </row>
    <row r="478" spans="1:11" x14ac:dyDescent="0.25">
      <c r="A478" s="1" t="s">
        <v>1831</v>
      </c>
      <c r="B478" s="1" t="s">
        <v>1527</v>
      </c>
      <c r="C478" s="5">
        <v>5</v>
      </c>
      <c r="D478" s="15">
        <v>41209159</v>
      </c>
      <c r="E478" s="1" t="s">
        <v>1538</v>
      </c>
      <c r="F478" s="18">
        <v>6289154</v>
      </c>
      <c r="G478" s="9">
        <v>45580</v>
      </c>
      <c r="H478" s="1" t="s">
        <v>1522</v>
      </c>
      <c r="I478" s="12" t="s">
        <v>1512</v>
      </c>
      <c r="J478" s="6">
        <v>69840</v>
      </c>
      <c r="K478" s="3">
        <v>1569840</v>
      </c>
    </row>
    <row r="479" spans="1:11" x14ac:dyDescent="0.25">
      <c r="A479" s="1" t="s">
        <v>2687</v>
      </c>
      <c r="B479" s="1" t="s">
        <v>1545</v>
      </c>
      <c r="C479" s="5">
        <v>3</v>
      </c>
      <c r="D479" s="14">
        <v>44889541</v>
      </c>
      <c r="E479" s="1" t="s">
        <v>2504</v>
      </c>
      <c r="F479" s="17">
        <v>5621178</v>
      </c>
      <c r="G479" s="8">
        <v>45590</v>
      </c>
      <c r="H479" s="1" t="s">
        <v>1516</v>
      </c>
      <c r="I479" s="11" t="s">
        <v>2509</v>
      </c>
      <c r="J479" s="6">
        <v>785367</v>
      </c>
      <c r="K479" s="3">
        <v>15785367</v>
      </c>
    </row>
    <row r="480" spans="1:11" x14ac:dyDescent="0.25">
      <c r="A480" s="1" t="s">
        <v>1832</v>
      </c>
      <c r="B480" s="1" t="s">
        <v>1545</v>
      </c>
      <c r="C480" s="5">
        <v>3</v>
      </c>
      <c r="D480" s="15">
        <v>13937522</v>
      </c>
      <c r="E480" s="1" t="s">
        <v>2504</v>
      </c>
      <c r="F480" s="18">
        <v>2742594</v>
      </c>
      <c r="G480" s="9">
        <v>45755</v>
      </c>
      <c r="H480" s="1" t="s">
        <v>1516</v>
      </c>
      <c r="I480" s="12" t="s">
        <v>1512</v>
      </c>
      <c r="J480" s="6">
        <v>223899</v>
      </c>
      <c r="K480" s="3">
        <v>15223899</v>
      </c>
    </row>
    <row r="481" spans="1:11" x14ac:dyDescent="0.25">
      <c r="A481" s="1" t="s">
        <v>1833</v>
      </c>
      <c r="B481" s="1" t="s">
        <v>1545</v>
      </c>
      <c r="C481" s="5">
        <v>3</v>
      </c>
      <c r="D481" s="14">
        <v>21893367</v>
      </c>
      <c r="E481" s="1" t="s">
        <v>2504</v>
      </c>
      <c r="F481" s="17">
        <v>2699846</v>
      </c>
      <c r="G481" s="8">
        <v>45667</v>
      </c>
      <c r="H481" s="1" t="s">
        <v>2510</v>
      </c>
      <c r="I481" s="11" t="s">
        <v>2507</v>
      </c>
      <c r="J481" s="6">
        <v>38387</v>
      </c>
      <c r="K481" s="3">
        <v>1538387</v>
      </c>
    </row>
    <row r="482" spans="1:11" x14ac:dyDescent="0.25">
      <c r="A482" s="1" t="s">
        <v>1834</v>
      </c>
      <c r="B482" s="1" t="s">
        <v>1527</v>
      </c>
      <c r="C482" s="5">
        <v>3</v>
      </c>
      <c r="D482" s="15">
        <v>16574738</v>
      </c>
      <c r="E482" s="1" t="s">
        <v>1515</v>
      </c>
      <c r="F482" s="18">
        <v>3949358</v>
      </c>
      <c r="G482" s="9">
        <v>45823</v>
      </c>
      <c r="H482" s="1" t="s">
        <v>2515</v>
      </c>
      <c r="I482" s="12" t="s">
        <v>1521</v>
      </c>
      <c r="J482" s="6">
        <v>252508</v>
      </c>
      <c r="K482" s="3">
        <v>15252508</v>
      </c>
    </row>
    <row r="483" spans="1:11" x14ac:dyDescent="0.25">
      <c r="A483" s="1" t="s">
        <v>1835</v>
      </c>
      <c r="B483" s="1" t="s">
        <v>1534</v>
      </c>
      <c r="C483" s="5">
        <v>4</v>
      </c>
      <c r="D483" s="14">
        <v>16423695</v>
      </c>
      <c r="E483" s="1" t="s">
        <v>1515</v>
      </c>
      <c r="F483" s="17">
        <v>3214063</v>
      </c>
      <c r="G483" s="8">
        <v>45591</v>
      </c>
      <c r="H483" s="1" t="s">
        <v>1513</v>
      </c>
      <c r="I483" s="11" t="s">
        <v>2509</v>
      </c>
      <c r="J483" s="6">
        <v>264193</v>
      </c>
      <c r="K483" s="3">
        <v>15264193</v>
      </c>
    </row>
    <row r="484" spans="1:11" x14ac:dyDescent="0.25">
      <c r="A484" s="1" t="s">
        <v>1836</v>
      </c>
      <c r="B484" s="1" t="s">
        <v>1527</v>
      </c>
      <c r="C484" s="5">
        <v>1</v>
      </c>
      <c r="D484" s="15">
        <v>17268839</v>
      </c>
      <c r="E484" s="1" t="s">
        <v>2504</v>
      </c>
      <c r="F484" s="18">
        <v>1888953</v>
      </c>
      <c r="G484" s="9">
        <v>45504</v>
      </c>
      <c r="H484" s="1" t="s">
        <v>2519</v>
      </c>
      <c r="I484" s="12" t="s">
        <v>1512</v>
      </c>
      <c r="J484" s="6">
        <v>307598</v>
      </c>
      <c r="K484" s="3">
        <v>15307598</v>
      </c>
    </row>
    <row r="485" spans="1:11" x14ac:dyDescent="0.25">
      <c r="A485" s="1" t="s">
        <v>1837</v>
      </c>
      <c r="B485" s="1" t="s">
        <v>1545</v>
      </c>
      <c r="C485" s="5">
        <v>2</v>
      </c>
      <c r="D485" s="14">
        <v>36400546</v>
      </c>
      <c r="E485" s="1" t="s">
        <v>2504</v>
      </c>
      <c r="F485" s="17">
        <v>8430686</v>
      </c>
      <c r="G485" s="8">
        <v>45808</v>
      </c>
      <c r="H485" s="1" t="s">
        <v>2508</v>
      </c>
      <c r="I485" s="11" t="s">
        <v>2509</v>
      </c>
      <c r="J485" s="6">
        <v>559397</v>
      </c>
      <c r="K485" s="3">
        <v>15559397</v>
      </c>
    </row>
    <row r="486" spans="1:11" x14ac:dyDescent="0.25">
      <c r="A486" s="1" t="s">
        <v>2688</v>
      </c>
      <c r="B486" s="1" t="s">
        <v>1514</v>
      </c>
      <c r="C486" s="5">
        <v>4</v>
      </c>
      <c r="D486" s="15">
        <v>4547728</v>
      </c>
      <c r="E486" s="1" t="s">
        <v>2504</v>
      </c>
      <c r="F486" s="18">
        <v>10370115</v>
      </c>
      <c r="G486" s="9">
        <v>45584</v>
      </c>
      <c r="H486" s="1" t="s">
        <v>2515</v>
      </c>
      <c r="I486" s="12" t="s">
        <v>1512</v>
      </c>
      <c r="J486" s="6">
        <v>702143</v>
      </c>
      <c r="K486" s="3">
        <v>15702143</v>
      </c>
    </row>
    <row r="487" spans="1:11" x14ac:dyDescent="0.25">
      <c r="A487" s="1" t="s">
        <v>1838</v>
      </c>
      <c r="B487" s="1" t="s">
        <v>1514</v>
      </c>
      <c r="C487" s="5">
        <v>2</v>
      </c>
      <c r="D487" s="14">
        <v>7072181</v>
      </c>
      <c r="E487" s="1" t="s">
        <v>1515</v>
      </c>
      <c r="F487" s="17">
        <v>176738</v>
      </c>
      <c r="G487" s="8">
        <v>45754</v>
      </c>
      <c r="H487" s="1" t="s">
        <v>2512</v>
      </c>
      <c r="I487" s="11" t="s">
        <v>1518</v>
      </c>
      <c r="J487" s="6">
        <v>137909</v>
      </c>
      <c r="K487" s="3">
        <v>15137909</v>
      </c>
    </row>
    <row r="488" spans="1:11" x14ac:dyDescent="0.25">
      <c r="A488" s="1" t="s">
        <v>1839</v>
      </c>
      <c r="B488" s="1" t="s">
        <v>1525</v>
      </c>
      <c r="C488" s="5">
        <v>2</v>
      </c>
      <c r="D488" s="15">
        <v>24351197</v>
      </c>
      <c r="E488" s="1" t="s">
        <v>2504</v>
      </c>
      <c r="F488" s="18">
        <v>2121143</v>
      </c>
      <c r="G488" s="9">
        <v>45849</v>
      </c>
      <c r="H488" s="1" t="s">
        <v>2510</v>
      </c>
      <c r="I488" s="12" t="s">
        <v>2509</v>
      </c>
      <c r="J488" s="6">
        <v>444601</v>
      </c>
      <c r="K488" s="3">
        <v>15444601</v>
      </c>
    </row>
    <row r="489" spans="1:11" x14ac:dyDescent="0.25">
      <c r="A489" s="1" t="s">
        <v>1840</v>
      </c>
      <c r="B489" s="1" t="s">
        <v>1523</v>
      </c>
      <c r="C489" s="5">
        <v>2</v>
      </c>
      <c r="D489" s="14">
        <v>15080442</v>
      </c>
      <c r="E489" s="1" t="s">
        <v>2504</v>
      </c>
      <c r="F489" s="17">
        <v>819366</v>
      </c>
      <c r="G489" s="8">
        <v>45731</v>
      </c>
      <c r="H489" s="1" t="s">
        <v>1513</v>
      </c>
      <c r="I489" s="11" t="s">
        <v>2507</v>
      </c>
      <c r="J489" s="6">
        <v>285222</v>
      </c>
      <c r="K489" s="3">
        <v>15285222</v>
      </c>
    </row>
    <row r="490" spans="1:11" x14ac:dyDescent="0.25">
      <c r="A490" s="1" t="s">
        <v>2689</v>
      </c>
      <c r="B490" s="1" t="s">
        <v>1517</v>
      </c>
      <c r="C490" s="5">
        <v>1</v>
      </c>
      <c r="D490" s="15">
        <v>46306827</v>
      </c>
      <c r="E490" s="1" t="s">
        <v>1515</v>
      </c>
      <c r="F490" s="18">
        <v>136637</v>
      </c>
      <c r="G490" s="9">
        <v>45829</v>
      </c>
      <c r="H490" s="1" t="s">
        <v>2510</v>
      </c>
      <c r="I490" s="12" t="s">
        <v>1512</v>
      </c>
      <c r="J490" s="6">
        <v>898809</v>
      </c>
      <c r="K490" s="3">
        <v>15898809</v>
      </c>
    </row>
    <row r="491" spans="1:11" x14ac:dyDescent="0.25">
      <c r="A491" s="1" t="s">
        <v>1841</v>
      </c>
      <c r="B491" s="1" t="s">
        <v>1532</v>
      </c>
      <c r="C491" s="5">
        <v>3</v>
      </c>
      <c r="D491" s="14">
        <v>49125685</v>
      </c>
      <c r="E491" s="1" t="s">
        <v>1515</v>
      </c>
      <c r="F491" s="17">
        <v>7184995</v>
      </c>
      <c r="G491" s="8">
        <v>45590</v>
      </c>
      <c r="H491" s="1" t="s">
        <v>1519</v>
      </c>
      <c r="I491" s="11" t="s">
        <v>1518</v>
      </c>
      <c r="J491" s="6">
        <v>838814</v>
      </c>
      <c r="K491" s="3">
        <v>15838814</v>
      </c>
    </row>
    <row r="492" spans="1:11" x14ac:dyDescent="0.25">
      <c r="A492" s="1" t="s">
        <v>2690</v>
      </c>
      <c r="B492" s="1" t="s">
        <v>1536</v>
      </c>
      <c r="C492" s="5">
        <v>5</v>
      </c>
      <c r="D492" s="15">
        <v>17130498</v>
      </c>
      <c r="E492" s="1" t="s">
        <v>1538</v>
      </c>
      <c r="F492" s="18">
        <v>4236625</v>
      </c>
      <c r="G492" s="9">
        <v>45837</v>
      </c>
      <c r="H492" s="1" t="s">
        <v>2510</v>
      </c>
      <c r="I492" s="12" t="s">
        <v>1521</v>
      </c>
      <c r="J492" s="6">
        <v>257877</v>
      </c>
      <c r="K492" s="3">
        <v>15257877</v>
      </c>
    </row>
    <row r="493" spans="1:11" x14ac:dyDescent="0.25">
      <c r="A493" s="1" t="s">
        <v>1842</v>
      </c>
      <c r="B493" s="1" t="s">
        <v>1523</v>
      </c>
      <c r="C493" s="5">
        <v>3</v>
      </c>
      <c r="D493" s="14">
        <v>40568211</v>
      </c>
      <c r="E493" s="1" t="s">
        <v>1538</v>
      </c>
      <c r="F493" s="17">
        <v>807995</v>
      </c>
      <c r="G493" s="8">
        <v>45757</v>
      </c>
      <c r="H493" s="1" t="s">
        <v>1543</v>
      </c>
      <c r="I493" s="11" t="s">
        <v>2509</v>
      </c>
      <c r="J493" s="6">
        <v>795204</v>
      </c>
      <c r="K493" s="3">
        <v>15795204</v>
      </c>
    </row>
    <row r="494" spans="1:11" x14ac:dyDescent="0.25">
      <c r="A494" s="1" t="s">
        <v>1843</v>
      </c>
      <c r="B494" s="1" t="s">
        <v>1532</v>
      </c>
      <c r="C494" s="5">
        <v>5</v>
      </c>
      <c r="D494" s="15">
        <v>16781089</v>
      </c>
      <c r="E494" s="1" t="s">
        <v>1538</v>
      </c>
      <c r="F494" s="18">
        <v>3556557</v>
      </c>
      <c r="G494" s="9">
        <v>45535</v>
      </c>
      <c r="H494" s="1" t="s">
        <v>1543</v>
      </c>
      <c r="I494" s="12" t="s">
        <v>1518</v>
      </c>
      <c r="J494" s="6">
        <v>264491</v>
      </c>
      <c r="K494" s="3">
        <v>15264491</v>
      </c>
    </row>
    <row r="495" spans="1:11" x14ac:dyDescent="0.25">
      <c r="A495" s="1" t="s">
        <v>2691</v>
      </c>
      <c r="B495" s="1" t="s">
        <v>1517</v>
      </c>
      <c r="C495" s="5">
        <v>1</v>
      </c>
      <c r="D495" s="14">
        <v>17339712</v>
      </c>
      <c r="E495" s="1" t="s">
        <v>2504</v>
      </c>
      <c r="F495" s="17">
        <v>114037</v>
      </c>
      <c r="G495" s="8">
        <v>45550</v>
      </c>
      <c r="H495" s="1" t="s">
        <v>1516</v>
      </c>
      <c r="I495" s="11" t="s">
        <v>2511</v>
      </c>
      <c r="J495" s="6">
        <v>344514</v>
      </c>
      <c r="K495" s="3">
        <v>15344514</v>
      </c>
    </row>
    <row r="496" spans="1:11" x14ac:dyDescent="0.25">
      <c r="A496" s="1" t="s">
        <v>2692</v>
      </c>
      <c r="B496" s="1" t="s">
        <v>1545</v>
      </c>
      <c r="C496" s="5">
        <v>3</v>
      </c>
      <c r="D496" s="15">
        <v>35578769</v>
      </c>
      <c r="E496" s="1" t="s">
        <v>2504</v>
      </c>
      <c r="F496" s="18">
        <v>2234515</v>
      </c>
      <c r="G496" s="9">
        <v>45505</v>
      </c>
      <c r="H496" s="1" t="s">
        <v>1543</v>
      </c>
      <c r="I496" s="12" t="s">
        <v>1512</v>
      </c>
      <c r="J496" s="6">
        <v>666885</v>
      </c>
      <c r="K496" s="3">
        <v>15666885</v>
      </c>
    </row>
    <row r="497" spans="1:11" x14ac:dyDescent="0.25">
      <c r="A497" s="1" t="s">
        <v>2693</v>
      </c>
      <c r="B497" s="1" t="s">
        <v>1514</v>
      </c>
      <c r="C497" s="5">
        <v>4</v>
      </c>
      <c r="D497" s="14">
        <v>3271656</v>
      </c>
      <c r="E497" s="1" t="s">
        <v>1538</v>
      </c>
      <c r="F497" s="17">
        <v>459438</v>
      </c>
      <c r="G497" s="8">
        <v>45612</v>
      </c>
      <c r="H497" s="1" t="s">
        <v>1522</v>
      </c>
      <c r="I497" s="11" t="s">
        <v>2509</v>
      </c>
      <c r="J497" s="6">
        <v>562444</v>
      </c>
      <c r="K497" s="3">
        <v>15562444</v>
      </c>
    </row>
    <row r="498" spans="1:11" x14ac:dyDescent="0.25">
      <c r="A498" s="1" t="s">
        <v>2694</v>
      </c>
      <c r="B498" s="1" t="s">
        <v>1523</v>
      </c>
      <c r="C498" s="5">
        <v>5</v>
      </c>
      <c r="D498" s="15">
        <v>7547639</v>
      </c>
      <c r="E498" s="1" t="s">
        <v>2504</v>
      </c>
      <c r="F498" s="18">
        <v>1041023</v>
      </c>
      <c r="G498" s="9">
        <v>45687</v>
      </c>
      <c r="H498" s="1" t="s">
        <v>1516</v>
      </c>
      <c r="I498" s="12" t="s">
        <v>1518</v>
      </c>
      <c r="J498" s="6">
        <v>130132</v>
      </c>
      <c r="K498" s="3">
        <v>15130132</v>
      </c>
    </row>
    <row r="499" spans="1:11" x14ac:dyDescent="0.25">
      <c r="A499" s="1" t="s">
        <v>1844</v>
      </c>
      <c r="B499" s="1" t="s">
        <v>1532</v>
      </c>
      <c r="C499" s="5">
        <v>4</v>
      </c>
      <c r="D499" s="14">
        <v>3371779</v>
      </c>
      <c r="E499" s="1" t="s">
        <v>1538</v>
      </c>
      <c r="F499" s="17">
        <v>144649</v>
      </c>
      <c r="G499" s="8">
        <v>45861</v>
      </c>
      <c r="H499" s="1" t="s">
        <v>2512</v>
      </c>
      <c r="I499" s="11" t="s">
        <v>2509</v>
      </c>
      <c r="J499" s="6">
        <v>64543</v>
      </c>
      <c r="K499" s="3">
        <v>15064543</v>
      </c>
    </row>
    <row r="500" spans="1:11" x14ac:dyDescent="0.25">
      <c r="A500" s="1" t="s">
        <v>2695</v>
      </c>
      <c r="B500" s="1" t="s">
        <v>1514</v>
      </c>
      <c r="C500" s="5">
        <v>1</v>
      </c>
      <c r="D500" s="15">
        <v>36285157</v>
      </c>
      <c r="E500" s="1" t="s">
        <v>2504</v>
      </c>
      <c r="F500" s="18">
        <v>342077</v>
      </c>
      <c r="G500" s="9">
        <v>45614</v>
      </c>
      <c r="H500" s="1" t="s">
        <v>1519</v>
      </c>
      <c r="I500" s="12" t="s">
        <v>1518</v>
      </c>
      <c r="J500" s="6">
        <v>718862</v>
      </c>
      <c r="K500" s="3">
        <v>15718862</v>
      </c>
    </row>
    <row r="501" spans="1:11" x14ac:dyDescent="0.25">
      <c r="A501" s="1" t="s">
        <v>1845</v>
      </c>
      <c r="B501" s="1" t="s">
        <v>1540</v>
      </c>
      <c r="C501" s="5">
        <v>5</v>
      </c>
      <c r="D501" s="14">
        <v>9956065</v>
      </c>
      <c r="E501" s="1" t="s">
        <v>1538</v>
      </c>
      <c r="F501" s="17">
        <v>537602</v>
      </c>
      <c r="G501" s="8">
        <v>45858</v>
      </c>
      <c r="H501" s="1" t="s">
        <v>1543</v>
      </c>
      <c r="I501" s="11" t="s">
        <v>1521</v>
      </c>
      <c r="J501" s="6">
        <v>188369</v>
      </c>
      <c r="K501" s="3">
        <v>15188369</v>
      </c>
    </row>
    <row r="502" spans="1:11" x14ac:dyDescent="0.25">
      <c r="A502" s="1" t="s">
        <v>2696</v>
      </c>
      <c r="B502" s="1" t="s">
        <v>1532</v>
      </c>
      <c r="C502" s="5">
        <v>5</v>
      </c>
      <c r="D502" s="15">
        <v>5745706</v>
      </c>
      <c r="E502" s="1" t="s">
        <v>1515</v>
      </c>
      <c r="F502" s="18">
        <v>516184</v>
      </c>
      <c r="G502" s="9">
        <v>45578</v>
      </c>
      <c r="H502" s="1" t="s">
        <v>1513</v>
      </c>
      <c r="I502" s="12" t="s">
        <v>1512</v>
      </c>
      <c r="J502" s="6">
        <v>10459</v>
      </c>
      <c r="K502" s="3">
        <v>1510459</v>
      </c>
    </row>
    <row r="503" spans="1:11" x14ac:dyDescent="0.25">
      <c r="A503" s="1" t="s">
        <v>2697</v>
      </c>
      <c r="B503" s="1" t="s">
        <v>1527</v>
      </c>
      <c r="C503" s="5">
        <v>3</v>
      </c>
      <c r="D503" s="14">
        <v>33939784</v>
      </c>
      <c r="E503" s="1" t="s">
        <v>1538</v>
      </c>
      <c r="F503" s="17">
        <v>3924208</v>
      </c>
      <c r="G503" s="8">
        <v>45567</v>
      </c>
      <c r="H503" s="1" t="s">
        <v>1543</v>
      </c>
      <c r="I503" s="11" t="s">
        <v>1512</v>
      </c>
      <c r="J503" s="6">
        <v>600312</v>
      </c>
      <c r="K503" s="3">
        <v>15600312</v>
      </c>
    </row>
    <row r="504" spans="1:11" x14ac:dyDescent="0.25">
      <c r="A504" s="1" t="s">
        <v>1846</v>
      </c>
      <c r="B504" s="1" t="s">
        <v>1527</v>
      </c>
      <c r="C504" s="5">
        <v>5</v>
      </c>
      <c r="D504" s="15">
        <v>18737155</v>
      </c>
      <c r="E504" s="1" t="s">
        <v>1538</v>
      </c>
      <c r="F504" s="18">
        <v>4322908</v>
      </c>
      <c r="G504" s="9">
        <v>45705</v>
      </c>
      <c r="H504" s="1" t="s">
        <v>1519</v>
      </c>
      <c r="I504" s="12" t="s">
        <v>2509</v>
      </c>
      <c r="J504" s="6">
        <v>288285</v>
      </c>
      <c r="K504" s="3">
        <v>15288285</v>
      </c>
    </row>
    <row r="505" spans="1:11" x14ac:dyDescent="0.25">
      <c r="A505" s="1" t="s">
        <v>2698</v>
      </c>
      <c r="B505" s="1" t="s">
        <v>1540</v>
      </c>
      <c r="C505" s="5">
        <v>1</v>
      </c>
      <c r="D505" s="14">
        <v>42034325</v>
      </c>
      <c r="E505" s="1" t="s">
        <v>1515</v>
      </c>
      <c r="F505" s="17">
        <v>8377721</v>
      </c>
      <c r="G505" s="8">
        <v>45706</v>
      </c>
      <c r="H505" s="1" t="s">
        <v>1513</v>
      </c>
      <c r="I505" s="11" t="s">
        <v>2507</v>
      </c>
      <c r="J505" s="6">
        <v>673132</v>
      </c>
      <c r="K505" s="3">
        <v>15673132</v>
      </c>
    </row>
    <row r="506" spans="1:11" x14ac:dyDescent="0.25">
      <c r="A506" s="1" t="s">
        <v>1847</v>
      </c>
      <c r="B506" s="1" t="s">
        <v>1517</v>
      </c>
      <c r="C506" s="5">
        <v>4</v>
      </c>
      <c r="D506" s="15">
        <v>36459056</v>
      </c>
      <c r="E506" s="1" t="s">
        <v>1515</v>
      </c>
      <c r="F506" s="18">
        <v>51551</v>
      </c>
      <c r="G506" s="9">
        <v>45813</v>
      </c>
      <c r="H506" s="1" t="s">
        <v>2510</v>
      </c>
      <c r="I506" s="12" t="s">
        <v>2509</v>
      </c>
      <c r="J506" s="6">
        <v>718871</v>
      </c>
      <c r="K506" s="3">
        <v>15718871</v>
      </c>
    </row>
    <row r="507" spans="1:11" x14ac:dyDescent="0.25">
      <c r="A507" s="1" t="s">
        <v>1848</v>
      </c>
      <c r="B507" s="1" t="s">
        <v>1540</v>
      </c>
      <c r="C507" s="5">
        <v>3</v>
      </c>
      <c r="D507" s="14">
        <v>23239673</v>
      </c>
      <c r="E507" s="1" t="s">
        <v>2504</v>
      </c>
      <c r="F507" s="17">
        <v>1966376</v>
      </c>
      <c r="G507" s="8">
        <v>45562</v>
      </c>
      <c r="H507" s="1" t="s">
        <v>2519</v>
      </c>
      <c r="I507" s="11" t="s">
        <v>2511</v>
      </c>
      <c r="J507" s="6">
        <v>425466</v>
      </c>
      <c r="K507" s="3">
        <v>15425466</v>
      </c>
    </row>
    <row r="508" spans="1:11" x14ac:dyDescent="0.25">
      <c r="A508" s="1" t="s">
        <v>2699</v>
      </c>
      <c r="B508" s="1" t="s">
        <v>1523</v>
      </c>
      <c r="C508" s="5">
        <v>2</v>
      </c>
      <c r="D508" s="15">
        <v>9266784</v>
      </c>
      <c r="E508" s="1" t="s">
        <v>2504</v>
      </c>
      <c r="F508" s="18">
        <v>1282472</v>
      </c>
      <c r="G508" s="9">
        <v>45636</v>
      </c>
      <c r="H508" s="1" t="s">
        <v>2519</v>
      </c>
      <c r="I508" s="12" t="s">
        <v>1512</v>
      </c>
      <c r="J508" s="6">
        <v>159686</v>
      </c>
      <c r="K508" s="3">
        <v>15159686</v>
      </c>
    </row>
    <row r="509" spans="1:11" x14ac:dyDescent="0.25">
      <c r="A509" s="1" t="s">
        <v>2700</v>
      </c>
      <c r="B509" s="1" t="s">
        <v>1517</v>
      </c>
      <c r="C509" s="5">
        <v>2</v>
      </c>
      <c r="D509" s="14">
        <v>34570241</v>
      </c>
      <c r="E509" s="1" t="s">
        <v>2504</v>
      </c>
      <c r="F509" s="17">
        <v>4521128</v>
      </c>
      <c r="G509" s="8">
        <v>45730</v>
      </c>
      <c r="H509" s="1" t="s">
        <v>1519</v>
      </c>
      <c r="I509" s="11" t="s">
        <v>1518</v>
      </c>
      <c r="J509" s="6">
        <v>600982</v>
      </c>
      <c r="K509" s="3">
        <v>15600982</v>
      </c>
    </row>
    <row r="510" spans="1:11" x14ac:dyDescent="0.25">
      <c r="A510" s="1" t="s">
        <v>1849</v>
      </c>
      <c r="B510" s="1" t="s">
        <v>1534</v>
      </c>
      <c r="C510" s="5">
        <v>5</v>
      </c>
      <c r="D510" s="15">
        <v>11858283</v>
      </c>
      <c r="E510" s="1" t="s">
        <v>1515</v>
      </c>
      <c r="F510" s="18">
        <v>2003909</v>
      </c>
      <c r="G510" s="9">
        <v>45626</v>
      </c>
      <c r="H510" s="1" t="s">
        <v>1543</v>
      </c>
      <c r="I510" s="12" t="s">
        <v>2509</v>
      </c>
      <c r="J510" s="6">
        <v>197087</v>
      </c>
      <c r="K510" s="3">
        <v>15197087</v>
      </c>
    </row>
    <row r="511" spans="1:11" x14ac:dyDescent="0.25">
      <c r="A511" s="1" t="s">
        <v>1850</v>
      </c>
      <c r="B511" s="1" t="s">
        <v>1536</v>
      </c>
      <c r="C511" s="5">
        <v>2</v>
      </c>
      <c r="D511" s="14">
        <v>30871818</v>
      </c>
      <c r="E511" s="1" t="s">
        <v>1538</v>
      </c>
      <c r="F511" s="17">
        <v>257307</v>
      </c>
      <c r="G511" s="8">
        <v>45788</v>
      </c>
      <c r="H511" s="1" t="s">
        <v>1543</v>
      </c>
      <c r="I511" s="11" t="s">
        <v>2511</v>
      </c>
      <c r="J511" s="6">
        <v>565975</v>
      </c>
      <c r="K511" s="3">
        <v>15565975</v>
      </c>
    </row>
    <row r="512" spans="1:11" x14ac:dyDescent="0.25">
      <c r="A512" s="1" t="s">
        <v>2701</v>
      </c>
      <c r="B512" s="1" t="s">
        <v>1532</v>
      </c>
      <c r="C512" s="5">
        <v>5</v>
      </c>
      <c r="D512" s="15">
        <v>4483401</v>
      </c>
      <c r="E512" s="1" t="s">
        <v>1538</v>
      </c>
      <c r="F512" s="18">
        <v>973838</v>
      </c>
      <c r="G512" s="9">
        <v>45851</v>
      </c>
      <c r="H512" s="1" t="s">
        <v>1543</v>
      </c>
      <c r="I512" s="12" t="s">
        <v>2511</v>
      </c>
      <c r="J512" s="6">
        <v>70191</v>
      </c>
      <c r="K512" s="3">
        <v>15070191</v>
      </c>
    </row>
    <row r="513" spans="1:11" x14ac:dyDescent="0.25">
      <c r="A513" s="1" t="s">
        <v>1851</v>
      </c>
      <c r="B513" s="1" t="s">
        <v>1523</v>
      </c>
      <c r="C513" s="5">
        <v>3</v>
      </c>
      <c r="D513" s="14">
        <v>2221409</v>
      </c>
      <c r="E513" s="1" t="s">
        <v>1538</v>
      </c>
      <c r="F513" s="17">
        <v>4358322</v>
      </c>
      <c r="G513" s="8">
        <v>45551</v>
      </c>
      <c r="H513" s="1" t="s">
        <v>1519</v>
      </c>
      <c r="I513" s="11" t="s">
        <v>2511</v>
      </c>
      <c r="J513" s="6">
        <v>357115</v>
      </c>
      <c r="K513" s="3">
        <v>15357115</v>
      </c>
    </row>
    <row r="514" spans="1:11" x14ac:dyDescent="0.25">
      <c r="A514" s="1" t="s">
        <v>1852</v>
      </c>
      <c r="B514" s="1" t="s">
        <v>1523</v>
      </c>
      <c r="C514" s="5">
        <v>3</v>
      </c>
      <c r="D514" s="15">
        <v>45654266</v>
      </c>
      <c r="E514" s="1" t="s">
        <v>1538</v>
      </c>
      <c r="F514" s="18">
        <v>750455</v>
      </c>
      <c r="G514" s="9">
        <v>45703</v>
      </c>
      <c r="H514" s="1" t="s">
        <v>1513</v>
      </c>
      <c r="I514" s="12" t="s">
        <v>2511</v>
      </c>
      <c r="J514" s="6">
        <v>898076</v>
      </c>
      <c r="K514" s="3">
        <v>15898076</v>
      </c>
    </row>
    <row r="515" spans="1:11" x14ac:dyDescent="0.25">
      <c r="A515" s="1" t="s">
        <v>2702</v>
      </c>
      <c r="B515" s="1" t="s">
        <v>1536</v>
      </c>
      <c r="C515" s="5">
        <v>5</v>
      </c>
      <c r="D515" s="14">
        <v>23837559</v>
      </c>
      <c r="E515" s="1" t="s">
        <v>1538</v>
      </c>
      <c r="F515" s="17">
        <v>1412234</v>
      </c>
      <c r="G515" s="8">
        <v>45592</v>
      </c>
      <c r="H515" s="1" t="s">
        <v>2508</v>
      </c>
      <c r="I515" s="11" t="s">
        <v>1521</v>
      </c>
      <c r="J515" s="6">
        <v>448507</v>
      </c>
      <c r="K515" s="3">
        <v>15448507</v>
      </c>
    </row>
    <row r="516" spans="1:11" x14ac:dyDescent="0.25">
      <c r="A516" s="1" t="s">
        <v>1853</v>
      </c>
      <c r="B516" s="1" t="s">
        <v>1545</v>
      </c>
      <c r="C516" s="5">
        <v>5</v>
      </c>
      <c r="D516" s="15">
        <v>1057155</v>
      </c>
      <c r="E516" s="1" t="s">
        <v>2504</v>
      </c>
      <c r="F516" s="18">
        <v>149221</v>
      </c>
      <c r="G516" s="9">
        <v>45822</v>
      </c>
      <c r="H516" s="1" t="s">
        <v>1513</v>
      </c>
      <c r="I516" s="12" t="s">
        <v>1518</v>
      </c>
      <c r="J516" s="6">
        <v>18159</v>
      </c>
      <c r="K516" s="3">
        <v>15018159</v>
      </c>
    </row>
    <row r="517" spans="1:11" x14ac:dyDescent="0.25">
      <c r="A517" s="1" t="s">
        <v>2703</v>
      </c>
      <c r="B517" s="1" t="s">
        <v>1536</v>
      </c>
      <c r="C517" s="5">
        <v>5</v>
      </c>
      <c r="D517" s="14">
        <v>40128386</v>
      </c>
      <c r="E517" s="1" t="s">
        <v>2504</v>
      </c>
      <c r="F517" s="17">
        <v>5391056</v>
      </c>
      <c r="G517" s="8">
        <v>45529</v>
      </c>
      <c r="H517" s="1" t="s">
        <v>2508</v>
      </c>
      <c r="I517" s="11" t="s">
        <v>2511</v>
      </c>
      <c r="J517" s="6">
        <v>694747</v>
      </c>
      <c r="K517" s="3">
        <v>15694747</v>
      </c>
    </row>
    <row r="518" spans="1:11" x14ac:dyDescent="0.25">
      <c r="A518" s="1" t="s">
        <v>1854</v>
      </c>
      <c r="B518" s="1" t="s">
        <v>1523</v>
      </c>
      <c r="C518" s="5">
        <v>2</v>
      </c>
      <c r="D518" s="15">
        <v>9993868</v>
      </c>
      <c r="E518" s="1" t="s">
        <v>1515</v>
      </c>
      <c r="F518" s="18">
        <v>214588</v>
      </c>
      <c r="G518" s="9">
        <v>45532</v>
      </c>
      <c r="H518" s="1" t="s">
        <v>2512</v>
      </c>
      <c r="I518" s="12" t="s">
        <v>2511</v>
      </c>
      <c r="J518" s="6">
        <v>195586</v>
      </c>
      <c r="K518" s="3">
        <v>15195586</v>
      </c>
    </row>
    <row r="519" spans="1:11" x14ac:dyDescent="0.25">
      <c r="A519" s="1" t="s">
        <v>1855</v>
      </c>
      <c r="B519" s="1" t="s">
        <v>1517</v>
      </c>
      <c r="C519" s="5">
        <v>1</v>
      </c>
      <c r="D519" s="14">
        <v>44156505</v>
      </c>
      <c r="E519" s="1" t="s">
        <v>1538</v>
      </c>
      <c r="F519" s="17">
        <v>1015662</v>
      </c>
      <c r="G519" s="8">
        <v>45538</v>
      </c>
      <c r="H519" s="1" t="s">
        <v>1513</v>
      </c>
      <c r="I519" s="11" t="s">
        <v>1512</v>
      </c>
      <c r="J519" s="6">
        <v>862817</v>
      </c>
      <c r="K519" s="3">
        <v>15862817</v>
      </c>
    </row>
    <row r="520" spans="1:11" x14ac:dyDescent="0.25">
      <c r="A520" s="1" t="s">
        <v>1856</v>
      </c>
      <c r="B520" s="1" t="s">
        <v>1540</v>
      </c>
      <c r="C520" s="5">
        <v>2</v>
      </c>
      <c r="D520" s="15">
        <v>25074406</v>
      </c>
      <c r="E520" s="1" t="s">
        <v>1515</v>
      </c>
      <c r="F520" s="18">
        <v>531106</v>
      </c>
      <c r="G520" s="9">
        <v>45781</v>
      </c>
      <c r="H520" s="1" t="s">
        <v>2519</v>
      </c>
      <c r="I520" s="12" t="s">
        <v>1518</v>
      </c>
      <c r="J520" s="6">
        <v>490866</v>
      </c>
      <c r="K520" s="3">
        <v>15490866</v>
      </c>
    </row>
    <row r="521" spans="1:11" x14ac:dyDescent="0.25">
      <c r="A521" s="1" t="s">
        <v>2704</v>
      </c>
      <c r="B521" s="1" t="s">
        <v>1532</v>
      </c>
      <c r="C521" s="5">
        <v>4</v>
      </c>
      <c r="D521" s="14">
        <v>16513231</v>
      </c>
      <c r="E521" s="1" t="s">
        <v>2504</v>
      </c>
      <c r="F521" s="17">
        <v>2870925</v>
      </c>
      <c r="G521" s="8">
        <v>45542</v>
      </c>
      <c r="H521" s="1" t="s">
        <v>2515</v>
      </c>
      <c r="I521" s="11" t="s">
        <v>2511</v>
      </c>
      <c r="J521" s="6">
        <v>272846</v>
      </c>
      <c r="K521" s="3">
        <v>15272846</v>
      </c>
    </row>
    <row r="522" spans="1:11" x14ac:dyDescent="0.25">
      <c r="A522" s="1" t="s">
        <v>1857</v>
      </c>
      <c r="B522" s="1" t="s">
        <v>1527</v>
      </c>
      <c r="C522" s="5">
        <v>2</v>
      </c>
      <c r="D522" s="15">
        <v>46871418</v>
      </c>
      <c r="E522" s="1" t="s">
        <v>2504</v>
      </c>
      <c r="F522" s="18">
        <v>501861</v>
      </c>
      <c r="G522" s="9">
        <v>45759</v>
      </c>
      <c r="H522" s="1" t="s">
        <v>2512</v>
      </c>
      <c r="I522" s="12" t="s">
        <v>2509</v>
      </c>
      <c r="J522" s="6">
        <v>927391</v>
      </c>
      <c r="K522" s="3">
        <v>15927391</v>
      </c>
    </row>
    <row r="523" spans="1:11" x14ac:dyDescent="0.25">
      <c r="A523" s="1" t="s">
        <v>2705</v>
      </c>
      <c r="B523" s="1" t="s">
        <v>1532</v>
      </c>
      <c r="C523" s="5">
        <v>1</v>
      </c>
      <c r="D523" s="14">
        <v>37110329</v>
      </c>
      <c r="E523" s="1" t="s">
        <v>2504</v>
      </c>
      <c r="F523" s="17">
        <v>8273259</v>
      </c>
      <c r="G523" s="8">
        <v>45740</v>
      </c>
      <c r="H523" s="1" t="s">
        <v>2519</v>
      </c>
      <c r="I523" s="11" t="s">
        <v>1512</v>
      </c>
      <c r="J523" s="6">
        <v>576741</v>
      </c>
      <c r="K523" s="3">
        <v>15576741</v>
      </c>
    </row>
    <row r="524" spans="1:11" x14ac:dyDescent="0.25">
      <c r="A524" s="1" t="s">
        <v>1858</v>
      </c>
      <c r="B524" s="1" t="s">
        <v>1536</v>
      </c>
      <c r="C524" s="5">
        <v>4</v>
      </c>
      <c r="D524" s="15">
        <v>31071281</v>
      </c>
      <c r="E524" s="1" t="s">
        <v>1515</v>
      </c>
      <c r="F524" s="18">
        <v>1955411</v>
      </c>
      <c r="G524" s="9">
        <v>45502</v>
      </c>
      <c r="H524" s="1" t="s">
        <v>1522</v>
      </c>
      <c r="I524" s="12" t="s">
        <v>2507</v>
      </c>
      <c r="J524" s="6">
        <v>582317</v>
      </c>
      <c r="K524" s="3">
        <v>15582317</v>
      </c>
    </row>
    <row r="525" spans="1:11" x14ac:dyDescent="0.25">
      <c r="A525" s="1" t="s">
        <v>2706</v>
      </c>
      <c r="B525" s="1" t="s">
        <v>1540</v>
      </c>
      <c r="C525" s="5">
        <v>4</v>
      </c>
      <c r="D525" s="14">
        <v>44501436</v>
      </c>
      <c r="E525" s="1" t="s">
        <v>1538</v>
      </c>
      <c r="F525" s="17">
        <v>8076881</v>
      </c>
      <c r="G525" s="8">
        <v>45822</v>
      </c>
      <c r="H525" s="1" t="s">
        <v>1519</v>
      </c>
      <c r="I525" s="11" t="s">
        <v>1512</v>
      </c>
      <c r="J525" s="6">
        <v>728491</v>
      </c>
      <c r="K525" s="3">
        <v>15728491</v>
      </c>
    </row>
    <row r="526" spans="1:11" x14ac:dyDescent="0.25">
      <c r="A526" s="1" t="s">
        <v>2707</v>
      </c>
      <c r="B526" s="1" t="s">
        <v>1525</v>
      </c>
      <c r="C526" s="5">
        <v>5</v>
      </c>
      <c r="D526" s="15">
        <v>7789186</v>
      </c>
      <c r="E526" s="1" t="s">
        <v>2504</v>
      </c>
      <c r="F526" s="18">
        <v>1441867</v>
      </c>
      <c r="G526" s="9">
        <v>45675</v>
      </c>
      <c r="H526" s="1" t="s">
        <v>2519</v>
      </c>
      <c r="I526" s="12" t="s">
        <v>2511</v>
      </c>
      <c r="J526" s="6">
        <v>126946</v>
      </c>
      <c r="K526" s="3">
        <v>15126946</v>
      </c>
    </row>
    <row r="527" spans="1:11" x14ac:dyDescent="0.25">
      <c r="A527" s="1" t="s">
        <v>1859</v>
      </c>
      <c r="B527" s="1" t="s">
        <v>1540</v>
      </c>
      <c r="C527" s="5">
        <v>3</v>
      </c>
      <c r="D527" s="14">
        <v>9130762</v>
      </c>
      <c r="E527" s="1" t="s">
        <v>1515</v>
      </c>
      <c r="F527" s="17">
        <v>259878</v>
      </c>
      <c r="G527" s="8">
        <v>45621</v>
      </c>
      <c r="H527" s="1" t="s">
        <v>1543</v>
      </c>
      <c r="I527" s="11" t="s">
        <v>1521</v>
      </c>
      <c r="J527" s="6">
        <v>177418</v>
      </c>
      <c r="K527" s="3">
        <v>15177418</v>
      </c>
    </row>
    <row r="528" spans="1:11" x14ac:dyDescent="0.25">
      <c r="A528" s="1" t="s">
        <v>1860</v>
      </c>
      <c r="B528" s="1" t="s">
        <v>1545</v>
      </c>
      <c r="C528" s="5">
        <v>4</v>
      </c>
      <c r="D528" s="15">
        <v>47766063</v>
      </c>
      <c r="E528" s="1" t="s">
        <v>1515</v>
      </c>
      <c r="F528" s="18">
        <v>7606764</v>
      </c>
      <c r="G528" s="9">
        <v>45648</v>
      </c>
      <c r="H528" s="1" t="s">
        <v>2519</v>
      </c>
      <c r="I528" s="12" t="s">
        <v>1521</v>
      </c>
      <c r="J528" s="6">
        <v>803186</v>
      </c>
      <c r="K528" s="3">
        <v>15803186</v>
      </c>
    </row>
    <row r="529" spans="1:11" x14ac:dyDescent="0.25">
      <c r="A529" s="1" t="s">
        <v>1861</v>
      </c>
      <c r="B529" s="1" t="s">
        <v>1532</v>
      </c>
      <c r="C529" s="5">
        <v>4</v>
      </c>
      <c r="D529" s="14">
        <v>34732753</v>
      </c>
      <c r="E529" s="1" t="s">
        <v>1538</v>
      </c>
      <c r="F529" s="17">
        <v>4369176</v>
      </c>
      <c r="G529" s="8">
        <v>45507</v>
      </c>
      <c r="H529" s="1" t="s">
        <v>1513</v>
      </c>
      <c r="I529" s="11" t="s">
        <v>2509</v>
      </c>
      <c r="J529" s="6">
        <v>607272</v>
      </c>
      <c r="K529" s="3">
        <v>15607272</v>
      </c>
    </row>
    <row r="530" spans="1:11" x14ac:dyDescent="0.25">
      <c r="A530" s="1" t="s">
        <v>2708</v>
      </c>
      <c r="B530" s="1" t="s">
        <v>1545</v>
      </c>
      <c r="C530" s="5">
        <v>5</v>
      </c>
      <c r="D530" s="15">
        <v>1530562</v>
      </c>
      <c r="E530" s="1" t="s">
        <v>2504</v>
      </c>
      <c r="F530" s="18">
        <v>20783</v>
      </c>
      <c r="G530" s="9">
        <v>45534</v>
      </c>
      <c r="H530" s="1" t="s">
        <v>2508</v>
      </c>
      <c r="I530" s="12" t="s">
        <v>1521</v>
      </c>
      <c r="J530" s="6">
        <v>30196</v>
      </c>
      <c r="K530" s="3">
        <v>15030196</v>
      </c>
    </row>
    <row r="531" spans="1:11" x14ac:dyDescent="0.25">
      <c r="A531" s="1" t="s">
        <v>1862</v>
      </c>
      <c r="B531" s="1" t="s">
        <v>1514</v>
      </c>
      <c r="C531" s="5">
        <v>1</v>
      </c>
      <c r="D531" s="14">
        <v>1073284</v>
      </c>
      <c r="E531" s="1" t="s">
        <v>1538</v>
      </c>
      <c r="F531" s="17">
        <v>1033904</v>
      </c>
      <c r="G531" s="8">
        <v>45756</v>
      </c>
      <c r="H531" s="1" t="s">
        <v>2510</v>
      </c>
      <c r="I531" s="11" t="s">
        <v>1512</v>
      </c>
      <c r="J531" s="6">
        <v>193979</v>
      </c>
      <c r="K531" s="3">
        <v>15193979</v>
      </c>
    </row>
    <row r="532" spans="1:11" x14ac:dyDescent="0.25">
      <c r="A532" s="1" t="s">
        <v>1863</v>
      </c>
      <c r="B532" s="1" t="s">
        <v>1545</v>
      </c>
      <c r="C532" s="5">
        <v>2</v>
      </c>
      <c r="D532" s="15">
        <v>7206043</v>
      </c>
      <c r="E532" s="1" t="s">
        <v>1515</v>
      </c>
      <c r="F532" s="18">
        <v>680109</v>
      </c>
      <c r="G532" s="9">
        <v>45654</v>
      </c>
      <c r="H532" s="1" t="s">
        <v>2508</v>
      </c>
      <c r="I532" s="12" t="s">
        <v>1521</v>
      </c>
      <c r="J532" s="6">
        <v>130519</v>
      </c>
      <c r="K532" s="3">
        <v>15130519</v>
      </c>
    </row>
    <row r="533" spans="1:11" x14ac:dyDescent="0.25">
      <c r="A533" s="1" t="s">
        <v>1864</v>
      </c>
      <c r="B533" s="1" t="s">
        <v>1532</v>
      </c>
      <c r="C533" s="5">
        <v>5</v>
      </c>
      <c r="D533" s="14">
        <v>2780073</v>
      </c>
      <c r="E533" s="1" t="s">
        <v>1515</v>
      </c>
      <c r="F533" s="17">
        <v>8329</v>
      </c>
      <c r="G533" s="8">
        <v>45582</v>
      </c>
      <c r="H533" s="1" t="s">
        <v>2515</v>
      </c>
      <c r="I533" s="11" t="s">
        <v>2507</v>
      </c>
      <c r="J533" s="6">
        <v>55435</v>
      </c>
      <c r="K533" s="3">
        <v>15055435</v>
      </c>
    </row>
    <row r="534" spans="1:11" x14ac:dyDescent="0.25">
      <c r="A534" s="1" t="s">
        <v>1865</v>
      </c>
      <c r="B534" s="1" t="s">
        <v>1545</v>
      </c>
      <c r="C534" s="5">
        <v>1</v>
      </c>
      <c r="D534" s="15">
        <v>32426853</v>
      </c>
      <c r="E534" s="1" t="s">
        <v>2504</v>
      </c>
      <c r="F534" s="18">
        <v>4190572</v>
      </c>
      <c r="G534" s="9">
        <v>45808</v>
      </c>
      <c r="H534" s="1" t="s">
        <v>1519</v>
      </c>
      <c r="I534" s="12" t="s">
        <v>1512</v>
      </c>
      <c r="J534" s="6">
        <v>564726</v>
      </c>
      <c r="K534" s="3">
        <v>15564726</v>
      </c>
    </row>
    <row r="535" spans="1:11" x14ac:dyDescent="0.25">
      <c r="A535" s="1" t="s">
        <v>2709</v>
      </c>
      <c r="B535" s="1" t="s">
        <v>1514</v>
      </c>
      <c r="C535" s="5">
        <v>3</v>
      </c>
      <c r="D535" s="14">
        <v>46113577</v>
      </c>
      <c r="E535" s="1" t="s">
        <v>1538</v>
      </c>
      <c r="F535" s="17">
        <v>10396779</v>
      </c>
      <c r="G535" s="8">
        <v>45535</v>
      </c>
      <c r="H535" s="1" t="s">
        <v>2508</v>
      </c>
      <c r="I535" s="11" t="s">
        <v>1521</v>
      </c>
      <c r="J535" s="6">
        <v>714336</v>
      </c>
      <c r="K535" s="3">
        <v>15714336</v>
      </c>
    </row>
    <row r="536" spans="1:11" x14ac:dyDescent="0.25">
      <c r="A536" s="1" t="s">
        <v>1866</v>
      </c>
      <c r="B536" s="1" t="s">
        <v>1523</v>
      </c>
      <c r="C536" s="5">
        <v>3</v>
      </c>
      <c r="D536" s="15">
        <v>16313397</v>
      </c>
      <c r="E536" s="1" t="s">
        <v>1538</v>
      </c>
      <c r="F536" s="18">
        <v>3642082</v>
      </c>
      <c r="G536" s="9">
        <v>45627</v>
      </c>
      <c r="H536" s="1" t="s">
        <v>1513</v>
      </c>
      <c r="I536" s="12" t="s">
        <v>2511</v>
      </c>
      <c r="J536" s="6">
        <v>253426</v>
      </c>
      <c r="K536" s="3">
        <v>15253426</v>
      </c>
    </row>
    <row r="537" spans="1:11" x14ac:dyDescent="0.25">
      <c r="A537" s="1" t="s">
        <v>2710</v>
      </c>
      <c r="B537" s="1" t="s">
        <v>1536</v>
      </c>
      <c r="C537" s="5">
        <v>3</v>
      </c>
      <c r="D537" s="14">
        <v>43959749</v>
      </c>
      <c r="E537" s="1" t="s">
        <v>2504</v>
      </c>
      <c r="F537" s="17">
        <v>3176344</v>
      </c>
      <c r="G537" s="8">
        <v>45554</v>
      </c>
      <c r="H537" s="1" t="s">
        <v>2519</v>
      </c>
      <c r="I537" s="11" t="s">
        <v>1512</v>
      </c>
      <c r="J537" s="6">
        <v>815668</v>
      </c>
      <c r="K537" s="3">
        <v>15815668</v>
      </c>
    </row>
    <row r="538" spans="1:11" x14ac:dyDescent="0.25">
      <c r="A538" s="1" t="s">
        <v>1867</v>
      </c>
      <c r="B538" s="1" t="s">
        <v>1525</v>
      </c>
      <c r="C538" s="5">
        <v>4</v>
      </c>
      <c r="D538" s="15">
        <v>1100003</v>
      </c>
      <c r="E538" s="1" t="s">
        <v>1515</v>
      </c>
      <c r="F538" s="18">
        <v>165032</v>
      </c>
      <c r="G538" s="9">
        <v>45751</v>
      </c>
      <c r="H538" s="1" t="s">
        <v>2512</v>
      </c>
      <c r="I538" s="12" t="s">
        <v>1518</v>
      </c>
      <c r="J538" s="6">
        <v>18699</v>
      </c>
      <c r="K538" s="3">
        <v>15018699</v>
      </c>
    </row>
    <row r="539" spans="1:11" x14ac:dyDescent="0.25">
      <c r="A539" s="1" t="s">
        <v>2711</v>
      </c>
      <c r="B539" s="1" t="s">
        <v>1525</v>
      </c>
      <c r="C539" s="5">
        <v>2</v>
      </c>
      <c r="D539" s="14">
        <v>46658305</v>
      </c>
      <c r="E539" s="1" t="s">
        <v>2504</v>
      </c>
      <c r="F539" s="17">
        <v>1590132</v>
      </c>
      <c r="G539" s="8">
        <v>45780</v>
      </c>
      <c r="H539" s="1" t="s">
        <v>2508</v>
      </c>
      <c r="I539" s="11" t="s">
        <v>2507</v>
      </c>
      <c r="J539" s="6">
        <v>901363</v>
      </c>
      <c r="K539" s="3">
        <v>15901363</v>
      </c>
    </row>
    <row r="540" spans="1:11" x14ac:dyDescent="0.25">
      <c r="A540" s="1" t="s">
        <v>1868</v>
      </c>
      <c r="B540" s="1" t="s">
        <v>1523</v>
      </c>
      <c r="C540" s="5">
        <v>4</v>
      </c>
      <c r="D540" s="15">
        <v>1525825</v>
      </c>
      <c r="E540" s="1" t="s">
        <v>1538</v>
      </c>
      <c r="F540" s="18">
        <v>1188103</v>
      </c>
      <c r="G540" s="9">
        <v>45823</v>
      </c>
      <c r="H540" s="1" t="s">
        <v>1513</v>
      </c>
      <c r="I540" s="12" t="s">
        <v>2509</v>
      </c>
      <c r="J540" s="6">
        <v>281403</v>
      </c>
      <c r="K540" s="3">
        <v>15281403</v>
      </c>
    </row>
    <row r="541" spans="1:11" x14ac:dyDescent="0.25">
      <c r="A541" s="1" t="s">
        <v>2712</v>
      </c>
      <c r="B541" s="1" t="s">
        <v>1532</v>
      </c>
      <c r="C541" s="5">
        <v>3</v>
      </c>
      <c r="D541" s="14">
        <v>42955454</v>
      </c>
      <c r="E541" s="1" t="s">
        <v>1515</v>
      </c>
      <c r="F541" s="17">
        <v>312991</v>
      </c>
      <c r="G541" s="8">
        <v>45532</v>
      </c>
      <c r="H541" s="1" t="s">
        <v>1513</v>
      </c>
      <c r="I541" s="11" t="s">
        <v>1512</v>
      </c>
      <c r="J541" s="6">
        <v>796511</v>
      </c>
      <c r="K541" s="3">
        <v>15796511</v>
      </c>
    </row>
    <row r="542" spans="1:11" x14ac:dyDescent="0.25">
      <c r="A542" s="1" t="s">
        <v>2713</v>
      </c>
      <c r="B542" s="1" t="s">
        <v>1523</v>
      </c>
      <c r="C542" s="5">
        <v>3</v>
      </c>
      <c r="D542" s="15">
        <v>40887544</v>
      </c>
      <c r="E542" s="1" t="s">
        <v>2504</v>
      </c>
      <c r="F542" s="18">
        <v>355833</v>
      </c>
      <c r="G542" s="9">
        <v>45725</v>
      </c>
      <c r="H542" s="1" t="s">
        <v>1543</v>
      </c>
      <c r="I542" s="12" t="s">
        <v>1518</v>
      </c>
      <c r="J542" s="6">
        <v>810634</v>
      </c>
      <c r="K542" s="3">
        <v>15810634</v>
      </c>
    </row>
    <row r="543" spans="1:11" x14ac:dyDescent="0.25">
      <c r="A543" s="1" t="s">
        <v>1869</v>
      </c>
      <c r="B543" s="1" t="s">
        <v>1514</v>
      </c>
      <c r="C543" s="5">
        <v>4</v>
      </c>
      <c r="D543" s="14">
        <v>6095265</v>
      </c>
      <c r="E543" s="1" t="s">
        <v>1538</v>
      </c>
      <c r="F543" s="17">
        <v>133184</v>
      </c>
      <c r="G543" s="8">
        <v>45679</v>
      </c>
      <c r="H543" s="1" t="s">
        <v>1543</v>
      </c>
      <c r="I543" s="11" t="s">
        <v>1518</v>
      </c>
      <c r="J543" s="6">
        <v>95269</v>
      </c>
      <c r="K543" s="3">
        <v>15095269</v>
      </c>
    </row>
    <row r="544" spans="1:11" x14ac:dyDescent="0.25">
      <c r="A544" s="1" t="s">
        <v>1870</v>
      </c>
      <c r="B544" s="1" t="s">
        <v>1527</v>
      </c>
      <c r="C544" s="5">
        <v>3</v>
      </c>
      <c r="D544" s="15">
        <v>46303606</v>
      </c>
      <c r="E544" s="1" t="s">
        <v>1538</v>
      </c>
      <c r="F544" s="18">
        <v>3047746</v>
      </c>
      <c r="G544" s="9">
        <v>45656</v>
      </c>
      <c r="H544" s="1" t="s">
        <v>2519</v>
      </c>
      <c r="I544" s="12" t="s">
        <v>1512</v>
      </c>
      <c r="J544" s="6">
        <v>865117</v>
      </c>
      <c r="K544" s="3">
        <v>15865117</v>
      </c>
    </row>
    <row r="545" spans="1:11" x14ac:dyDescent="0.25">
      <c r="A545" s="1" t="s">
        <v>1871</v>
      </c>
      <c r="B545" s="1" t="s">
        <v>1523</v>
      </c>
      <c r="C545" s="5">
        <v>3</v>
      </c>
      <c r="D545" s="14">
        <v>28634499</v>
      </c>
      <c r="E545" s="1" t="s">
        <v>2504</v>
      </c>
      <c r="F545" s="17">
        <v>192004</v>
      </c>
      <c r="G545" s="8">
        <v>45705</v>
      </c>
      <c r="H545" s="1" t="s">
        <v>1543</v>
      </c>
      <c r="I545" s="11" t="s">
        <v>2509</v>
      </c>
      <c r="J545" s="6">
        <v>56885</v>
      </c>
      <c r="K545" s="3">
        <v>1556885</v>
      </c>
    </row>
    <row r="546" spans="1:11" x14ac:dyDescent="0.25">
      <c r="A546" s="1" t="s">
        <v>1872</v>
      </c>
      <c r="B546" s="1" t="s">
        <v>1523</v>
      </c>
      <c r="C546" s="5">
        <v>5</v>
      </c>
      <c r="D546" s="15">
        <v>29068082</v>
      </c>
      <c r="E546" s="1" t="s">
        <v>1515</v>
      </c>
      <c r="F546" s="18">
        <v>4406903</v>
      </c>
      <c r="G546" s="9">
        <v>45615</v>
      </c>
      <c r="H546" s="1" t="s">
        <v>1516</v>
      </c>
      <c r="I546" s="12" t="s">
        <v>2509</v>
      </c>
      <c r="J546" s="6">
        <v>493224</v>
      </c>
      <c r="K546" s="3">
        <v>15493224</v>
      </c>
    </row>
    <row r="547" spans="1:11" x14ac:dyDescent="0.25">
      <c r="A547" s="1" t="s">
        <v>1873</v>
      </c>
      <c r="B547" s="1" t="s">
        <v>1545</v>
      </c>
      <c r="C547" s="5">
        <v>2</v>
      </c>
      <c r="D547" s="14">
        <v>29996112</v>
      </c>
      <c r="E547" s="1" t="s">
        <v>1515</v>
      </c>
      <c r="F547" s="17">
        <v>201016</v>
      </c>
      <c r="G547" s="8">
        <v>45603</v>
      </c>
      <c r="H547" s="1" t="s">
        <v>2519</v>
      </c>
      <c r="I547" s="11" t="s">
        <v>1518</v>
      </c>
      <c r="J547" s="6">
        <v>559719</v>
      </c>
      <c r="K547" s="3">
        <v>15559719</v>
      </c>
    </row>
    <row r="548" spans="1:11" x14ac:dyDescent="0.25">
      <c r="A548" s="1" t="s">
        <v>1874</v>
      </c>
      <c r="B548" s="1" t="s">
        <v>1514</v>
      </c>
      <c r="C548" s="5">
        <v>3</v>
      </c>
      <c r="D548" s="15">
        <v>693126</v>
      </c>
      <c r="E548" s="1" t="s">
        <v>2504</v>
      </c>
      <c r="F548" s="18">
        <v>52763</v>
      </c>
      <c r="G548" s="9">
        <v>45858</v>
      </c>
      <c r="H548" s="1" t="s">
        <v>1519</v>
      </c>
      <c r="I548" s="12" t="s">
        <v>1518</v>
      </c>
      <c r="J548" s="6">
        <v>13757</v>
      </c>
      <c r="K548" s="3">
        <v>1513757</v>
      </c>
    </row>
    <row r="549" spans="1:11" x14ac:dyDescent="0.25">
      <c r="A549" s="1" t="s">
        <v>2714</v>
      </c>
      <c r="B549" s="1" t="s">
        <v>1523</v>
      </c>
      <c r="C549" s="5">
        <v>3</v>
      </c>
      <c r="D549" s="14">
        <v>12483078</v>
      </c>
      <c r="E549" s="1" t="s">
        <v>1515</v>
      </c>
      <c r="F549" s="17">
        <v>1901564</v>
      </c>
      <c r="G549" s="8">
        <v>45808</v>
      </c>
      <c r="H549" s="1" t="s">
        <v>1543</v>
      </c>
      <c r="I549" s="11" t="s">
        <v>1512</v>
      </c>
      <c r="J549" s="6">
        <v>21163</v>
      </c>
      <c r="K549" s="3">
        <v>1521163</v>
      </c>
    </row>
    <row r="550" spans="1:11" x14ac:dyDescent="0.25">
      <c r="A550" s="1" t="s">
        <v>1875</v>
      </c>
      <c r="B550" s="1" t="s">
        <v>1523</v>
      </c>
      <c r="C550" s="5">
        <v>3</v>
      </c>
      <c r="D550" s="15">
        <v>21359473</v>
      </c>
      <c r="E550" s="1" t="s">
        <v>1538</v>
      </c>
      <c r="F550" s="18">
        <v>2119801</v>
      </c>
      <c r="G550" s="9">
        <v>45820</v>
      </c>
      <c r="H550" s="1" t="s">
        <v>1522</v>
      </c>
      <c r="I550" s="12" t="s">
        <v>1521</v>
      </c>
      <c r="J550" s="6">
        <v>384793</v>
      </c>
      <c r="K550" s="3">
        <v>15384793</v>
      </c>
    </row>
    <row r="551" spans="1:11" x14ac:dyDescent="0.25">
      <c r="A551" s="1" t="s">
        <v>1876</v>
      </c>
      <c r="B551" s="1" t="s">
        <v>1545</v>
      </c>
      <c r="C551" s="5">
        <v>3</v>
      </c>
      <c r="D551" s="14">
        <v>44713032</v>
      </c>
      <c r="E551" s="1" t="s">
        <v>1538</v>
      </c>
      <c r="F551" s="17">
        <v>2608044</v>
      </c>
      <c r="G551" s="8">
        <v>45609</v>
      </c>
      <c r="H551" s="1" t="s">
        <v>2508</v>
      </c>
      <c r="I551" s="11" t="s">
        <v>2507</v>
      </c>
      <c r="J551" s="6">
        <v>84210</v>
      </c>
      <c r="K551" s="3">
        <v>1584210</v>
      </c>
    </row>
    <row r="552" spans="1:11" x14ac:dyDescent="0.25">
      <c r="A552" s="1" t="s">
        <v>2715</v>
      </c>
      <c r="B552" s="1" t="s">
        <v>1545</v>
      </c>
      <c r="C552" s="5">
        <v>1</v>
      </c>
      <c r="D552" s="15">
        <v>26015333</v>
      </c>
      <c r="E552" s="1" t="s">
        <v>1538</v>
      </c>
      <c r="F552" s="18">
        <v>305496</v>
      </c>
      <c r="G552" s="9">
        <v>45684</v>
      </c>
      <c r="H552" s="1" t="s">
        <v>2508</v>
      </c>
      <c r="I552" s="12" t="s">
        <v>1518</v>
      </c>
      <c r="J552" s="6">
        <v>514197</v>
      </c>
      <c r="K552" s="3">
        <v>15514197</v>
      </c>
    </row>
    <row r="553" spans="1:11" x14ac:dyDescent="0.25">
      <c r="A553" s="1" t="s">
        <v>1877</v>
      </c>
      <c r="B553" s="1" t="s">
        <v>1514</v>
      </c>
      <c r="C553" s="5">
        <v>2</v>
      </c>
      <c r="D553" s="14">
        <v>5949703</v>
      </c>
      <c r="E553" s="1" t="s">
        <v>1538</v>
      </c>
      <c r="F553" s="17">
        <v>335709</v>
      </c>
      <c r="G553" s="8">
        <v>45694</v>
      </c>
      <c r="H553" s="1" t="s">
        <v>2512</v>
      </c>
      <c r="I553" s="11" t="s">
        <v>1512</v>
      </c>
      <c r="J553" s="6">
        <v>11228</v>
      </c>
      <c r="K553" s="3">
        <v>1511228</v>
      </c>
    </row>
    <row r="554" spans="1:11" x14ac:dyDescent="0.25">
      <c r="A554" s="1" t="s">
        <v>1878</v>
      </c>
      <c r="B554" s="1" t="s">
        <v>1534</v>
      </c>
      <c r="C554" s="5">
        <v>4</v>
      </c>
      <c r="D554" s="15">
        <v>37709999</v>
      </c>
      <c r="E554" s="1" t="s">
        <v>1515</v>
      </c>
      <c r="F554" s="18">
        <v>4599198</v>
      </c>
      <c r="G554" s="9">
        <v>45590</v>
      </c>
      <c r="H554" s="1" t="s">
        <v>1516</v>
      </c>
      <c r="I554" s="12" t="s">
        <v>1521</v>
      </c>
      <c r="J554" s="6">
        <v>662216</v>
      </c>
      <c r="K554" s="3">
        <v>15662216</v>
      </c>
    </row>
    <row r="555" spans="1:11" x14ac:dyDescent="0.25">
      <c r="A555" s="1" t="s">
        <v>1879</v>
      </c>
      <c r="B555" s="1" t="s">
        <v>1527</v>
      </c>
      <c r="C555" s="5">
        <v>5</v>
      </c>
      <c r="D555" s="14">
        <v>48350073</v>
      </c>
      <c r="E555" s="1" t="s">
        <v>1515</v>
      </c>
      <c r="F555" s="17">
        <v>1771691</v>
      </c>
      <c r="G555" s="8">
        <v>45617</v>
      </c>
      <c r="H555" s="1" t="s">
        <v>2510</v>
      </c>
      <c r="I555" s="11" t="s">
        <v>2507</v>
      </c>
      <c r="J555" s="6">
        <v>931568</v>
      </c>
      <c r="K555" s="3">
        <v>15931568</v>
      </c>
    </row>
    <row r="556" spans="1:11" x14ac:dyDescent="0.25">
      <c r="A556" s="1" t="s">
        <v>2716</v>
      </c>
      <c r="B556" s="1" t="s">
        <v>1525</v>
      </c>
      <c r="C556" s="5">
        <v>4</v>
      </c>
      <c r="D556" s="15">
        <v>39399029</v>
      </c>
      <c r="E556" s="1" t="s">
        <v>1515</v>
      </c>
      <c r="F556" s="18">
        <v>6270558</v>
      </c>
      <c r="G556" s="9">
        <v>45725</v>
      </c>
      <c r="H556" s="1" t="s">
        <v>2508</v>
      </c>
      <c r="I556" s="12" t="s">
        <v>2507</v>
      </c>
      <c r="J556" s="6">
        <v>662569</v>
      </c>
      <c r="K556" s="3">
        <v>15662569</v>
      </c>
    </row>
    <row r="557" spans="1:11" x14ac:dyDescent="0.25">
      <c r="A557" s="1" t="s">
        <v>2717</v>
      </c>
      <c r="B557" s="1" t="s">
        <v>1517</v>
      </c>
      <c r="C557" s="5">
        <v>2</v>
      </c>
      <c r="D557" s="14">
        <v>16357076</v>
      </c>
      <c r="E557" s="1" t="s">
        <v>1538</v>
      </c>
      <c r="F557" s="17">
        <v>3341142</v>
      </c>
      <c r="G557" s="8">
        <v>45548</v>
      </c>
      <c r="H557" s="1" t="s">
        <v>1516</v>
      </c>
      <c r="I557" s="11" t="s">
        <v>2507</v>
      </c>
      <c r="J557" s="6">
        <v>260319</v>
      </c>
      <c r="K557" s="3">
        <v>15260319</v>
      </c>
    </row>
    <row r="558" spans="1:11" x14ac:dyDescent="0.25">
      <c r="A558" s="1" t="s">
        <v>1880</v>
      </c>
      <c r="B558" s="1" t="s">
        <v>1545</v>
      </c>
      <c r="C558" s="5">
        <v>3</v>
      </c>
      <c r="D558" s="15">
        <v>29196534</v>
      </c>
      <c r="E558" s="1" t="s">
        <v>1538</v>
      </c>
      <c r="F558" s="18">
        <v>649280</v>
      </c>
      <c r="G558" s="9">
        <v>45604</v>
      </c>
      <c r="H558" s="1" t="s">
        <v>2515</v>
      </c>
      <c r="I558" s="12" t="s">
        <v>1512</v>
      </c>
      <c r="J558" s="6">
        <v>454075</v>
      </c>
      <c r="K558" s="3">
        <v>15454075</v>
      </c>
    </row>
    <row r="559" spans="1:11" x14ac:dyDescent="0.25">
      <c r="A559" s="1" t="s">
        <v>1881</v>
      </c>
      <c r="B559" s="1" t="s">
        <v>1514</v>
      </c>
      <c r="C559" s="5">
        <v>2</v>
      </c>
      <c r="D559" s="14">
        <v>21147285</v>
      </c>
      <c r="E559" s="1" t="s">
        <v>1538</v>
      </c>
      <c r="F559" s="17">
        <v>198953</v>
      </c>
      <c r="G559" s="8">
        <v>45747</v>
      </c>
      <c r="H559" s="1" t="s">
        <v>2512</v>
      </c>
      <c r="I559" s="11" t="s">
        <v>1512</v>
      </c>
      <c r="J559" s="6">
        <v>383155</v>
      </c>
      <c r="K559" s="3">
        <v>15383155</v>
      </c>
    </row>
    <row r="560" spans="1:11" x14ac:dyDescent="0.25">
      <c r="A560" s="1" t="s">
        <v>2718</v>
      </c>
      <c r="B560" s="1" t="s">
        <v>1540</v>
      </c>
      <c r="C560" s="5">
        <v>2</v>
      </c>
      <c r="D560" s="15">
        <v>38416619</v>
      </c>
      <c r="E560" s="1" t="s">
        <v>1538</v>
      </c>
      <c r="F560" s="18">
        <v>7138949</v>
      </c>
      <c r="G560" s="9">
        <v>45805</v>
      </c>
      <c r="H560" s="1" t="s">
        <v>1513</v>
      </c>
      <c r="I560" s="12" t="s">
        <v>1518</v>
      </c>
      <c r="J560" s="6">
        <v>625553</v>
      </c>
      <c r="K560" s="3">
        <v>15625553</v>
      </c>
    </row>
    <row r="561" spans="1:11" x14ac:dyDescent="0.25">
      <c r="A561" s="1" t="s">
        <v>2719</v>
      </c>
      <c r="B561" s="1" t="s">
        <v>1517</v>
      </c>
      <c r="C561" s="5">
        <v>3</v>
      </c>
      <c r="D561" s="14">
        <v>41359193</v>
      </c>
      <c r="E561" s="1" t="s">
        <v>2504</v>
      </c>
      <c r="F561" s="17">
        <v>8865047</v>
      </c>
      <c r="G561" s="8">
        <v>45708</v>
      </c>
      <c r="H561" s="1" t="s">
        <v>2512</v>
      </c>
      <c r="I561" s="11" t="s">
        <v>1518</v>
      </c>
      <c r="J561" s="6">
        <v>649883</v>
      </c>
      <c r="K561" s="3">
        <v>15649883</v>
      </c>
    </row>
    <row r="562" spans="1:11" x14ac:dyDescent="0.25">
      <c r="A562" s="1" t="s">
        <v>2720</v>
      </c>
      <c r="B562" s="1" t="s">
        <v>1517</v>
      </c>
      <c r="C562" s="5">
        <v>3</v>
      </c>
      <c r="D562" s="15">
        <v>44072567</v>
      </c>
      <c r="E562" s="1" t="s">
        <v>2504</v>
      </c>
      <c r="F562" s="18">
        <v>5297204</v>
      </c>
      <c r="G562" s="9">
        <v>45506</v>
      </c>
      <c r="H562" s="1" t="s">
        <v>2519</v>
      </c>
      <c r="I562" s="12" t="s">
        <v>1518</v>
      </c>
      <c r="J562" s="6">
        <v>775507</v>
      </c>
      <c r="K562" s="3">
        <v>15775507</v>
      </c>
    </row>
    <row r="563" spans="1:11" x14ac:dyDescent="0.25">
      <c r="A563" s="1" t="s">
        <v>1882</v>
      </c>
      <c r="B563" s="1" t="s">
        <v>1532</v>
      </c>
      <c r="C563" s="5">
        <v>2</v>
      </c>
      <c r="D563" s="14">
        <v>22208251</v>
      </c>
      <c r="E563" s="1" t="s">
        <v>1538</v>
      </c>
      <c r="F563" s="17">
        <v>338062</v>
      </c>
      <c r="G563" s="8">
        <v>45746</v>
      </c>
      <c r="H563" s="1" t="s">
        <v>2510</v>
      </c>
      <c r="I563" s="11" t="s">
        <v>1518</v>
      </c>
      <c r="J563" s="6">
        <v>437404</v>
      </c>
      <c r="K563" s="3">
        <v>15437404</v>
      </c>
    </row>
    <row r="564" spans="1:11" x14ac:dyDescent="0.25">
      <c r="A564" s="1" t="s">
        <v>2721</v>
      </c>
      <c r="B564" s="1" t="s">
        <v>1517</v>
      </c>
      <c r="C564" s="5">
        <v>4</v>
      </c>
      <c r="D564" s="15">
        <v>21957249</v>
      </c>
      <c r="E564" s="1" t="s">
        <v>2504</v>
      </c>
      <c r="F564" s="18">
        <v>5409697</v>
      </c>
      <c r="G564" s="9">
        <v>45840</v>
      </c>
      <c r="H564" s="1" t="s">
        <v>2515</v>
      </c>
      <c r="I564" s="12" t="s">
        <v>1512</v>
      </c>
      <c r="J564" s="6">
        <v>330951</v>
      </c>
      <c r="K564" s="3">
        <v>15330951</v>
      </c>
    </row>
    <row r="565" spans="1:11" x14ac:dyDescent="0.25">
      <c r="A565" s="1" t="s">
        <v>2722</v>
      </c>
      <c r="B565" s="1" t="s">
        <v>1527</v>
      </c>
      <c r="C565" s="5">
        <v>2</v>
      </c>
      <c r="D565" s="14">
        <v>16242471</v>
      </c>
      <c r="E565" s="1" t="s">
        <v>2504</v>
      </c>
      <c r="F565" s="17">
        <v>1683926</v>
      </c>
      <c r="G565" s="8">
        <v>45644</v>
      </c>
      <c r="H565" s="1" t="s">
        <v>2508</v>
      </c>
      <c r="I565" s="11" t="s">
        <v>1521</v>
      </c>
      <c r="J565" s="6">
        <v>291171</v>
      </c>
      <c r="K565" s="3">
        <v>15291171</v>
      </c>
    </row>
    <row r="566" spans="1:11" x14ac:dyDescent="0.25">
      <c r="A566" s="1" t="s">
        <v>1883</v>
      </c>
      <c r="B566" s="1" t="s">
        <v>1536</v>
      </c>
      <c r="C566" s="5">
        <v>4</v>
      </c>
      <c r="D566" s="15">
        <v>4662663</v>
      </c>
      <c r="E566" s="1" t="s">
        <v>2504</v>
      </c>
      <c r="F566" s="18">
        <v>434412</v>
      </c>
      <c r="G566" s="9">
        <v>45745</v>
      </c>
      <c r="H566" s="1" t="s">
        <v>1516</v>
      </c>
      <c r="I566" s="12" t="s">
        <v>2511</v>
      </c>
      <c r="J566" s="6">
        <v>84565</v>
      </c>
      <c r="K566" s="3">
        <v>15084565</v>
      </c>
    </row>
    <row r="567" spans="1:11" x14ac:dyDescent="0.25">
      <c r="A567" s="1" t="s">
        <v>2723</v>
      </c>
      <c r="B567" s="1" t="s">
        <v>1540</v>
      </c>
      <c r="C567" s="5">
        <v>4</v>
      </c>
      <c r="D567" s="14">
        <v>2356866</v>
      </c>
      <c r="E567" s="1" t="s">
        <v>1538</v>
      </c>
      <c r="F567" s="17">
        <v>132342</v>
      </c>
      <c r="G567" s="8">
        <v>45531</v>
      </c>
      <c r="H567" s="1" t="s">
        <v>2510</v>
      </c>
      <c r="I567" s="11" t="s">
        <v>1518</v>
      </c>
      <c r="J567" s="6">
        <v>4449</v>
      </c>
      <c r="K567" s="3">
        <v>1504449</v>
      </c>
    </row>
    <row r="568" spans="1:11" x14ac:dyDescent="0.25">
      <c r="A568" s="1" t="s">
        <v>1884</v>
      </c>
      <c r="B568" s="1" t="s">
        <v>1536</v>
      </c>
      <c r="C568" s="5">
        <v>3</v>
      </c>
      <c r="D568" s="15">
        <v>36331303</v>
      </c>
      <c r="E568" s="1" t="s">
        <v>1538</v>
      </c>
      <c r="F568" s="18">
        <v>273738</v>
      </c>
      <c r="G568" s="9">
        <v>45862</v>
      </c>
      <c r="H568" s="1" t="s">
        <v>1519</v>
      </c>
      <c r="I568" s="12" t="s">
        <v>2511</v>
      </c>
      <c r="J568" s="6">
        <v>721151</v>
      </c>
      <c r="K568" s="3">
        <v>15721151</v>
      </c>
    </row>
    <row r="569" spans="1:11" x14ac:dyDescent="0.25">
      <c r="A569" s="1" t="s">
        <v>1885</v>
      </c>
      <c r="B569" s="1" t="s">
        <v>1534</v>
      </c>
      <c r="C569" s="5">
        <v>3</v>
      </c>
      <c r="D569" s="14">
        <v>39827084</v>
      </c>
      <c r="E569" s="1" t="s">
        <v>1538</v>
      </c>
      <c r="F569" s="17">
        <v>326935</v>
      </c>
      <c r="G569" s="8">
        <v>45685</v>
      </c>
      <c r="H569" s="1" t="s">
        <v>2510</v>
      </c>
      <c r="I569" s="11" t="s">
        <v>1518</v>
      </c>
      <c r="J569" s="6">
        <v>790003</v>
      </c>
      <c r="K569" s="3">
        <v>15790003</v>
      </c>
    </row>
    <row r="570" spans="1:11" x14ac:dyDescent="0.25">
      <c r="A570" s="1" t="s">
        <v>1886</v>
      </c>
      <c r="B570" s="1" t="s">
        <v>1532</v>
      </c>
      <c r="C570" s="5">
        <v>2</v>
      </c>
      <c r="D570" s="15">
        <v>4462270</v>
      </c>
      <c r="E570" s="1" t="s">
        <v>2504</v>
      </c>
      <c r="F570" s="18">
        <v>10515379</v>
      </c>
      <c r="G570" s="9">
        <v>45748</v>
      </c>
      <c r="H570" s="1" t="s">
        <v>2510</v>
      </c>
      <c r="I570" s="12" t="s">
        <v>2507</v>
      </c>
      <c r="J570" s="6">
        <v>682146</v>
      </c>
      <c r="K570" s="3">
        <v>15682146</v>
      </c>
    </row>
    <row r="571" spans="1:11" x14ac:dyDescent="0.25">
      <c r="A571" s="1" t="s">
        <v>1887</v>
      </c>
      <c r="B571" s="1" t="s">
        <v>1540</v>
      </c>
      <c r="C571" s="5">
        <v>3</v>
      </c>
      <c r="D571" s="14">
        <v>48689324</v>
      </c>
      <c r="E571" s="1" t="s">
        <v>1538</v>
      </c>
      <c r="F571" s="17">
        <v>6142393</v>
      </c>
      <c r="G571" s="8">
        <v>45680</v>
      </c>
      <c r="H571" s="1" t="s">
        <v>1522</v>
      </c>
      <c r="I571" s="11" t="s">
        <v>2509</v>
      </c>
      <c r="J571" s="6">
        <v>850939</v>
      </c>
      <c r="K571" s="3">
        <v>15850939</v>
      </c>
    </row>
    <row r="572" spans="1:11" x14ac:dyDescent="0.25">
      <c r="A572" s="1" t="s">
        <v>1888</v>
      </c>
      <c r="B572" s="1" t="s">
        <v>1527</v>
      </c>
      <c r="C572" s="5">
        <v>3</v>
      </c>
      <c r="D572" s="15">
        <v>20368293</v>
      </c>
      <c r="E572" s="1" t="s">
        <v>1515</v>
      </c>
      <c r="F572" s="18">
        <v>4800289</v>
      </c>
      <c r="G572" s="9">
        <v>45852</v>
      </c>
      <c r="H572" s="1" t="s">
        <v>1522</v>
      </c>
      <c r="I572" s="12" t="s">
        <v>1512</v>
      </c>
      <c r="J572" s="6">
        <v>31136</v>
      </c>
      <c r="K572" s="3">
        <v>1531136</v>
      </c>
    </row>
    <row r="573" spans="1:11" x14ac:dyDescent="0.25">
      <c r="A573" s="1" t="s">
        <v>1889</v>
      </c>
      <c r="B573" s="1" t="s">
        <v>1536</v>
      </c>
      <c r="C573" s="5">
        <v>1</v>
      </c>
      <c r="D573" s="14">
        <v>25571576</v>
      </c>
      <c r="E573" s="1" t="s">
        <v>1515</v>
      </c>
      <c r="F573" s="17">
        <v>286054</v>
      </c>
      <c r="G573" s="8">
        <v>45670</v>
      </c>
      <c r="H573" s="1" t="s">
        <v>2519</v>
      </c>
      <c r="I573" s="11" t="s">
        <v>2511</v>
      </c>
      <c r="J573" s="6">
        <v>50571</v>
      </c>
      <c r="K573" s="3">
        <v>1550571</v>
      </c>
    </row>
    <row r="574" spans="1:11" x14ac:dyDescent="0.25">
      <c r="A574" s="1" t="s">
        <v>1890</v>
      </c>
      <c r="B574" s="1" t="s">
        <v>1527</v>
      </c>
      <c r="C574" s="5">
        <v>4</v>
      </c>
      <c r="D574" s="15">
        <v>33024498</v>
      </c>
      <c r="E574" s="1" t="s">
        <v>1515</v>
      </c>
      <c r="F574" s="18">
        <v>2726673</v>
      </c>
      <c r="G574" s="9">
        <v>45816</v>
      </c>
      <c r="H574" s="1" t="s">
        <v>2512</v>
      </c>
      <c r="I574" s="12" t="s">
        <v>1512</v>
      </c>
      <c r="J574" s="6">
        <v>605957</v>
      </c>
      <c r="K574" s="3">
        <v>15605957</v>
      </c>
    </row>
    <row r="575" spans="1:11" x14ac:dyDescent="0.25">
      <c r="A575" s="1" t="s">
        <v>1891</v>
      </c>
      <c r="B575" s="1" t="s">
        <v>1536</v>
      </c>
      <c r="C575" s="5">
        <v>4</v>
      </c>
      <c r="D575" s="14">
        <v>49445085</v>
      </c>
      <c r="E575" s="1" t="s">
        <v>1515</v>
      </c>
      <c r="F575" s="17">
        <v>8116983</v>
      </c>
      <c r="G575" s="8">
        <v>45770</v>
      </c>
      <c r="H575" s="1" t="s">
        <v>2512</v>
      </c>
      <c r="I575" s="11" t="s">
        <v>2507</v>
      </c>
      <c r="J575" s="6">
        <v>826562</v>
      </c>
      <c r="K575" s="3">
        <v>15826562</v>
      </c>
    </row>
    <row r="576" spans="1:11" x14ac:dyDescent="0.25">
      <c r="A576" s="1" t="s">
        <v>1892</v>
      </c>
      <c r="B576" s="1" t="s">
        <v>1540</v>
      </c>
      <c r="C576" s="5">
        <v>1</v>
      </c>
      <c r="D576" s="15">
        <v>2258041</v>
      </c>
      <c r="E576" s="1" t="s">
        <v>2504</v>
      </c>
      <c r="F576" s="18">
        <v>528475</v>
      </c>
      <c r="G576" s="9">
        <v>45780</v>
      </c>
      <c r="H576" s="1" t="s">
        <v>1522</v>
      </c>
      <c r="I576" s="12" t="s">
        <v>2507</v>
      </c>
      <c r="J576" s="6">
        <v>34591</v>
      </c>
      <c r="K576" s="3">
        <v>15034591</v>
      </c>
    </row>
    <row r="577" spans="1:11" x14ac:dyDescent="0.25">
      <c r="A577" s="1" t="s">
        <v>1893</v>
      </c>
      <c r="B577" s="1" t="s">
        <v>1525</v>
      </c>
      <c r="C577" s="5">
        <v>2</v>
      </c>
      <c r="D577" s="14">
        <v>5595752</v>
      </c>
      <c r="E577" s="1" t="s">
        <v>2504</v>
      </c>
      <c r="F577" s="17">
        <v>1033256</v>
      </c>
      <c r="G577" s="8">
        <v>45575</v>
      </c>
      <c r="H577" s="1" t="s">
        <v>2519</v>
      </c>
      <c r="I577" s="11" t="s">
        <v>1518</v>
      </c>
      <c r="J577" s="6">
        <v>9125</v>
      </c>
      <c r="K577" s="3">
        <v>1509125</v>
      </c>
    </row>
    <row r="578" spans="1:11" x14ac:dyDescent="0.25">
      <c r="A578" s="1" t="s">
        <v>1894</v>
      </c>
      <c r="B578" s="1" t="s">
        <v>1545</v>
      </c>
      <c r="C578" s="5">
        <v>5</v>
      </c>
      <c r="D578" s="15">
        <v>1674867</v>
      </c>
      <c r="E578" s="1" t="s">
        <v>1538</v>
      </c>
      <c r="F578" s="18">
        <v>373213</v>
      </c>
      <c r="G578" s="9">
        <v>45794</v>
      </c>
      <c r="H578" s="1" t="s">
        <v>1519</v>
      </c>
      <c r="I578" s="12" t="s">
        <v>1518</v>
      </c>
      <c r="J578" s="6">
        <v>26033</v>
      </c>
      <c r="K578" s="3">
        <v>15026033</v>
      </c>
    </row>
    <row r="579" spans="1:11" x14ac:dyDescent="0.25">
      <c r="A579" s="1" t="s">
        <v>1895</v>
      </c>
      <c r="B579" s="1" t="s">
        <v>1532</v>
      </c>
      <c r="C579" s="5">
        <v>5</v>
      </c>
      <c r="D579" s="14">
        <v>46704585</v>
      </c>
      <c r="E579" s="1" t="s">
        <v>1515</v>
      </c>
      <c r="F579" s="17">
        <v>2198647</v>
      </c>
      <c r="G579" s="8">
        <v>45655</v>
      </c>
      <c r="H579" s="1" t="s">
        <v>2510</v>
      </c>
      <c r="I579" s="11" t="s">
        <v>2509</v>
      </c>
      <c r="J579" s="6">
        <v>890119</v>
      </c>
      <c r="K579" s="3">
        <v>15890119</v>
      </c>
    </row>
    <row r="580" spans="1:11" x14ac:dyDescent="0.25">
      <c r="A580" s="1" t="s">
        <v>1896</v>
      </c>
      <c r="B580" s="1" t="s">
        <v>1525</v>
      </c>
      <c r="C580" s="5">
        <v>2</v>
      </c>
      <c r="D580" s="15">
        <v>36273567</v>
      </c>
      <c r="E580" s="1" t="s">
        <v>1515</v>
      </c>
      <c r="F580" s="18">
        <v>5317209</v>
      </c>
      <c r="G580" s="9">
        <v>45571</v>
      </c>
      <c r="H580" s="1" t="s">
        <v>1516</v>
      </c>
      <c r="I580" s="12" t="s">
        <v>1518</v>
      </c>
      <c r="J580" s="6">
        <v>619127</v>
      </c>
      <c r="K580" s="3">
        <v>15619127</v>
      </c>
    </row>
    <row r="581" spans="1:11" x14ac:dyDescent="0.25">
      <c r="A581" s="1" t="s">
        <v>2724</v>
      </c>
      <c r="B581" s="1" t="s">
        <v>1540</v>
      </c>
      <c r="C581" s="5">
        <v>3</v>
      </c>
      <c r="D581" s="14">
        <v>4534107</v>
      </c>
      <c r="E581" s="1" t="s">
        <v>2504</v>
      </c>
      <c r="F581" s="17">
        <v>658734</v>
      </c>
      <c r="G581" s="8">
        <v>45584</v>
      </c>
      <c r="H581" s="1" t="s">
        <v>1519</v>
      </c>
      <c r="I581" s="11" t="s">
        <v>1512</v>
      </c>
      <c r="J581" s="6">
        <v>77507</v>
      </c>
      <c r="K581" s="3">
        <v>15077507</v>
      </c>
    </row>
    <row r="582" spans="1:11" x14ac:dyDescent="0.25">
      <c r="A582" s="1" t="s">
        <v>2725</v>
      </c>
      <c r="B582" s="1" t="s">
        <v>1545</v>
      </c>
      <c r="C582" s="5">
        <v>4</v>
      </c>
      <c r="D582" s="15">
        <v>27185937</v>
      </c>
      <c r="E582" s="1" t="s">
        <v>1538</v>
      </c>
      <c r="F582" s="18">
        <v>3843625</v>
      </c>
      <c r="G582" s="9">
        <v>45534</v>
      </c>
      <c r="H582" s="1" t="s">
        <v>1543</v>
      </c>
      <c r="I582" s="12" t="s">
        <v>1521</v>
      </c>
      <c r="J582" s="6">
        <v>466846</v>
      </c>
      <c r="K582" s="3">
        <v>15466846</v>
      </c>
    </row>
    <row r="583" spans="1:11" x14ac:dyDescent="0.25">
      <c r="A583" s="1" t="s">
        <v>2726</v>
      </c>
      <c r="B583" s="1" t="s">
        <v>1525</v>
      </c>
      <c r="C583" s="5">
        <v>5</v>
      </c>
      <c r="D583" s="14">
        <v>39611341</v>
      </c>
      <c r="E583" s="1" t="s">
        <v>1538</v>
      </c>
      <c r="F583" s="17">
        <v>6005578</v>
      </c>
      <c r="G583" s="8">
        <v>45685</v>
      </c>
      <c r="H583" s="1" t="s">
        <v>1543</v>
      </c>
      <c r="I583" s="11" t="s">
        <v>1518</v>
      </c>
      <c r="J583" s="6">
        <v>672115</v>
      </c>
      <c r="K583" s="3">
        <v>15672115</v>
      </c>
    </row>
    <row r="584" spans="1:11" x14ac:dyDescent="0.25">
      <c r="A584" s="1" t="s">
        <v>2727</v>
      </c>
      <c r="B584" s="1" t="s">
        <v>1517</v>
      </c>
      <c r="C584" s="5">
        <v>5</v>
      </c>
      <c r="D584" s="15">
        <v>38441746</v>
      </c>
      <c r="E584" s="1" t="s">
        <v>1538</v>
      </c>
      <c r="F584" s="18">
        <v>389874</v>
      </c>
      <c r="G584" s="9">
        <v>45667</v>
      </c>
      <c r="H584" s="1" t="s">
        <v>2515</v>
      </c>
      <c r="I584" s="12" t="s">
        <v>2511</v>
      </c>
      <c r="J584" s="6">
        <v>69086</v>
      </c>
      <c r="K584" s="3">
        <v>1569086</v>
      </c>
    </row>
    <row r="585" spans="1:11" x14ac:dyDescent="0.25">
      <c r="A585" s="1" t="s">
        <v>2728</v>
      </c>
      <c r="B585" s="1" t="s">
        <v>1545</v>
      </c>
      <c r="C585" s="5">
        <v>2</v>
      </c>
      <c r="D585" s="14">
        <v>6298603</v>
      </c>
      <c r="E585" s="1" t="s">
        <v>1538</v>
      </c>
      <c r="F585" s="17">
        <v>1306472</v>
      </c>
      <c r="G585" s="8">
        <v>45697</v>
      </c>
      <c r="H585" s="1" t="s">
        <v>1543</v>
      </c>
      <c r="I585" s="11" t="s">
        <v>2507</v>
      </c>
      <c r="J585" s="6">
        <v>99843</v>
      </c>
      <c r="K585" s="3">
        <v>15099843</v>
      </c>
    </row>
    <row r="586" spans="1:11" x14ac:dyDescent="0.25">
      <c r="A586" s="1" t="s">
        <v>1897</v>
      </c>
      <c r="B586" s="1" t="s">
        <v>1517</v>
      </c>
      <c r="C586" s="5">
        <v>3</v>
      </c>
      <c r="D586" s="15">
        <v>33971448</v>
      </c>
      <c r="E586" s="1" t="s">
        <v>2504</v>
      </c>
      <c r="F586" s="18">
        <v>1407807</v>
      </c>
      <c r="G586" s="9">
        <v>45810</v>
      </c>
      <c r="H586" s="1" t="s">
        <v>1519</v>
      </c>
      <c r="I586" s="12" t="s">
        <v>1521</v>
      </c>
      <c r="J586" s="6">
        <v>651273</v>
      </c>
      <c r="K586" s="3">
        <v>15651273</v>
      </c>
    </row>
    <row r="587" spans="1:11" x14ac:dyDescent="0.25">
      <c r="A587" s="1" t="s">
        <v>2729</v>
      </c>
      <c r="B587" s="1" t="s">
        <v>1534</v>
      </c>
      <c r="C587" s="5">
        <v>5</v>
      </c>
      <c r="D587" s="14">
        <v>15257736</v>
      </c>
      <c r="E587" s="1" t="s">
        <v>1538</v>
      </c>
      <c r="F587" s="17">
        <v>1369422</v>
      </c>
      <c r="G587" s="8">
        <v>45549</v>
      </c>
      <c r="H587" s="1" t="s">
        <v>1522</v>
      </c>
      <c r="I587" s="11" t="s">
        <v>1518</v>
      </c>
      <c r="J587" s="6">
        <v>277766</v>
      </c>
      <c r="K587" s="3">
        <v>15277766</v>
      </c>
    </row>
    <row r="588" spans="1:11" x14ac:dyDescent="0.25">
      <c r="A588" s="1" t="s">
        <v>1898</v>
      </c>
      <c r="B588" s="1" t="s">
        <v>1532</v>
      </c>
      <c r="C588" s="5">
        <v>3</v>
      </c>
      <c r="D588" s="15">
        <v>29157628</v>
      </c>
      <c r="E588" s="1" t="s">
        <v>2504</v>
      </c>
      <c r="F588" s="18">
        <v>413124</v>
      </c>
      <c r="G588" s="9">
        <v>45665</v>
      </c>
      <c r="H588" s="1" t="s">
        <v>1516</v>
      </c>
      <c r="I588" s="12" t="s">
        <v>1518</v>
      </c>
      <c r="J588" s="6">
        <v>500528</v>
      </c>
      <c r="K588" s="3">
        <v>15500528</v>
      </c>
    </row>
    <row r="589" spans="1:11" x14ac:dyDescent="0.25">
      <c r="A589" s="1" t="s">
        <v>1899</v>
      </c>
      <c r="B589" s="1" t="s">
        <v>1514</v>
      </c>
      <c r="C589" s="5">
        <v>4</v>
      </c>
      <c r="D589" s="14">
        <v>20874319</v>
      </c>
      <c r="E589" s="1" t="s">
        <v>2504</v>
      </c>
      <c r="F589" s="17">
        <v>4070007</v>
      </c>
      <c r="G589" s="8">
        <v>45708</v>
      </c>
      <c r="H589" s="1" t="s">
        <v>1519</v>
      </c>
      <c r="I589" s="11" t="s">
        <v>1521</v>
      </c>
      <c r="J589" s="6">
        <v>336086</v>
      </c>
      <c r="K589" s="3">
        <v>15336086</v>
      </c>
    </row>
    <row r="590" spans="1:11" x14ac:dyDescent="0.25">
      <c r="A590" s="1" t="s">
        <v>2730</v>
      </c>
      <c r="B590" s="1" t="s">
        <v>1523</v>
      </c>
      <c r="C590" s="5">
        <v>4</v>
      </c>
      <c r="D590" s="15">
        <v>1602682</v>
      </c>
      <c r="E590" s="1" t="s">
        <v>2504</v>
      </c>
      <c r="F590" s="18">
        <v>823108</v>
      </c>
      <c r="G590" s="9">
        <v>45671</v>
      </c>
      <c r="H590" s="1" t="s">
        <v>2515</v>
      </c>
      <c r="I590" s="12" t="s">
        <v>1521</v>
      </c>
      <c r="J590" s="6">
        <v>304074</v>
      </c>
      <c r="K590" s="3">
        <v>15304074</v>
      </c>
    </row>
    <row r="591" spans="1:11" x14ac:dyDescent="0.25">
      <c r="A591" s="1" t="s">
        <v>2731</v>
      </c>
      <c r="B591" s="1" t="s">
        <v>1523</v>
      </c>
      <c r="C591" s="5">
        <v>3</v>
      </c>
      <c r="D591" s="14">
        <v>37976927</v>
      </c>
      <c r="E591" s="1" t="s">
        <v>1515</v>
      </c>
      <c r="F591" s="17">
        <v>6202803</v>
      </c>
      <c r="G591" s="8">
        <v>45823</v>
      </c>
      <c r="H591" s="1" t="s">
        <v>2519</v>
      </c>
      <c r="I591" s="11" t="s">
        <v>1512</v>
      </c>
      <c r="J591" s="6">
        <v>635482</v>
      </c>
      <c r="K591" s="3">
        <v>15635482</v>
      </c>
    </row>
    <row r="592" spans="1:11" x14ac:dyDescent="0.25">
      <c r="A592" s="1" t="s">
        <v>1900</v>
      </c>
      <c r="B592" s="1" t="s">
        <v>1534</v>
      </c>
      <c r="C592" s="5">
        <v>1</v>
      </c>
      <c r="D592" s="15">
        <v>24720207</v>
      </c>
      <c r="E592" s="1" t="s">
        <v>1515</v>
      </c>
      <c r="F592" s="18">
        <v>3187213</v>
      </c>
      <c r="G592" s="9">
        <v>45836</v>
      </c>
      <c r="H592" s="1" t="s">
        <v>1519</v>
      </c>
      <c r="I592" s="12" t="s">
        <v>1518</v>
      </c>
      <c r="J592" s="6">
        <v>43066</v>
      </c>
      <c r="K592" s="3">
        <v>1543066</v>
      </c>
    </row>
    <row r="593" spans="1:11" x14ac:dyDescent="0.25">
      <c r="A593" s="1" t="s">
        <v>2732</v>
      </c>
      <c r="B593" s="1" t="s">
        <v>1540</v>
      </c>
      <c r="C593" s="5">
        <v>5</v>
      </c>
      <c r="D593" s="14">
        <v>20424754</v>
      </c>
      <c r="E593" s="1" t="s">
        <v>1538</v>
      </c>
      <c r="F593" s="17">
        <v>4870638</v>
      </c>
      <c r="G593" s="8">
        <v>45798</v>
      </c>
      <c r="H593" s="1" t="s">
        <v>1516</v>
      </c>
      <c r="I593" s="11" t="s">
        <v>2511</v>
      </c>
      <c r="J593" s="6">
        <v>311082</v>
      </c>
      <c r="K593" s="3">
        <v>15311082</v>
      </c>
    </row>
    <row r="594" spans="1:11" x14ac:dyDescent="0.25">
      <c r="A594" s="1" t="s">
        <v>1901</v>
      </c>
      <c r="B594" s="1" t="s">
        <v>1534</v>
      </c>
      <c r="C594" s="5">
        <v>2</v>
      </c>
      <c r="D594" s="15">
        <v>31899949</v>
      </c>
      <c r="E594" s="1" t="s">
        <v>2504</v>
      </c>
      <c r="F594" s="18">
        <v>3174729</v>
      </c>
      <c r="G594" s="9">
        <v>45658</v>
      </c>
      <c r="H594" s="1" t="s">
        <v>2519</v>
      </c>
      <c r="I594" s="12" t="s">
        <v>2509</v>
      </c>
      <c r="J594" s="6">
        <v>574504</v>
      </c>
      <c r="K594" s="3">
        <v>15574504</v>
      </c>
    </row>
    <row r="595" spans="1:11" x14ac:dyDescent="0.25">
      <c r="A595" s="1" t="s">
        <v>1902</v>
      </c>
      <c r="B595" s="1" t="s">
        <v>1532</v>
      </c>
      <c r="C595" s="5">
        <v>4</v>
      </c>
      <c r="D595" s="14">
        <v>34731287</v>
      </c>
      <c r="E595" s="1" t="s">
        <v>1515</v>
      </c>
      <c r="F595" s="17">
        <v>8490097</v>
      </c>
      <c r="G595" s="8">
        <v>45787</v>
      </c>
      <c r="H595" s="1" t="s">
        <v>1543</v>
      </c>
      <c r="I595" s="11" t="s">
        <v>2511</v>
      </c>
      <c r="J595" s="6">
        <v>524824</v>
      </c>
      <c r="K595" s="3">
        <v>15524824</v>
      </c>
    </row>
    <row r="596" spans="1:11" x14ac:dyDescent="0.25">
      <c r="A596" s="1" t="s">
        <v>2733</v>
      </c>
      <c r="B596" s="1" t="s">
        <v>1527</v>
      </c>
      <c r="C596" s="5">
        <v>2</v>
      </c>
      <c r="D596" s="15">
        <v>3571582</v>
      </c>
      <c r="E596" s="1" t="s">
        <v>2504</v>
      </c>
      <c r="F596" s="18">
        <v>603472</v>
      </c>
      <c r="G596" s="9">
        <v>45714</v>
      </c>
      <c r="H596" s="1" t="s">
        <v>1513</v>
      </c>
      <c r="I596" s="12" t="s">
        <v>1512</v>
      </c>
      <c r="J596" s="6">
        <v>59362</v>
      </c>
      <c r="K596" s="3">
        <v>15059362</v>
      </c>
    </row>
    <row r="597" spans="1:11" x14ac:dyDescent="0.25">
      <c r="A597" s="1" t="s">
        <v>1903</v>
      </c>
      <c r="B597" s="1" t="s">
        <v>1534</v>
      </c>
      <c r="C597" s="5">
        <v>4</v>
      </c>
      <c r="D597" s="14">
        <v>6631698</v>
      </c>
      <c r="E597" s="1" t="s">
        <v>1538</v>
      </c>
      <c r="F597" s="17">
        <v>99650</v>
      </c>
      <c r="G597" s="8">
        <v>45755</v>
      </c>
      <c r="H597" s="1" t="s">
        <v>2510</v>
      </c>
      <c r="I597" s="11" t="s">
        <v>1518</v>
      </c>
      <c r="J597" s="6">
        <v>112704</v>
      </c>
      <c r="K597" s="3">
        <v>15112704</v>
      </c>
    </row>
    <row r="598" spans="1:11" x14ac:dyDescent="0.25">
      <c r="A598" s="1" t="s">
        <v>1904</v>
      </c>
      <c r="B598" s="1" t="s">
        <v>1523</v>
      </c>
      <c r="C598" s="5">
        <v>3</v>
      </c>
      <c r="D598" s="15">
        <v>21316494</v>
      </c>
      <c r="E598" s="1" t="s">
        <v>1538</v>
      </c>
      <c r="F598" s="18">
        <v>365352</v>
      </c>
      <c r="G598" s="9">
        <v>45595</v>
      </c>
      <c r="H598" s="1" t="s">
        <v>2510</v>
      </c>
      <c r="I598" s="12" t="s">
        <v>2509</v>
      </c>
      <c r="J598" s="6">
        <v>353259</v>
      </c>
      <c r="K598" s="3">
        <v>15353259</v>
      </c>
    </row>
    <row r="599" spans="1:11" x14ac:dyDescent="0.25">
      <c r="A599" s="1" t="s">
        <v>1905</v>
      </c>
      <c r="B599" s="1" t="s">
        <v>1536</v>
      </c>
      <c r="C599" s="5">
        <v>2</v>
      </c>
      <c r="D599" s="14">
        <v>35660284</v>
      </c>
      <c r="E599" s="1" t="s">
        <v>1515</v>
      </c>
      <c r="F599" s="17">
        <v>3626996</v>
      </c>
      <c r="G599" s="8">
        <v>45619</v>
      </c>
      <c r="H599" s="1" t="s">
        <v>1519</v>
      </c>
      <c r="I599" s="11" t="s">
        <v>2511</v>
      </c>
      <c r="J599" s="6">
        <v>640666</v>
      </c>
      <c r="K599" s="3">
        <v>15640666</v>
      </c>
    </row>
    <row r="600" spans="1:11" x14ac:dyDescent="0.25">
      <c r="A600" s="1" t="s">
        <v>2734</v>
      </c>
      <c r="B600" s="1" t="s">
        <v>1536</v>
      </c>
      <c r="C600" s="5">
        <v>1</v>
      </c>
      <c r="D600" s="15">
        <v>34485525</v>
      </c>
      <c r="E600" s="1" t="s">
        <v>2504</v>
      </c>
      <c r="F600" s="18">
        <v>1942513</v>
      </c>
      <c r="G600" s="9">
        <v>45561</v>
      </c>
      <c r="H600" s="1" t="s">
        <v>2515</v>
      </c>
      <c r="I600" s="12" t="s">
        <v>1521</v>
      </c>
      <c r="J600" s="6">
        <v>65086</v>
      </c>
      <c r="K600" s="3">
        <v>1565086</v>
      </c>
    </row>
    <row r="601" spans="1:11" x14ac:dyDescent="0.25">
      <c r="A601" s="1" t="s">
        <v>1906</v>
      </c>
      <c r="B601" s="1" t="s">
        <v>1527</v>
      </c>
      <c r="C601" s="5">
        <v>5</v>
      </c>
      <c r="D601" s="14">
        <v>24842405</v>
      </c>
      <c r="E601" s="1" t="s">
        <v>2504</v>
      </c>
      <c r="F601" s="17">
        <v>3631335</v>
      </c>
      <c r="G601" s="8">
        <v>45524</v>
      </c>
      <c r="H601" s="1" t="s">
        <v>1513</v>
      </c>
      <c r="I601" s="11" t="s">
        <v>1512</v>
      </c>
      <c r="J601" s="6">
        <v>424221</v>
      </c>
      <c r="K601" s="3">
        <v>15424221</v>
      </c>
    </row>
    <row r="602" spans="1:11" x14ac:dyDescent="0.25">
      <c r="A602" s="1" t="s">
        <v>2735</v>
      </c>
      <c r="B602" s="1" t="s">
        <v>1545</v>
      </c>
      <c r="C602" s="5">
        <v>4</v>
      </c>
      <c r="D602" s="15">
        <v>39190514</v>
      </c>
      <c r="E602" s="1" t="s">
        <v>2504</v>
      </c>
      <c r="F602" s="18">
        <v>5062301</v>
      </c>
      <c r="G602" s="9">
        <v>45623</v>
      </c>
      <c r="H602" s="1" t="s">
        <v>2512</v>
      </c>
      <c r="I602" s="12" t="s">
        <v>2509</v>
      </c>
      <c r="J602" s="6">
        <v>682564</v>
      </c>
      <c r="K602" s="3">
        <v>15682564</v>
      </c>
    </row>
    <row r="603" spans="1:11" x14ac:dyDescent="0.25">
      <c r="A603" s="1" t="s">
        <v>2736</v>
      </c>
      <c r="B603" s="1" t="s">
        <v>1540</v>
      </c>
      <c r="C603" s="5">
        <v>5</v>
      </c>
      <c r="D603" s="14">
        <v>17849513</v>
      </c>
      <c r="E603" s="1" t="s">
        <v>1515</v>
      </c>
      <c r="F603" s="17">
        <v>2643942</v>
      </c>
      <c r="G603" s="8">
        <v>45769</v>
      </c>
      <c r="H603" s="1" t="s">
        <v>1519</v>
      </c>
      <c r="I603" s="11" t="s">
        <v>2507</v>
      </c>
      <c r="J603" s="6">
        <v>304111</v>
      </c>
      <c r="K603" s="3">
        <v>15304111</v>
      </c>
    </row>
    <row r="604" spans="1:11" x14ac:dyDescent="0.25">
      <c r="A604" s="1" t="s">
        <v>1907</v>
      </c>
      <c r="B604" s="1" t="s">
        <v>1536</v>
      </c>
      <c r="C604" s="5">
        <v>2</v>
      </c>
      <c r="D604" s="15">
        <v>4755438</v>
      </c>
      <c r="E604" s="1" t="s">
        <v>2504</v>
      </c>
      <c r="F604" s="18">
        <v>10710035</v>
      </c>
      <c r="G604" s="9">
        <v>45763</v>
      </c>
      <c r="H604" s="1" t="s">
        <v>1522</v>
      </c>
      <c r="I604" s="12" t="s">
        <v>1521</v>
      </c>
      <c r="J604" s="6">
        <v>736887</v>
      </c>
      <c r="K604" s="3">
        <v>15736887</v>
      </c>
    </row>
    <row r="605" spans="1:11" x14ac:dyDescent="0.25">
      <c r="A605" s="1" t="s">
        <v>1908</v>
      </c>
      <c r="B605" s="1" t="s">
        <v>1545</v>
      </c>
      <c r="C605" s="5">
        <v>1</v>
      </c>
      <c r="D605" s="14">
        <v>14741835</v>
      </c>
      <c r="E605" s="1" t="s">
        <v>1538</v>
      </c>
      <c r="F605" s="17">
        <v>3500459</v>
      </c>
      <c r="G605" s="8">
        <v>45658</v>
      </c>
      <c r="H605" s="1" t="s">
        <v>2512</v>
      </c>
      <c r="I605" s="11" t="s">
        <v>2509</v>
      </c>
      <c r="J605" s="6">
        <v>224828</v>
      </c>
      <c r="K605" s="3">
        <v>15224828</v>
      </c>
    </row>
    <row r="606" spans="1:11" x14ac:dyDescent="0.25">
      <c r="A606" s="1" t="s">
        <v>1909</v>
      </c>
      <c r="B606" s="1" t="s">
        <v>1514</v>
      </c>
      <c r="C606" s="5">
        <v>1</v>
      </c>
      <c r="D606" s="15">
        <v>34069791</v>
      </c>
      <c r="E606" s="1" t="s">
        <v>2504</v>
      </c>
      <c r="F606" s="18">
        <v>4010205</v>
      </c>
      <c r="G606" s="9">
        <v>45558</v>
      </c>
      <c r="H606" s="1" t="s">
        <v>2512</v>
      </c>
      <c r="I606" s="12" t="s">
        <v>2507</v>
      </c>
      <c r="J606" s="6">
        <v>601192</v>
      </c>
      <c r="K606" s="3">
        <v>15601192</v>
      </c>
    </row>
    <row r="607" spans="1:11" x14ac:dyDescent="0.25">
      <c r="A607" s="1" t="s">
        <v>2737</v>
      </c>
      <c r="B607" s="1" t="s">
        <v>1527</v>
      </c>
      <c r="C607" s="5">
        <v>1</v>
      </c>
      <c r="D607" s="14">
        <v>35748813</v>
      </c>
      <c r="E607" s="1" t="s">
        <v>2504</v>
      </c>
      <c r="F607" s="17">
        <v>855660</v>
      </c>
      <c r="G607" s="8">
        <v>45668</v>
      </c>
      <c r="H607" s="1" t="s">
        <v>1522</v>
      </c>
      <c r="I607" s="11" t="s">
        <v>1518</v>
      </c>
      <c r="J607" s="6">
        <v>543844</v>
      </c>
      <c r="K607" s="3">
        <v>15543844</v>
      </c>
    </row>
    <row r="608" spans="1:11" x14ac:dyDescent="0.25">
      <c r="A608" s="1" t="s">
        <v>2738</v>
      </c>
      <c r="B608" s="1" t="s">
        <v>1534</v>
      </c>
      <c r="C608" s="5">
        <v>3</v>
      </c>
      <c r="D608" s="15">
        <v>4360114</v>
      </c>
      <c r="E608" s="1" t="s">
        <v>1515</v>
      </c>
      <c r="F608" s="18">
        <v>437613</v>
      </c>
      <c r="G608" s="9">
        <v>45760</v>
      </c>
      <c r="H608" s="1" t="s">
        <v>1522</v>
      </c>
      <c r="I608" s="12" t="s">
        <v>1518</v>
      </c>
      <c r="J608" s="6">
        <v>7845</v>
      </c>
      <c r="K608" s="3">
        <v>1507845</v>
      </c>
    </row>
    <row r="609" spans="1:11" x14ac:dyDescent="0.25">
      <c r="A609" s="1" t="s">
        <v>1910</v>
      </c>
      <c r="B609" s="1" t="s">
        <v>1532</v>
      </c>
      <c r="C609" s="5">
        <v>1</v>
      </c>
      <c r="D609" s="14">
        <v>49453973</v>
      </c>
      <c r="E609" s="1" t="s">
        <v>1538</v>
      </c>
      <c r="F609" s="17">
        <v>7783468</v>
      </c>
      <c r="G609" s="8">
        <v>45750</v>
      </c>
      <c r="H609" s="1" t="s">
        <v>1519</v>
      </c>
      <c r="I609" s="11" t="s">
        <v>1518</v>
      </c>
      <c r="J609" s="6">
        <v>83341</v>
      </c>
      <c r="K609" s="3">
        <v>1583341</v>
      </c>
    </row>
    <row r="610" spans="1:11" x14ac:dyDescent="0.25">
      <c r="A610" s="1" t="s">
        <v>1911</v>
      </c>
      <c r="B610" s="1" t="s">
        <v>1534</v>
      </c>
      <c r="C610" s="5">
        <v>2</v>
      </c>
      <c r="D610" s="15">
        <v>30157586</v>
      </c>
      <c r="E610" s="1" t="s">
        <v>1538</v>
      </c>
      <c r="F610" s="18">
        <v>2719823</v>
      </c>
      <c r="G610" s="9">
        <v>45672</v>
      </c>
      <c r="H610" s="1" t="s">
        <v>1543</v>
      </c>
      <c r="I610" s="12" t="s">
        <v>1512</v>
      </c>
      <c r="J610" s="6">
        <v>548755</v>
      </c>
      <c r="K610" s="3">
        <v>15548755</v>
      </c>
    </row>
    <row r="611" spans="1:11" x14ac:dyDescent="0.25">
      <c r="A611" s="1" t="s">
        <v>2739</v>
      </c>
      <c r="B611" s="1" t="s">
        <v>1532</v>
      </c>
      <c r="C611" s="5">
        <v>3</v>
      </c>
      <c r="D611" s="14">
        <v>42075684</v>
      </c>
      <c r="E611" s="1" t="s">
        <v>1538</v>
      </c>
      <c r="F611" s="17">
        <v>3102251</v>
      </c>
      <c r="G611" s="8">
        <v>45718</v>
      </c>
      <c r="H611" s="1" t="s">
        <v>2508</v>
      </c>
      <c r="I611" s="11" t="s">
        <v>1521</v>
      </c>
      <c r="J611" s="6">
        <v>779469</v>
      </c>
      <c r="K611" s="3">
        <v>15779469</v>
      </c>
    </row>
    <row r="612" spans="1:11" x14ac:dyDescent="0.25">
      <c r="A612" s="1" t="s">
        <v>1912</v>
      </c>
      <c r="B612" s="1" t="s">
        <v>1527</v>
      </c>
      <c r="C612" s="5">
        <v>4</v>
      </c>
      <c r="D612" s="15">
        <v>36001814</v>
      </c>
      <c r="E612" s="1" t="s">
        <v>1515</v>
      </c>
      <c r="F612" s="18">
        <v>5243</v>
      </c>
      <c r="G612" s="9">
        <v>45709</v>
      </c>
      <c r="H612" s="1" t="s">
        <v>2515</v>
      </c>
      <c r="I612" s="12" t="s">
        <v>2507</v>
      </c>
      <c r="J612" s="6">
        <v>718988</v>
      </c>
      <c r="K612" s="3">
        <v>15718988</v>
      </c>
    </row>
    <row r="613" spans="1:11" x14ac:dyDescent="0.25">
      <c r="A613" s="1" t="s">
        <v>1913</v>
      </c>
      <c r="B613" s="1" t="s">
        <v>1545</v>
      </c>
      <c r="C613" s="5">
        <v>3</v>
      </c>
      <c r="D613" s="14">
        <v>28479481</v>
      </c>
      <c r="E613" s="1" t="s">
        <v>2504</v>
      </c>
      <c r="F613" s="17">
        <v>510167</v>
      </c>
      <c r="G613" s="8">
        <v>45720</v>
      </c>
      <c r="H613" s="1" t="s">
        <v>2519</v>
      </c>
      <c r="I613" s="11" t="s">
        <v>2511</v>
      </c>
      <c r="J613" s="6">
        <v>559386</v>
      </c>
      <c r="K613" s="3">
        <v>15559386</v>
      </c>
    </row>
    <row r="614" spans="1:11" x14ac:dyDescent="0.25">
      <c r="A614" s="1" t="s">
        <v>2740</v>
      </c>
      <c r="B614" s="1" t="s">
        <v>1527</v>
      </c>
      <c r="C614" s="5">
        <v>1</v>
      </c>
      <c r="D614" s="15">
        <v>1703357</v>
      </c>
      <c r="E614" s="1" t="s">
        <v>1538</v>
      </c>
      <c r="F614" s="18">
        <v>36852</v>
      </c>
      <c r="G614" s="9">
        <v>45786</v>
      </c>
      <c r="H614" s="1" t="s">
        <v>1516</v>
      </c>
      <c r="I614" s="12" t="s">
        <v>2509</v>
      </c>
      <c r="J614" s="6">
        <v>3333</v>
      </c>
      <c r="K614" s="3">
        <v>1503333</v>
      </c>
    </row>
    <row r="615" spans="1:11" x14ac:dyDescent="0.25">
      <c r="A615" s="1" t="s">
        <v>2741</v>
      </c>
      <c r="B615" s="1" t="s">
        <v>1545</v>
      </c>
      <c r="C615" s="5">
        <v>3</v>
      </c>
      <c r="D615" s="14">
        <v>49678846</v>
      </c>
      <c r="E615" s="1" t="s">
        <v>1538</v>
      </c>
      <c r="F615" s="17">
        <v>5656047</v>
      </c>
      <c r="G615" s="8">
        <v>45822</v>
      </c>
      <c r="H615" s="1" t="s">
        <v>1516</v>
      </c>
      <c r="I615" s="11" t="s">
        <v>1521</v>
      </c>
      <c r="J615" s="6">
        <v>880456</v>
      </c>
      <c r="K615" s="3">
        <v>15880456</v>
      </c>
    </row>
    <row r="616" spans="1:11" x14ac:dyDescent="0.25">
      <c r="A616" s="1" t="s">
        <v>1914</v>
      </c>
      <c r="B616" s="1" t="s">
        <v>1514</v>
      </c>
      <c r="C616" s="5">
        <v>4</v>
      </c>
      <c r="D616" s="15">
        <v>39953832</v>
      </c>
      <c r="E616" s="1" t="s">
        <v>2504</v>
      </c>
      <c r="F616" s="18">
        <v>1056995</v>
      </c>
      <c r="G616" s="9">
        <v>45533</v>
      </c>
      <c r="H616" s="1" t="s">
        <v>2519</v>
      </c>
      <c r="I616" s="12" t="s">
        <v>2507</v>
      </c>
      <c r="J616" s="6">
        <v>777937</v>
      </c>
      <c r="K616" s="3">
        <v>15777937</v>
      </c>
    </row>
    <row r="617" spans="1:11" x14ac:dyDescent="0.25">
      <c r="A617" s="1" t="s">
        <v>1915</v>
      </c>
      <c r="B617" s="1" t="s">
        <v>1532</v>
      </c>
      <c r="C617" s="5">
        <v>4</v>
      </c>
      <c r="D617" s="14">
        <v>38211149</v>
      </c>
      <c r="E617" s="1" t="s">
        <v>1515</v>
      </c>
      <c r="F617" s="17">
        <v>486917</v>
      </c>
      <c r="G617" s="8">
        <v>45597</v>
      </c>
      <c r="H617" s="1" t="s">
        <v>1516</v>
      </c>
      <c r="I617" s="11" t="s">
        <v>2507</v>
      </c>
      <c r="J617" s="6">
        <v>754485</v>
      </c>
      <c r="K617" s="3">
        <v>15754485</v>
      </c>
    </row>
    <row r="618" spans="1:11" x14ac:dyDescent="0.25">
      <c r="A618" s="1" t="s">
        <v>1916</v>
      </c>
      <c r="B618" s="1" t="s">
        <v>1527</v>
      </c>
      <c r="C618" s="5">
        <v>1</v>
      </c>
      <c r="D618" s="15">
        <v>10478845</v>
      </c>
      <c r="E618" s="1" t="s">
        <v>1515</v>
      </c>
      <c r="F618" s="18">
        <v>178042</v>
      </c>
      <c r="G618" s="9">
        <v>45600</v>
      </c>
      <c r="H618" s="1" t="s">
        <v>2519</v>
      </c>
      <c r="I618" s="12" t="s">
        <v>1518</v>
      </c>
      <c r="J618" s="6">
        <v>206016</v>
      </c>
      <c r="K618" s="3">
        <v>15206016</v>
      </c>
    </row>
    <row r="619" spans="1:11" x14ac:dyDescent="0.25">
      <c r="A619" s="1" t="s">
        <v>1917</v>
      </c>
      <c r="B619" s="1" t="s">
        <v>1532</v>
      </c>
      <c r="C619" s="5">
        <v>1</v>
      </c>
      <c r="D619" s="14">
        <v>3213841</v>
      </c>
      <c r="E619" s="1" t="s">
        <v>1515</v>
      </c>
      <c r="F619" s="17">
        <v>4047407</v>
      </c>
      <c r="G619" s="8">
        <v>45790</v>
      </c>
      <c r="H619" s="1" t="s">
        <v>2508</v>
      </c>
      <c r="I619" s="11" t="s">
        <v>1521</v>
      </c>
      <c r="J619" s="6">
        <v>56182</v>
      </c>
      <c r="K619" s="3">
        <v>1556182</v>
      </c>
    </row>
    <row r="620" spans="1:11" x14ac:dyDescent="0.25">
      <c r="A620" s="1" t="s">
        <v>1918</v>
      </c>
      <c r="B620" s="1" t="s">
        <v>1532</v>
      </c>
      <c r="C620" s="5">
        <v>2</v>
      </c>
      <c r="D620" s="15">
        <v>4112326</v>
      </c>
      <c r="E620" s="1" t="s">
        <v>2504</v>
      </c>
      <c r="F620" s="18">
        <v>309462</v>
      </c>
      <c r="G620" s="9">
        <v>45858</v>
      </c>
      <c r="H620" s="1" t="s">
        <v>1516</v>
      </c>
      <c r="I620" s="12" t="s">
        <v>1512</v>
      </c>
      <c r="J620" s="6">
        <v>76057</v>
      </c>
      <c r="K620" s="3">
        <v>15076057</v>
      </c>
    </row>
    <row r="621" spans="1:11" x14ac:dyDescent="0.25">
      <c r="A621" s="1" t="s">
        <v>1919</v>
      </c>
      <c r="B621" s="1" t="s">
        <v>1523</v>
      </c>
      <c r="C621" s="5">
        <v>5</v>
      </c>
      <c r="D621" s="14">
        <v>36582525</v>
      </c>
      <c r="E621" s="1" t="s">
        <v>1515</v>
      </c>
      <c r="F621" s="17">
        <v>5406592</v>
      </c>
      <c r="G621" s="8">
        <v>45685</v>
      </c>
      <c r="H621" s="1" t="s">
        <v>1522</v>
      </c>
      <c r="I621" s="11" t="s">
        <v>2509</v>
      </c>
      <c r="J621" s="6">
        <v>623519</v>
      </c>
      <c r="K621" s="3">
        <v>15623519</v>
      </c>
    </row>
    <row r="622" spans="1:11" x14ac:dyDescent="0.25">
      <c r="A622" s="1" t="s">
        <v>2742</v>
      </c>
      <c r="B622" s="1" t="s">
        <v>1545</v>
      </c>
      <c r="C622" s="5">
        <v>3</v>
      </c>
      <c r="D622" s="15">
        <v>30598238</v>
      </c>
      <c r="E622" s="1" t="s">
        <v>1515</v>
      </c>
      <c r="F622" s="18">
        <v>3571783</v>
      </c>
      <c r="G622" s="9">
        <v>45680</v>
      </c>
      <c r="H622" s="1" t="s">
        <v>2510</v>
      </c>
      <c r="I622" s="12" t="s">
        <v>1521</v>
      </c>
      <c r="J622" s="6">
        <v>540529</v>
      </c>
      <c r="K622" s="3">
        <v>15540529</v>
      </c>
    </row>
    <row r="623" spans="1:11" x14ac:dyDescent="0.25">
      <c r="A623" s="1" t="s">
        <v>1920</v>
      </c>
      <c r="B623" s="1" t="s">
        <v>1525</v>
      </c>
      <c r="C623" s="5">
        <v>2</v>
      </c>
      <c r="D623" s="14">
        <v>33240854</v>
      </c>
      <c r="E623" s="1" t="s">
        <v>1538</v>
      </c>
      <c r="F623" s="17">
        <v>413668</v>
      </c>
      <c r="G623" s="8">
        <v>45545</v>
      </c>
      <c r="H623" s="1" t="s">
        <v>2510</v>
      </c>
      <c r="I623" s="11" t="s">
        <v>2511</v>
      </c>
      <c r="J623" s="6">
        <v>656544</v>
      </c>
      <c r="K623" s="3">
        <v>15656544</v>
      </c>
    </row>
    <row r="624" spans="1:11" x14ac:dyDescent="0.25">
      <c r="A624" s="1" t="s">
        <v>1921</v>
      </c>
      <c r="B624" s="1" t="s">
        <v>1540</v>
      </c>
      <c r="C624" s="5">
        <v>1</v>
      </c>
      <c r="D624" s="15">
        <v>2724104</v>
      </c>
      <c r="E624" s="1" t="s">
        <v>1538</v>
      </c>
      <c r="F624" s="18">
        <v>5920447</v>
      </c>
      <c r="G624" s="9">
        <v>45626</v>
      </c>
      <c r="H624" s="1" t="s">
        <v>2515</v>
      </c>
      <c r="I624" s="12" t="s">
        <v>2507</v>
      </c>
      <c r="J624" s="6">
        <v>426412</v>
      </c>
      <c r="K624" s="3">
        <v>15426412</v>
      </c>
    </row>
    <row r="625" spans="1:11" x14ac:dyDescent="0.25">
      <c r="A625" s="1" t="s">
        <v>1922</v>
      </c>
      <c r="B625" s="1" t="s">
        <v>1540</v>
      </c>
      <c r="C625" s="5">
        <v>3</v>
      </c>
      <c r="D625" s="14">
        <v>10866535</v>
      </c>
      <c r="E625" s="1" t="s">
        <v>2504</v>
      </c>
      <c r="F625" s="17">
        <v>191104</v>
      </c>
      <c r="G625" s="8">
        <v>45621</v>
      </c>
      <c r="H625" s="1" t="s">
        <v>1543</v>
      </c>
      <c r="I625" s="11" t="s">
        <v>1512</v>
      </c>
      <c r="J625" s="6">
        <v>213509</v>
      </c>
      <c r="K625" s="3">
        <v>15213509</v>
      </c>
    </row>
    <row r="626" spans="1:11" x14ac:dyDescent="0.25">
      <c r="A626" s="1" t="s">
        <v>2743</v>
      </c>
      <c r="B626" s="1" t="s">
        <v>1523</v>
      </c>
      <c r="C626" s="5">
        <v>2</v>
      </c>
      <c r="D626" s="15">
        <v>26294204</v>
      </c>
      <c r="E626" s="1" t="s">
        <v>1538</v>
      </c>
      <c r="F626" s="18">
        <v>5431822</v>
      </c>
      <c r="G626" s="9">
        <v>45668</v>
      </c>
      <c r="H626" s="1" t="s">
        <v>2510</v>
      </c>
      <c r="I626" s="12" t="s">
        <v>2511</v>
      </c>
      <c r="J626" s="6">
        <v>417248</v>
      </c>
      <c r="K626" s="3">
        <v>15417248</v>
      </c>
    </row>
    <row r="627" spans="1:11" x14ac:dyDescent="0.25">
      <c r="A627" s="1" t="s">
        <v>1923</v>
      </c>
      <c r="B627" s="1" t="s">
        <v>1514</v>
      </c>
      <c r="C627" s="5">
        <v>1</v>
      </c>
      <c r="D627" s="14">
        <v>22724638</v>
      </c>
      <c r="E627" s="1" t="s">
        <v>1538</v>
      </c>
      <c r="F627" s="17">
        <v>873868</v>
      </c>
      <c r="G627" s="8">
        <v>45829</v>
      </c>
      <c r="H627" s="1" t="s">
        <v>1516</v>
      </c>
      <c r="I627" s="11" t="s">
        <v>1521</v>
      </c>
      <c r="J627" s="6">
        <v>437015</v>
      </c>
      <c r="K627" s="3">
        <v>15437015</v>
      </c>
    </row>
    <row r="628" spans="1:11" x14ac:dyDescent="0.25">
      <c r="A628" s="1" t="s">
        <v>1924</v>
      </c>
      <c r="B628" s="1" t="s">
        <v>1536</v>
      </c>
      <c r="C628" s="5">
        <v>1</v>
      </c>
      <c r="D628" s="15">
        <v>16554619</v>
      </c>
      <c r="E628" s="1" t="s">
        <v>1538</v>
      </c>
      <c r="F628" s="18">
        <v>705715</v>
      </c>
      <c r="G628" s="9">
        <v>45715</v>
      </c>
      <c r="H628" s="1" t="s">
        <v>2510</v>
      </c>
      <c r="I628" s="12" t="s">
        <v>1512</v>
      </c>
      <c r="J628" s="6">
        <v>316978</v>
      </c>
      <c r="K628" s="3">
        <v>15316978</v>
      </c>
    </row>
    <row r="629" spans="1:11" x14ac:dyDescent="0.25">
      <c r="A629" s="1" t="s">
        <v>2744</v>
      </c>
      <c r="B629" s="1" t="s">
        <v>1536</v>
      </c>
      <c r="C629" s="5">
        <v>2</v>
      </c>
      <c r="D629" s="14">
        <v>36212577</v>
      </c>
      <c r="E629" s="1" t="s">
        <v>1538</v>
      </c>
      <c r="F629" s="17">
        <v>4669463</v>
      </c>
      <c r="G629" s="8">
        <v>45550</v>
      </c>
      <c r="H629" s="1" t="s">
        <v>2519</v>
      </c>
      <c r="I629" s="11" t="s">
        <v>1518</v>
      </c>
      <c r="J629" s="6">
        <v>630862</v>
      </c>
      <c r="K629" s="3">
        <v>15630862</v>
      </c>
    </row>
    <row r="630" spans="1:11" x14ac:dyDescent="0.25">
      <c r="A630" s="1" t="s">
        <v>2745</v>
      </c>
      <c r="B630" s="1" t="s">
        <v>1532</v>
      </c>
      <c r="C630" s="5">
        <v>3</v>
      </c>
      <c r="D630" s="15">
        <v>45101899</v>
      </c>
      <c r="E630" s="1" t="s">
        <v>1515</v>
      </c>
      <c r="F630" s="18">
        <v>5871077</v>
      </c>
      <c r="G630" s="9">
        <v>45833</v>
      </c>
      <c r="H630" s="1" t="s">
        <v>2508</v>
      </c>
      <c r="I630" s="12" t="s">
        <v>2507</v>
      </c>
      <c r="J630" s="6">
        <v>784616</v>
      </c>
      <c r="K630" s="3">
        <v>15784616</v>
      </c>
    </row>
    <row r="631" spans="1:11" x14ac:dyDescent="0.25">
      <c r="A631" s="1" t="s">
        <v>1925</v>
      </c>
      <c r="B631" s="1" t="s">
        <v>1514</v>
      </c>
      <c r="C631" s="5">
        <v>1</v>
      </c>
      <c r="D631" s="14">
        <v>32115535</v>
      </c>
      <c r="E631" s="1" t="s">
        <v>1515</v>
      </c>
      <c r="F631" s="17">
        <v>2506894</v>
      </c>
      <c r="G631" s="8">
        <v>45757</v>
      </c>
      <c r="H631" s="1" t="s">
        <v>1516</v>
      </c>
      <c r="I631" s="11" t="s">
        <v>2507</v>
      </c>
      <c r="J631" s="6">
        <v>592173</v>
      </c>
      <c r="K631" s="3">
        <v>15592173</v>
      </c>
    </row>
    <row r="632" spans="1:11" x14ac:dyDescent="0.25">
      <c r="A632" s="1" t="s">
        <v>1926</v>
      </c>
      <c r="B632" s="1" t="s">
        <v>1532</v>
      </c>
      <c r="C632" s="5">
        <v>3</v>
      </c>
      <c r="D632" s="15">
        <v>32098539</v>
      </c>
      <c r="E632" s="1" t="s">
        <v>1515</v>
      </c>
      <c r="F632" s="18">
        <v>748244</v>
      </c>
      <c r="G632" s="9">
        <v>45775</v>
      </c>
      <c r="H632" s="1" t="s">
        <v>2512</v>
      </c>
      <c r="I632" s="12" t="s">
        <v>1521</v>
      </c>
      <c r="J632" s="6">
        <v>492322</v>
      </c>
      <c r="K632" s="3">
        <v>15492322</v>
      </c>
    </row>
    <row r="633" spans="1:11" x14ac:dyDescent="0.25">
      <c r="A633" s="1" t="s">
        <v>1927</v>
      </c>
      <c r="B633" s="1" t="s">
        <v>1517</v>
      </c>
      <c r="C633" s="5">
        <v>2</v>
      </c>
      <c r="D633" s="14">
        <v>6635217</v>
      </c>
      <c r="E633" s="1" t="s">
        <v>1538</v>
      </c>
      <c r="F633" s="17">
        <v>1189128</v>
      </c>
      <c r="G633" s="8">
        <v>45777</v>
      </c>
      <c r="H633" s="1" t="s">
        <v>1522</v>
      </c>
      <c r="I633" s="11" t="s">
        <v>2507</v>
      </c>
      <c r="J633" s="6">
        <v>108922</v>
      </c>
      <c r="K633" s="3">
        <v>15108922</v>
      </c>
    </row>
    <row r="634" spans="1:11" x14ac:dyDescent="0.25">
      <c r="A634" s="1" t="s">
        <v>1928</v>
      </c>
      <c r="B634" s="1" t="s">
        <v>1527</v>
      </c>
      <c r="C634" s="5">
        <v>2</v>
      </c>
      <c r="D634" s="15">
        <v>14930655</v>
      </c>
      <c r="E634" s="1" t="s">
        <v>2504</v>
      </c>
      <c r="F634" s="18">
        <v>825763</v>
      </c>
      <c r="G634" s="9">
        <v>45506</v>
      </c>
      <c r="H634" s="1" t="s">
        <v>1543</v>
      </c>
      <c r="I634" s="12" t="s">
        <v>1518</v>
      </c>
      <c r="J634" s="6">
        <v>282098</v>
      </c>
      <c r="K634" s="3">
        <v>15282098</v>
      </c>
    </row>
    <row r="635" spans="1:11" x14ac:dyDescent="0.25">
      <c r="A635" s="1" t="s">
        <v>1929</v>
      </c>
      <c r="B635" s="1" t="s">
        <v>1517</v>
      </c>
      <c r="C635" s="5">
        <v>4</v>
      </c>
      <c r="D635" s="14">
        <v>27047768</v>
      </c>
      <c r="E635" s="1" t="s">
        <v>1538</v>
      </c>
      <c r="F635" s="17">
        <v>1919559</v>
      </c>
      <c r="G635" s="8">
        <v>45537</v>
      </c>
      <c r="H635" s="1" t="s">
        <v>1522</v>
      </c>
      <c r="I635" s="11" t="s">
        <v>1521</v>
      </c>
      <c r="J635" s="6">
        <v>502564</v>
      </c>
      <c r="K635" s="3">
        <v>15502564</v>
      </c>
    </row>
    <row r="636" spans="1:11" x14ac:dyDescent="0.25">
      <c r="A636" s="1" t="s">
        <v>1930</v>
      </c>
      <c r="B636" s="1" t="s">
        <v>1540</v>
      </c>
      <c r="C636" s="5">
        <v>4</v>
      </c>
      <c r="D636" s="15">
        <v>15499663</v>
      </c>
      <c r="E636" s="1" t="s">
        <v>2504</v>
      </c>
      <c r="F636" s="18">
        <v>121381</v>
      </c>
      <c r="G636" s="9">
        <v>45572</v>
      </c>
      <c r="H636" s="1" t="s">
        <v>1519</v>
      </c>
      <c r="I636" s="12" t="s">
        <v>2509</v>
      </c>
      <c r="J636" s="6">
        <v>307566</v>
      </c>
      <c r="K636" s="3">
        <v>15307566</v>
      </c>
    </row>
    <row r="637" spans="1:11" x14ac:dyDescent="0.25">
      <c r="A637" s="1" t="s">
        <v>1931</v>
      </c>
      <c r="B637" s="1" t="s">
        <v>1540</v>
      </c>
      <c r="C637" s="5">
        <v>3</v>
      </c>
      <c r="D637" s="14">
        <v>22197252</v>
      </c>
      <c r="E637" s="1" t="s">
        <v>1515</v>
      </c>
      <c r="F637" s="17">
        <v>444085</v>
      </c>
      <c r="G637" s="8">
        <v>45532</v>
      </c>
      <c r="H637" s="1" t="s">
        <v>1543</v>
      </c>
      <c r="I637" s="11" t="s">
        <v>1521</v>
      </c>
      <c r="J637" s="6">
        <v>355128</v>
      </c>
      <c r="K637" s="3">
        <v>15355128</v>
      </c>
    </row>
    <row r="638" spans="1:11" x14ac:dyDescent="0.25">
      <c r="A638" s="1" t="s">
        <v>1932</v>
      </c>
      <c r="B638" s="1" t="s">
        <v>1517</v>
      </c>
      <c r="C638" s="5">
        <v>1</v>
      </c>
      <c r="D638" s="15">
        <v>28051112</v>
      </c>
      <c r="E638" s="1" t="s">
        <v>1515</v>
      </c>
      <c r="F638" s="18">
        <v>1234557</v>
      </c>
      <c r="G638" s="9">
        <v>45800</v>
      </c>
      <c r="H638" s="1" t="s">
        <v>1543</v>
      </c>
      <c r="I638" s="12" t="s">
        <v>2507</v>
      </c>
      <c r="J638" s="6">
        <v>536331</v>
      </c>
      <c r="K638" s="3">
        <v>15536331</v>
      </c>
    </row>
    <row r="639" spans="1:11" x14ac:dyDescent="0.25">
      <c r="A639" s="1" t="s">
        <v>2746</v>
      </c>
      <c r="B639" s="1" t="s">
        <v>1534</v>
      </c>
      <c r="C639" s="5">
        <v>1</v>
      </c>
      <c r="D639" s="14">
        <v>45022376</v>
      </c>
      <c r="E639" s="1" t="s">
        <v>1515</v>
      </c>
      <c r="F639" s="17">
        <v>546356</v>
      </c>
      <c r="G639" s="8">
        <v>45597</v>
      </c>
      <c r="H639" s="1" t="s">
        <v>2519</v>
      </c>
      <c r="I639" s="11" t="s">
        <v>1512</v>
      </c>
      <c r="J639" s="6">
        <v>88952</v>
      </c>
      <c r="K639" s="3">
        <v>1588952</v>
      </c>
    </row>
    <row r="640" spans="1:11" x14ac:dyDescent="0.25">
      <c r="A640" s="1" t="s">
        <v>1933</v>
      </c>
      <c r="B640" s="1" t="s">
        <v>1534</v>
      </c>
      <c r="C640" s="5">
        <v>1</v>
      </c>
      <c r="D640" s="15">
        <v>1806043</v>
      </c>
      <c r="E640" s="1" t="s">
        <v>1515</v>
      </c>
      <c r="F640" s="18">
        <v>247227</v>
      </c>
      <c r="G640" s="9">
        <v>45852</v>
      </c>
      <c r="H640" s="1" t="s">
        <v>1519</v>
      </c>
      <c r="I640" s="12" t="s">
        <v>1512</v>
      </c>
      <c r="J640" s="6">
        <v>31176</v>
      </c>
      <c r="K640" s="3">
        <v>15031176</v>
      </c>
    </row>
    <row r="641" spans="1:11" x14ac:dyDescent="0.25">
      <c r="A641" s="1" t="s">
        <v>2747</v>
      </c>
      <c r="B641" s="1" t="s">
        <v>1534</v>
      </c>
      <c r="C641" s="5">
        <v>5</v>
      </c>
      <c r="D641" s="14">
        <v>10446548</v>
      </c>
      <c r="E641" s="1" t="s">
        <v>2504</v>
      </c>
      <c r="F641" s="17">
        <v>1381439</v>
      </c>
      <c r="G641" s="8">
        <v>45666</v>
      </c>
      <c r="H641" s="1" t="s">
        <v>1513</v>
      </c>
      <c r="I641" s="11" t="s">
        <v>2507</v>
      </c>
      <c r="J641" s="6">
        <v>181302</v>
      </c>
      <c r="K641" s="3">
        <v>15181302</v>
      </c>
    </row>
    <row r="642" spans="1:11" x14ac:dyDescent="0.25">
      <c r="A642" s="1" t="s">
        <v>2748</v>
      </c>
      <c r="B642" s="1" t="s">
        <v>1525</v>
      </c>
      <c r="C642" s="5">
        <v>3</v>
      </c>
      <c r="D642" s="15">
        <v>45097955</v>
      </c>
      <c r="E642" s="1" t="s">
        <v>1515</v>
      </c>
      <c r="F642" s="18">
        <v>5445536</v>
      </c>
      <c r="G642" s="9">
        <v>45658</v>
      </c>
      <c r="H642" s="1" t="s">
        <v>2515</v>
      </c>
      <c r="I642" s="12" t="s">
        <v>1512</v>
      </c>
      <c r="J642" s="6">
        <v>793048</v>
      </c>
      <c r="K642" s="3">
        <v>15793048</v>
      </c>
    </row>
    <row r="643" spans="1:11" x14ac:dyDescent="0.25">
      <c r="A643" s="1" t="s">
        <v>2749</v>
      </c>
      <c r="B643" s="1" t="s">
        <v>1514</v>
      </c>
      <c r="C643" s="5">
        <v>2</v>
      </c>
      <c r="D643" s="14">
        <v>15798927</v>
      </c>
      <c r="E643" s="1" t="s">
        <v>1515</v>
      </c>
      <c r="F643" s="17">
        <v>260583</v>
      </c>
      <c r="G643" s="8">
        <v>45732</v>
      </c>
      <c r="H643" s="1" t="s">
        <v>2510</v>
      </c>
      <c r="I643" s="11" t="s">
        <v>2507</v>
      </c>
      <c r="J643" s="6">
        <v>310767</v>
      </c>
      <c r="K643" s="3">
        <v>15310767</v>
      </c>
    </row>
    <row r="644" spans="1:11" x14ac:dyDescent="0.25">
      <c r="A644" s="1" t="s">
        <v>1934</v>
      </c>
      <c r="B644" s="1" t="s">
        <v>1540</v>
      </c>
      <c r="C644" s="5">
        <v>3</v>
      </c>
      <c r="D644" s="15">
        <v>11451728</v>
      </c>
      <c r="E644" s="1" t="s">
        <v>2504</v>
      </c>
      <c r="F644" s="18">
        <v>1661492</v>
      </c>
      <c r="G644" s="9">
        <v>45497</v>
      </c>
      <c r="H644" s="1" t="s">
        <v>2515</v>
      </c>
      <c r="I644" s="12" t="s">
        <v>1512</v>
      </c>
      <c r="J644" s="6">
        <v>195805</v>
      </c>
      <c r="K644" s="3">
        <v>15195805</v>
      </c>
    </row>
    <row r="645" spans="1:11" x14ac:dyDescent="0.25">
      <c r="A645" s="1" t="s">
        <v>2750</v>
      </c>
      <c r="B645" s="1" t="s">
        <v>1527</v>
      </c>
      <c r="C645" s="5">
        <v>1</v>
      </c>
      <c r="D645" s="14">
        <v>36543944</v>
      </c>
      <c r="E645" s="1" t="s">
        <v>1538</v>
      </c>
      <c r="F645" s="17">
        <v>3606293</v>
      </c>
      <c r="G645" s="8">
        <v>45815</v>
      </c>
      <c r="H645" s="1" t="s">
        <v>1543</v>
      </c>
      <c r="I645" s="11" t="s">
        <v>2507</v>
      </c>
      <c r="J645" s="6">
        <v>658753</v>
      </c>
      <c r="K645" s="3">
        <v>15658753</v>
      </c>
    </row>
    <row r="646" spans="1:11" x14ac:dyDescent="0.25">
      <c r="A646" s="1" t="s">
        <v>1935</v>
      </c>
      <c r="B646" s="1" t="s">
        <v>1534</v>
      </c>
      <c r="C646" s="5">
        <v>3</v>
      </c>
      <c r="D646" s="15">
        <v>44027558</v>
      </c>
      <c r="E646" s="1" t="s">
        <v>1515</v>
      </c>
      <c r="F646" s="18">
        <v>338682</v>
      </c>
      <c r="G646" s="9">
        <v>45731</v>
      </c>
      <c r="H646" s="1" t="s">
        <v>1519</v>
      </c>
      <c r="I646" s="12" t="s">
        <v>1518</v>
      </c>
      <c r="J646" s="6">
        <v>812815</v>
      </c>
      <c r="K646" s="3">
        <v>15812815</v>
      </c>
    </row>
    <row r="647" spans="1:11" x14ac:dyDescent="0.25">
      <c r="A647" s="1" t="s">
        <v>1936</v>
      </c>
      <c r="B647" s="1" t="s">
        <v>1523</v>
      </c>
      <c r="C647" s="5">
        <v>3</v>
      </c>
      <c r="D647" s="14">
        <v>44828208</v>
      </c>
      <c r="E647" s="1" t="s">
        <v>2504</v>
      </c>
      <c r="F647" s="17">
        <v>3403539</v>
      </c>
      <c r="G647" s="8">
        <v>45767</v>
      </c>
      <c r="H647" s="1" t="s">
        <v>1516</v>
      </c>
      <c r="I647" s="11" t="s">
        <v>1512</v>
      </c>
      <c r="J647" s="6">
        <v>828493</v>
      </c>
      <c r="K647" s="3">
        <v>15828493</v>
      </c>
    </row>
    <row r="648" spans="1:11" x14ac:dyDescent="0.25">
      <c r="A648" s="1" t="s">
        <v>1937</v>
      </c>
      <c r="B648" s="1" t="s">
        <v>1523</v>
      </c>
      <c r="C648" s="5">
        <v>2</v>
      </c>
      <c r="D648" s="15">
        <v>4651970</v>
      </c>
      <c r="E648" s="1" t="s">
        <v>1538</v>
      </c>
      <c r="F648" s="18">
        <v>3337511</v>
      </c>
      <c r="G648" s="9">
        <v>45860</v>
      </c>
      <c r="H648" s="1" t="s">
        <v>1516</v>
      </c>
      <c r="I648" s="12" t="s">
        <v>2509</v>
      </c>
      <c r="J648" s="6">
        <v>863644</v>
      </c>
      <c r="K648" s="3">
        <v>15863644</v>
      </c>
    </row>
    <row r="649" spans="1:11" x14ac:dyDescent="0.25">
      <c r="A649" s="1" t="s">
        <v>1938</v>
      </c>
      <c r="B649" s="1" t="s">
        <v>1527</v>
      </c>
      <c r="C649" s="5">
        <v>3</v>
      </c>
      <c r="D649" s="14">
        <v>24796891</v>
      </c>
      <c r="E649" s="1" t="s">
        <v>1515</v>
      </c>
      <c r="F649" s="17">
        <v>483311</v>
      </c>
      <c r="G649" s="8">
        <v>45786</v>
      </c>
      <c r="H649" s="1" t="s">
        <v>2508</v>
      </c>
      <c r="I649" s="11" t="s">
        <v>1518</v>
      </c>
      <c r="J649" s="6">
        <v>399276</v>
      </c>
      <c r="K649" s="3">
        <v>15399276</v>
      </c>
    </row>
    <row r="650" spans="1:11" x14ac:dyDescent="0.25">
      <c r="A650" s="1" t="s">
        <v>2751</v>
      </c>
      <c r="B650" s="1" t="s">
        <v>1525</v>
      </c>
      <c r="C650" s="5">
        <v>2</v>
      </c>
      <c r="D650" s="15">
        <v>38479004</v>
      </c>
      <c r="E650" s="1" t="s">
        <v>1515</v>
      </c>
      <c r="F650" s="18">
        <v>959965</v>
      </c>
      <c r="G650" s="9">
        <v>45599</v>
      </c>
      <c r="H650" s="1" t="s">
        <v>1516</v>
      </c>
      <c r="I650" s="12" t="s">
        <v>2509</v>
      </c>
      <c r="J650" s="6">
        <v>750381</v>
      </c>
      <c r="K650" s="3">
        <v>15750381</v>
      </c>
    </row>
    <row r="651" spans="1:11" x14ac:dyDescent="0.25">
      <c r="A651" s="1" t="s">
        <v>2752</v>
      </c>
      <c r="B651" s="1" t="s">
        <v>1545</v>
      </c>
      <c r="C651" s="5">
        <v>5</v>
      </c>
      <c r="D651" s="14">
        <v>47702414</v>
      </c>
      <c r="E651" s="1" t="s">
        <v>1515</v>
      </c>
      <c r="F651" s="17">
        <v>8040241</v>
      </c>
      <c r="G651" s="8">
        <v>45736</v>
      </c>
      <c r="H651" s="1" t="s">
        <v>1513</v>
      </c>
      <c r="I651" s="11" t="s">
        <v>2511</v>
      </c>
      <c r="J651" s="6">
        <v>793243</v>
      </c>
      <c r="K651" s="3">
        <v>15793243</v>
      </c>
    </row>
    <row r="652" spans="1:11" x14ac:dyDescent="0.25">
      <c r="A652" s="1" t="s">
        <v>2753</v>
      </c>
      <c r="B652" s="1" t="s">
        <v>1514</v>
      </c>
      <c r="C652" s="5">
        <v>4</v>
      </c>
      <c r="D652" s="15">
        <v>42630187</v>
      </c>
      <c r="E652" s="1" t="s">
        <v>1538</v>
      </c>
      <c r="F652" s="18">
        <v>4068358</v>
      </c>
      <c r="G652" s="9">
        <v>45810</v>
      </c>
      <c r="H652" s="1" t="s">
        <v>2515</v>
      </c>
      <c r="I652" s="12" t="s">
        <v>2507</v>
      </c>
      <c r="J652" s="6">
        <v>771237</v>
      </c>
      <c r="K652" s="3">
        <v>15771237</v>
      </c>
    </row>
    <row r="653" spans="1:11" x14ac:dyDescent="0.25">
      <c r="A653" s="1" t="s">
        <v>2754</v>
      </c>
      <c r="B653" s="1" t="s">
        <v>1517</v>
      </c>
      <c r="C653" s="5">
        <v>4</v>
      </c>
      <c r="D653" s="14">
        <v>31044129</v>
      </c>
      <c r="E653" s="1" t="s">
        <v>2504</v>
      </c>
      <c r="F653" s="17">
        <v>664841</v>
      </c>
      <c r="G653" s="8">
        <v>45702</v>
      </c>
      <c r="H653" s="1" t="s">
        <v>1522</v>
      </c>
      <c r="I653" s="11" t="s">
        <v>2511</v>
      </c>
      <c r="J653" s="6">
        <v>487914</v>
      </c>
      <c r="K653" s="3">
        <v>15487914</v>
      </c>
    </row>
    <row r="654" spans="1:11" x14ac:dyDescent="0.25">
      <c r="A654" s="1" t="s">
        <v>1939</v>
      </c>
      <c r="B654" s="1" t="s">
        <v>1534</v>
      </c>
      <c r="C654" s="5">
        <v>2</v>
      </c>
      <c r="D654" s="15">
        <v>18124062</v>
      </c>
      <c r="E654" s="1" t="s">
        <v>1515</v>
      </c>
      <c r="F654" s="18">
        <v>124751</v>
      </c>
      <c r="G654" s="9">
        <v>45697</v>
      </c>
      <c r="H654" s="1" t="s">
        <v>2519</v>
      </c>
      <c r="I654" s="12" t="s">
        <v>1512</v>
      </c>
      <c r="J654" s="6">
        <v>359986</v>
      </c>
      <c r="K654" s="3">
        <v>15359986</v>
      </c>
    </row>
    <row r="655" spans="1:11" x14ac:dyDescent="0.25">
      <c r="A655" s="1" t="s">
        <v>1940</v>
      </c>
      <c r="B655" s="1" t="s">
        <v>1525</v>
      </c>
      <c r="C655" s="5">
        <v>2</v>
      </c>
      <c r="D655" s="14">
        <v>21986036</v>
      </c>
      <c r="E655" s="1" t="s">
        <v>1515</v>
      </c>
      <c r="F655" s="17">
        <v>132067</v>
      </c>
      <c r="G655" s="8">
        <v>45767</v>
      </c>
      <c r="H655" s="1" t="s">
        <v>2515</v>
      </c>
      <c r="I655" s="11" t="s">
        <v>1521</v>
      </c>
      <c r="J655" s="6">
        <v>413307</v>
      </c>
      <c r="K655" s="3">
        <v>15413307</v>
      </c>
    </row>
    <row r="656" spans="1:11" x14ac:dyDescent="0.25">
      <c r="A656" s="1" t="s">
        <v>1941</v>
      </c>
      <c r="B656" s="1" t="s">
        <v>1514</v>
      </c>
      <c r="C656" s="5">
        <v>4</v>
      </c>
      <c r="D656" s="15">
        <v>37310398</v>
      </c>
      <c r="E656" s="1" t="s">
        <v>1515</v>
      </c>
      <c r="F656" s="18">
        <v>4397757</v>
      </c>
      <c r="G656" s="9">
        <v>45562</v>
      </c>
      <c r="H656" s="1" t="s">
        <v>2519</v>
      </c>
      <c r="I656" s="12" t="s">
        <v>2509</v>
      </c>
      <c r="J656" s="6">
        <v>658253</v>
      </c>
      <c r="K656" s="3">
        <v>15658253</v>
      </c>
    </row>
    <row r="657" spans="1:11" x14ac:dyDescent="0.25">
      <c r="A657" s="1" t="s">
        <v>1942</v>
      </c>
      <c r="B657" s="1" t="s">
        <v>1540</v>
      </c>
      <c r="C657" s="5">
        <v>2</v>
      </c>
      <c r="D657" s="14">
        <v>43439794</v>
      </c>
      <c r="E657" s="1" t="s">
        <v>1515</v>
      </c>
      <c r="F657" s="17">
        <v>8143914</v>
      </c>
      <c r="G657" s="8">
        <v>45684</v>
      </c>
      <c r="H657" s="1" t="s">
        <v>1522</v>
      </c>
      <c r="I657" s="11" t="s">
        <v>2511</v>
      </c>
      <c r="J657" s="6">
        <v>705918</v>
      </c>
      <c r="K657" s="3">
        <v>15705918</v>
      </c>
    </row>
    <row r="658" spans="1:11" x14ac:dyDescent="0.25">
      <c r="A658" s="1" t="s">
        <v>1943</v>
      </c>
      <c r="B658" s="1" t="s">
        <v>1517</v>
      </c>
      <c r="C658" s="5">
        <v>1</v>
      </c>
      <c r="D658" s="15">
        <v>15509666</v>
      </c>
      <c r="E658" s="1" t="s">
        <v>2504</v>
      </c>
      <c r="F658" s="18">
        <v>318311</v>
      </c>
      <c r="G658" s="9">
        <v>45722</v>
      </c>
      <c r="H658" s="1" t="s">
        <v>1516</v>
      </c>
      <c r="I658" s="12" t="s">
        <v>2511</v>
      </c>
      <c r="J658" s="6">
        <v>303827</v>
      </c>
      <c r="K658" s="3">
        <v>15303827</v>
      </c>
    </row>
    <row r="659" spans="1:11" x14ac:dyDescent="0.25">
      <c r="A659" s="1" t="s">
        <v>2755</v>
      </c>
      <c r="B659" s="1" t="s">
        <v>1523</v>
      </c>
      <c r="C659" s="5">
        <v>5</v>
      </c>
      <c r="D659" s="14">
        <v>3475937</v>
      </c>
      <c r="E659" s="1" t="s">
        <v>2504</v>
      </c>
      <c r="F659" s="17">
        <v>115146</v>
      </c>
      <c r="G659" s="8">
        <v>45629</v>
      </c>
      <c r="H659" s="1" t="s">
        <v>1522</v>
      </c>
      <c r="I659" s="11" t="s">
        <v>1518</v>
      </c>
      <c r="J659" s="6">
        <v>67216</v>
      </c>
      <c r="K659" s="3">
        <v>15067216</v>
      </c>
    </row>
    <row r="660" spans="1:11" x14ac:dyDescent="0.25">
      <c r="A660" s="1" t="s">
        <v>1944</v>
      </c>
      <c r="B660" s="1" t="s">
        <v>1525</v>
      </c>
      <c r="C660" s="5">
        <v>5</v>
      </c>
      <c r="D660" s="15">
        <v>486221</v>
      </c>
      <c r="E660" s="1" t="s">
        <v>2504</v>
      </c>
      <c r="F660" s="18">
        <v>941735</v>
      </c>
      <c r="G660" s="9">
        <v>45516</v>
      </c>
      <c r="H660" s="1" t="s">
        <v>1516</v>
      </c>
      <c r="I660" s="12" t="s">
        <v>1512</v>
      </c>
      <c r="J660" s="6">
        <v>7841</v>
      </c>
      <c r="K660" s="3">
        <v>1507841</v>
      </c>
    </row>
    <row r="661" spans="1:11" x14ac:dyDescent="0.25">
      <c r="A661" s="1" t="s">
        <v>1945</v>
      </c>
      <c r="B661" s="1" t="s">
        <v>1514</v>
      </c>
      <c r="C661" s="5">
        <v>4</v>
      </c>
      <c r="D661" s="14">
        <v>22548345</v>
      </c>
      <c r="E661" s="1" t="s">
        <v>2504</v>
      </c>
      <c r="F661" s="17">
        <v>3138408</v>
      </c>
      <c r="G661" s="8">
        <v>45532</v>
      </c>
      <c r="H661" s="1" t="s">
        <v>2512</v>
      </c>
      <c r="I661" s="11" t="s">
        <v>2509</v>
      </c>
      <c r="J661" s="6">
        <v>388199</v>
      </c>
      <c r="K661" s="3">
        <v>15388199</v>
      </c>
    </row>
    <row r="662" spans="1:11" x14ac:dyDescent="0.25">
      <c r="A662" s="1" t="s">
        <v>1946</v>
      </c>
      <c r="B662" s="1" t="s">
        <v>1517</v>
      </c>
      <c r="C662" s="5">
        <v>5</v>
      </c>
      <c r="D662" s="15">
        <v>29745872</v>
      </c>
      <c r="E662" s="1" t="s">
        <v>2504</v>
      </c>
      <c r="F662" s="18">
        <v>3506375</v>
      </c>
      <c r="G662" s="9">
        <v>45785</v>
      </c>
      <c r="H662" s="1" t="s">
        <v>2515</v>
      </c>
      <c r="I662" s="12" t="s">
        <v>1521</v>
      </c>
      <c r="J662" s="6">
        <v>52479</v>
      </c>
      <c r="K662" s="3">
        <v>1552479</v>
      </c>
    </row>
    <row r="663" spans="1:11" x14ac:dyDescent="0.25">
      <c r="A663" s="1" t="s">
        <v>2756</v>
      </c>
      <c r="B663" s="1" t="s">
        <v>1536</v>
      </c>
      <c r="C663" s="5">
        <v>2</v>
      </c>
      <c r="D663" s="14">
        <v>5380363</v>
      </c>
      <c r="E663" s="1" t="s">
        <v>1515</v>
      </c>
      <c r="F663" s="17">
        <v>333219</v>
      </c>
      <c r="G663" s="8">
        <v>45626</v>
      </c>
      <c r="H663" s="1" t="s">
        <v>1522</v>
      </c>
      <c r="I663" s="11" t="s">
        <v>1521</v>
      </c>
      <c r="J663" s="6">
        <v>100943</v>
      </c>
      <c r="K663" s="3">
        <v>15100943</v>
      </c>
    </row>
    <row r="664" spans="1:11" x14ac:dyDescent="0.25">
      <c r="A664" s="1" t="s">
        <v>1947</v>
      </c>
      <c r="B664" s="1" t="s">
        <v>1527</v>
      </c>
      <c r="C664" s="5">
        <v>2</v>
      </c>
      <c r="D664" s="15">
        <v>40632188</v>
      </c>
      <c r="E664" s="1" t="s">
        <v>2504</v>
      </c>
      <c r="F664" s="18">
        <v>8525318</v>
      </c>
      <c r="G664" s="9">
        <v>45612</v>
      </c>
      <c r="H664" s="1" t="s">
        <v>2515</v>
      </c>
      <c r="I664" s="12" t="s">
        <v>2511</v>
      </c>
      <c r="J664" s="6">
        <v>642137</v>
      </c>
      <c r="K664" s="3">
        <v>15642137</v>
      </c>
    </row>
    <row r="665" spans="1:11" x14ac:dyDescent="0.25">
      <c r="A665" s="1" t="s">
        <v>1948</v>
      </c>
      <c r="B665" s="1" t="s">
        <v>1514</v>
      </c>
      <c r="C665" s="5">
        <v>2</v>
      </c>
      <c r="D665" s="14">
        <v>20113353</v>
      </c>
      <c r="E665" s="1" t="s">
        <v>1538</v>
      </c>
      <c r="F665" s="17">
        <v>940366</v>
      </c>
      <c r="G665" s="8">
        <v>45691</v>
      </c>
      <c r="H665" s="1" t="s">
        <v>2508</v>
      </c>
      <c r="I665" s="11" t="s">
        <v>1521</v>
      </c>
      <c r="J665" s="6">
        <v>38346</v>
      </c>
      <c r="K665" s="3">
        <v>1538346</v>
      </c>
    </row>
    <row r="666" spans="1:11" x14ac:dyDescent="0.25">
      <c r="A666" s="1" t="s">
        <v>1949</v>
      </c>
      <c r="B666" s="1" t="s">
        <v>1514</v>
      </c>
      <c r="C666" s="5">
        <v>5</v>
      </c>
      <c r="D666" s="15">
        <v>3865808</v>
      </c>
      <c r="E666" s="1" t="s">
        <v>1538</v>
      </c>
      <c r="F666" s="18">
        <v>5081083</v>
      </c>
      <c r="G666" s="9">
        <v>45628</v>
      </c>
      <c r="H666" s="1" t="s">
        <v>2519</v>
      </c>
      <c r="I666" s="12" t="s">
        <v>1512</v>
      </c>
      <c r="J666" s="6">
        <v>67154</v>
      </c>
      <c r="K666" s="3">
        <v>1567154</v>
      </c>
    </row>
    <row r="667" spans="1:11" x14ac:dyDescent="0.25">
      <c r="A667" s="1" t="s">
        <v>1950</v>
      </c>
      <c r="B667" s="1" t="s">
        <v>1536</v>
      </c>
      <c r="C667" s="5">
        <v>2</v>
      </c>
      <c r="D667" s="14">
        <v>20308484</v>
      </c>
      <c r="E667" s="1" t="s">
        <v>1538</v>
      </c>
      <c r="F667" s="17">
        <v>4964007</v>
      </c>
      <c r="G667" s="8">
        <v>45655</v>
      </c>
      <c r="H667" s="1" t="s">
        <v>1522</v>
      </c>
      <c r="I667" s="11" t="s">
        <v>2509</v>
      </c>
      <c r="J667" s="6">
        <v>30689</v>
      </c>
      <c r="K667" s="3">
        <v>1530689</v>
      </c>
    </row>
    <row r="668" spans="1:11" x14ac:dyDescent="0.25">
      <c r="A668" s="1" t="s">
        <v>1951</v>
      </c>
      <c r="B668" s="1" t="s">
        <v>1517</v>
      </c>
      <c r="C668" s="5">
        <v>5</v>
      </c>
      <c r="D668" s="15">
        <v>41366491</v>
      </c>
      <c r="E668" s="1" t="s">
        <v>1515</v>
      </c>
      <c r="F668" s="18">
        <v>980445</v>
      </c>
      <c r="G668" s="9">
        <v>45591</v>
      </c>
      <c r="H668" s="1" t="s">
        <v>1516</v>
      </c>
      <c r="I668" s="12" t="s">
        <v>1521</v>
      </c>
      <c r="J668" s="6">
        <v>631241</v>
      </c>
      <c r="K668" s="3">
        <v>15631241</v>
      </c>
    </row>
    <row r="669" spans="1:11" x14ac:dyDescent="0.25">
      <c r="A669" s="1" t="s">
        <v>1952</v>
      </c>
      <c r="B669" s="1" t="s">
        <v>1545</v>
      </c>
      <c r="C669" s="5">
        <v>5</v>
      </c>
      <c r="D669" s="14">
        <v>48769213</v>
      </c>
      <c r="E669" s="1" t="s">
        <v>2504</v>
      </c>
      <c r="F669" s="17">
        <v>82962</v>
      </c>
      <c r="G669" s="8">
        <v>45813</v>
      </c>
      <c r="H669" s="1" t="s">
        <v>1516</v>
      </c>
      <c r="I669" s="11" t="s">
        <v>1518</v>
      </c>
      <c r="J669" s="6">
        <v>973725</v>
      </c>
      <c r="K669" s="3">
        <v>15973725</v>
      </c>
    </row>
    <row r="670" spans="1:11" x14ac:dyDescent="0.25">
      <c r="A670" s="1" t="s">
        <v>1953</v>
      </c>
      <c r="B670" s="1" t="s">
        <v>1527</v>
      </c>
      <c r="C670" s="5">
        <v>3</v>
      </c>
      <c r="D670" s="15">
        <v>20319539</v>
      </c>
      <c r="E670" s="1" t="s">
        <v>1515</v>
      </c>
      <c r="F670" s="18">
        <v>173410</v>
      </c>
      <c r="G670" s="9">
        <v>45823</v>
      </c>
      <c r="H670" s="1" t="s">
        <v>2515</v>
      </c>
      <c r="I670" s="12" t="s">
        <v>1518</v>
      </c>
      <c r="J670" s="6">
        <v>371709</v>
      </c>
      <c r="K670" s="3">
        <v>15371709</v>
      </c>
    </row>
    <row r="671" spans="1:11" x14ac:dyDescent="0.25">
      <c r="A671" s="1" t="s">
        <v>2757</v>
      </c>
      <c r="B671" s="1" t="s">
        <v>1525</v>
      </c>
      <c r="C671" s="5">
        <v>5</v>
      </c>
      <c r="D671" s="14">
        <v>12962131</v>
      </c>
      <c r="E671" s="1" t="s">
        <v>1515</v>
      </c>
      <c r="F671" s="17">
        <v>1127022</v>
      </c>
      <c r="G671" s="8">
        <v>45729</v>
      </c>
      <c r="H671" s="1" t="s">
        <v>1522</v>
      </c>
      <c r="I671" s="11" t="s">
        <v>1512</v>
      </c>
      <c r="J671" s="6">
        <v>236702</v>
      </c>
      <c r="K671" s="3">
        <v>15236702</v>
      </c>
    </row>
    <row r="672" spans="1:11" x14ac:dyDescent="0.25">
      <c r="A672" s="1" t="s">
        <v>1954</v>
      </c>
      <c r="B672" s="1" t="s">
        <v>1517</v>
      </c>
      <c r="C672" s="5">
        <v>2</v>
      </c>
      <c r="D672" s="15">
        <v>47444545</v>
      </c>
      <c r="E672" s="1" t="s">
        <v>1515</v>
      </c>
      <c r="F672" s="18">
        <v>2799037</v>
      </c>
      <c r="G672" s="9">
        <v>45580</v>
      </c>
      <c r="H672" s="1" t="s">
        <v>2519</v>
      </c>
      <c r="I672" s="12" t="s">
        <v>2507</v>
      </c>
      <c r="J672" s="6">
        <v>89291</v>
      </c>
      <c r="K672" s="3">
        <v>1589291</v>
      </c>
    </row>
    <row r="673" spans="1:11" x14ac:dyDescent="0.25">
      <c r="A673" s="1" t="s">
        <v>2758</v>
      </c>
      <c r="B673" s="1" t="s">
        <v>1536</v>
      </c>
      <c r="C673" s="5">
        <v>5</v>
      </c>
      <c r="D673" s="14">
        <v>12919618</v>
      </c>
      <c r="E673" s="1" t="s">
        <v>1538</v>
      </c>
      <c r="F673" s="17">
        <v>2963842</v>
      </c>
      <c r="G673" s="8">
        <v>45859</v>
      </c>
      <c r="H673" s="1" t="s">
        <v>1522</v>
      </c>
      <c r="I673" s="11" t="s">
        <v>1512</v>
      </c>
      <c r="J673" s="6">
        <v>199116</v>
      </c>
      <c r="K673" s="3">
        <v>15199116</v>
      </c>
    </row>
    <row r="674" spans="1:11" x14ac:dyDescent="0.25">
      <c r="A674" s="1" t="s">
        <v>2759</v>
      </c>
      <c r="B674" s="1" t="s">
        <v>1514</v>
      </c>
      <c r="C674" s="5">
        <v>3</v>
      </c>
      <c r="D674" s="15">
        <v>37474157</v>
      </c>
      <c r="E674" s="1" t="s">
        <v>1515</v>
      </c>
      <c r="F674" s="18">
        <v>72595</v>
      </c>
      <c r="G674" s="9">
        <v>45573</v>
      </c>
      <c r="H674" s="1" t="s">
        <v>1513</v>
      </c>
      <c r="I674" s="12" t="s">
        <v>1518</v>
      </c>
      <c r="J674" s="6">
        <v>734964</v>
      </c>
      <c r="K674" s="3">
        <v>15734964</v>
      </c>
    </row>
    <row r="675" spans="1:11" x14ac:dyDescent="0.25">
      <c r="A675" s="1" t="s">
        <v>1955</v>
      </c>
      <c r="B675" s="1" t="s">
        <v>1527</v>
      </c>
      <c r="C675" s="5">
        <v>5</v>
      </c>
      <c r="D675" s="14">
        <v>16328399</v>
      </c>
      <c r="E675" s="1" t="s">
        <v>2504</v>
      </c>
      <c r="F675" s="17">
        <v>524483</v>
      </c>
      <c r="G675" s="8">
        <v>45817</v>
      </c>
      <c r="H675" s="1" t="s">
        <v>1513</v>
      </c>
      <c r="I675" s="11" t="s">
        <v>1518</v>
      </c>
      <c r="J675" s="6">
        <v>316078</v>
      </c>
      <c r="K675" s="3">
        <v>15316078</v>
      </c>
    </row>
    <row r="676" spans="1:11" x14ac:dyDescent="0.25">
      <c r="A676" s="1" t="s">
        <v>2760</v>
      </c>
      <c r="B676" s="1" t="s">
        <v>1527</v>
      </c>
      <c r="C676" s="5">
        <v>1</v>
      </c>
      <c r="D676" s="15">
        <v>43735584</v>
      </c>
      <c r="E676" s="1" t="s">
        <v>2504</v>
      </c>
      <c r="F676" s="18">
        <v>4899268</v>
      </c>
      <c r="G676" s="9">
        <v>45687</v>
      </c>
      <c r="H676" s="1" t="s">
        <v>2519</v>
      </c>
      <c r="I676" s="12" t="s">
        <v>2511</v>
      </c>
      <c r="J676" s="6">
        <v>776726</v>
      </c>
      <c r="K676" s="3">
        <v>15776726</v>
      </c>
    </row>
    <row r="677" spans="1:11" x14ac:dyDescent="0.25">
      <c r="A677" s="1" t="s">
        <v>1956</v>
      </c>
      <c r="B677" s="1" t="s">
        <v>1514</v>
      </c>
      <c r="C677" s="5">
        <v>2</v>
      </c>
      <c r="D677" s="14">
        <v>2690673</v>
      </c>
      <c r="E677" s="1" t="s">
        <v>1515</v>
      </c>
      <c r="F677" s="17">
        <v>349125</v>
      </c>
      <c r="G677" s="8">
        <v>45792</v>
      </c>
      <c r="H677" s="1" t="s">
        <v>2508</v>
      </c>
      <c r="I677" s="11" t="s">
        <v>2511</v>
      </c>
      <c r="J677" s="6">
        <v>46831</v>
      </c>
      <c r="K677" s="3">
        <v>1546831</v>
      </c>
    </row>
    <row r="678" spans="1:11" x14ac:dyDescent="0.25">
      <c r="A678" s="1" t="s">
        <v>1957</v>
      </c>
      <c r="B678" s="1" t="s">
        <v>1536</v>
      </c>
      <c r="C678" s="5">
        <v>4</v>
      </c>
      <c r="D678" s="15">
        <v>41298906</v>
      </c>
      <c r="E678" s="1" t="s">
        <v>2504</v>
      </c>
      <c r="F678" s="18">
        <v>234329</v>
      </c>
      <c r="G678" s="9">
        <v>45688</v>
      </c>
      <c r="H678" s="1" t="s">
        <v>2512</v>
      </c>
      <c r="I678" s="12" t="s">
        <v>2507</v>
      </c>
      <c r="J678" s="6">
        <v>821292</v>
      </c>
      <c r="K678" s="3">
        <v>15821292</v>
      </c>
    </row>
    <row r="679" spans="1:11" x14ac:dyDescent="0.25">
      <c r="A679" s="1" t="s">
        <v>1958</v>
      </c>
      <c r="B679" s="1" t="s">
        <v>1517</v>
      </c>
      <c r="C679" s="5">
        <v>3</v>
      </c>
      <c r="D679" s="14">
        <v>43267549</v>
      </c>
      <c r="E679" s="1" t="s">
        <v>1538</v>
      </c>
      <c r="F679" s="17">
        <v>519245</v>
      </c>
      <c r="G679" s="8">
        <v>45741</v>
      </c>
      <c r="H679" s="1" t="s">
        <v>1519</v>
      </c>
      <c r="I679" s="11" t="s">
        <v>1512</v>
      </c>
      <c r="J679" s="6">
        <v>854966</v>
      </c>
      <c r="K679" s="3">
        <v>15854966</v>
      </c>
    </row>
    <row r="680" spans="1:11" x14ac:dyDescent="0.25">
      <c r="A680" s="1" t="s">
        <v>1959</v>
      </c>
      <c r="B680" s="1" t="s">
        <v>1514</v>
      </c>
      <c r="C680" s="5">
        <v>2</v>
      </c>
      <c r="D680" s="15">
        <v>24303076</v>
      </c>
      <c r="E680" s="1" t="s">
        <v>2504</v>
      </c>
      <c r="F680" s="18">
        <v>2489764</v>
      </c>
      <c r="G680" s="9">
        <v>45788</v>
      </c>
      <c r="H680" s="1" t="s">
        <v>1522</v>
      </c>
      <c r="I680" s="12" t="s">
        <v>2511</v>
      </c>
      <c r="J680" s="6">
        <v>436266</v>
      </c>
      <c r="K680" s="3">
        <v>15436266</v>
      </c>
    </row>
    <row r="681" spans="1:11" x14ac:dyDescent="0.25">
      <c r="A681" s="1" t="s">
        <v>2761</v>
      </c>
      <c r="B681" s="1" t="s">
        <v>1545</v>
      </c>
      <c r="C681" s="5">
        <v>1</v>
      </c>
      <c r="D681" s="14">
        <v>39126977</v>
      </c>
      <c r="E681" s="1" t="s">
        <v>2504</v>
      </c>
      <c r="F681" s="17">
        <v>772674</v>
      </c>
      <c r="G681" s="8">
        <v>45793</v>
      </c>
      <c r="H681" s="1" t="s">
        <v>1543</v>
      </c>
      <c r="I681" s="11" t="s">
        <v>1518</v>
      </c>
      <c r="J681" s="6">
        <v>767086</v>
      </c>
      <c r="K681" s="3">
        <v>15767086</v>
      </c>
    </row>
    <row r="682" spans="1:11" x14ac:dyDescent="0.25">
      <c r="A682" s="1" t="s">
        <v>1960</v>
      </c>
      <c r="B682" s="1" t="s">
        <v>1517</v>
      </c>
      <c r="C682" s="5">
        <v>1</v>
      </c>
      <c r="D682" s="15">
        <v>29704617</v>
      </c>
      <c r="E682" s="1" t="s">
        <v>1538</v>
      </c>
      <c r="F682" s="18">
        <v>2567334</v>
      </c>
      <c r="G682" s="9">
        <v>45635</v>
      </c>
      <c r="H682" s="1" t="s">
        <v>2508</v>
      </c>
      <c r="I682" s="12" t="s">
        <v>1512</v>
      </c>
      <c r="J682" s="6">
        <v>542746</v>
      </c>
      <c r="K682" s="3">
        <v>15542746</v>
      </c>
    </row>
    <row r="683" spans="1:11" x14ac:dyDescent="0.25">
      <c r="A683" s="1" t="s">
        <v>1961</v>
      </c>
      <c r="B683" s="1" t="s">
        <v>1517</v>
      </c>
      <c r="C683" s="5">
        <v>2</v>
      </c>
      <c r="D683" s="14">
        <v>36289531</v>
      </c>
      <c r="E683" s="1" t="s">
        <v>1538</v>
      </c>
      <c r="F683" s="17">
        <v>655763</v>
      </c>
      <c r="G683" s="8">
        <v>45644</v>
      </c>
      <c r="H683" s="1" t="s">
        <v>2508</v>
      </c>
      <c r="I683" s="11" t="s">
        <v>1512</v>
      </c>
      <c r="J683" s="6">
        <v>594638</v>
      </c>
      <c r="K683" s="3">
        <v>15594638</v>
      </c>
    </row>
    <row r="684" spans="1:11" x14ac:dyDescent="0.25">
      <c r="A684" s="1" t="s">
        <v>2762</v>
      </c>
      <c r="B684" s="1" t="s">
        <v>1545</v>
      </c>
      <c r="C684" s="5">
        <v>4</v>
      </c>
      <c r="D684" s="15">
        <v>46767745</v>
      </c>
      <c r="E684" s="1" t="s">
        <v>1538</v>
      </c>
      <c r="F684" s="18">
        <v>7850363</v>
      </c>
      <c r="G684" s="9">
        <v>45766</v>
      </c>
      <c r="H684" s="1" t="s">
        <v>2515</v>
      </c>
      <c r="I684" s="12" t="s">
        <v>2511</v>
      </c>
      <c r="J684" s="6">
        <v>778348</v>
      </c>
      <c r="K684" s="3">
        <v>15778348</v>
      </c>
    </row>
    <row r="685" spans="1:11" x14ac:dyDescent="0.25">
      <c r="A685" s="1" t="s">
        <v>1962</v>
      </c>
      <c r="B685" s="1" t="s">
        <v>1527</v>
      </c>
      <c r="C685" s="5">
        <v>4</v>
      </c>
      <c r="D685" s="14">
        <v>23841948</v>
      </c>
      <c r="E685" s="1" t="s">
        <v>2504</v>
      </c>
      <c r="F685" s="17">
        <v>3898589</v>
      </c>
      <c r="G685" s="8">
        <v>45721</v>
      </c>
      <c r="H685" s="1" t="s">
        <v>2508</v>
      </c>
      <c r="I685" s="11" t="s">
        <v>1518</v>
      </c>
      <c r="J685" s="6">
        <v>398867</v>
      </c>
      <c r="K685" s="3">
        <v>15398867</v>
      </c>
    </row>
    <row r="686" spans="1:11" x14ac:dyDescent="0.25">
      <c r="A686" s="1" t="s">
        <v>1963</v>
      </c>
      <c r="B686" s="1" t="s">
        <v>1540</v>
      </c>
      <c r="C686" s="5">
        <v>4</v>
      </c>
      <c r="D686" s="15">
        <v>22251318</v>
      </c>
      <c r="E686" s="1" t="s">
        <v>1515</v>
      </c>
      <c r="F686" s="18">
        <v>3496741</v>
      </c>
      <c r="G686" s="9">
        <v>45708</v>
      </c>
      <c r="H686" s="1" t="s">
        <v>2508</v>
      </c>
      <c r="I686" s="12" t="s">
        <v>2507</v>
      </c>
      <c r="J686" s="6">
        <v>375092</v>
      </c>
      <c r="K686" s="3">
        <v>15375092</v>
      </c>
    </row>
    <row r="687" spans="1:11" x14ac:dyDescent="0.25">
      <c r="A687" s="1" t="s">
        <v>1964</v>
      </c>
      <c r="B687" s="1" t="s">
        <v>1534</v>
      </c>
      <c r="C687" s="5">
        <v>4</v>
      </c>
      <c r="D687" s="14">
        <v>49605429</v>
      </c>
      <c r="E687" s="1" t="s">
        <v>2504</v>
      </c>
      <c r="F687" s="17">
        <v>1458287</v>
      </c>
      <c r="G687" s="8">
        <v>45542</v>
      </c>
      <c r="H687" s="1" t="s">
        <v>2508</v>
      </c>
      <c r="I687" s="11" t="s">
        <v>2509</v>
      </c>
      <c r="J687" s="6">
        <v>962943</v>
      </c>
      <c r="K687" s="3">
        <v>15962943</v>
      </c>
    </row>
    <row r="688" spans="1:11" x14ac:dyDescent="0.25">
      <c r="A688" s="1" t="s">
        <v>1965</v>
      </c>
      <c r="B688" s="1" t="s">
        <v>1525</v>
      </c>
      <c r="C688" s="5">
        <v>2</v>
      </c>
      <c r="D688" s="15">
        <v>12157145</v>
      </c>
      <c r="E688" s="1" t="s">
        <v>1538</v>
      </c>
      <c r="F688" s="18">
        <v>75173</v>
      </c>
      <c r="G688" s="9">
        <v>45764</v>
      </c>
      <c r="H688" s="1" t="s">
        <v>1519</v>
      </c>
      <c r="I688" s="12" t="s">
        <v>1518</v>
      </c>
      <c r="J688" s="6">
        <v>228108</v>
      </c>
      <c r="K688" s="3">
        <v>15228108</v>
      </c>
    </row>
    <row r="689" spans="1:11" x14ac:dyDescent="0.25">
      <c r="A689" s="1" t="s">
        <v>1966</v>
      </c>
      <c r="B689" s="1" t="s">
        <v>1540</v>
      </c>
      <c r="C689" s="5">
        <v>4</v>
      </c>
      <c r="D689" s="14">
        <v>1966087</v>
      </c>
      <c r="E689" s="1" t="s">
        <v>1515</v>
      </c>
      <c r="F689" s="17">
        <v>1682608</v>
      </c>
      <c r="G689" s="8">
        <v>45533</v>
      </c>
      <c r="H689" s="1" t="s">
        <v>1543</v>
      </c>
      <c r="I689" s="11" t="s">
        <v>1521</v>
      </c>
      <c r="J689" s="6">
        <v>359565</v>
      </c>
      <c r="K689" s="3">
        <v>15359565</v>
      </c>
    </row>
    <row r="690" spans="1:11" x14ac:dyDescent="0.25">
      <c r="A690" s="1" t="s">
        <v>1967</v>
      </c>
      <c r="B690" s="1" t="s">
        <v>1545</v>
      </c>
      <c r="C690" s="5">
        <v>2</v>
      </c>
      <c r="D690" s="15">
        <v>2350058</v>
      </c>
      <c r="E690" s="1" t="s">
        <v>2504</v>
      </c>
      <c r="F690" s="18">
        <v>137018</v>
      </c>
      <c r="G690" s="9">
        <v>45759</v>
      </c>
      <c r="H690" s="1" t="s">
        <v>1543</v>
      </c>
      <c r="I690" s="12" t="s">
        <v>2507</v>
      </c>
      <c r="J690" s="6">
        <v>44261</v>
      </c>
      <c r="K690" s="3">
        <v>15044261</v>
      </c>
    </row>
    <row r="691" spans="1:11" x14ac:dyDescent="0.25">
      <c r="A691" s="1" t="s">
        <v>2763</v>
      </c>
      <c r="B691" s="1" t="s">
        <v>1545</v>
      </c>
      <c r="C691" s="5">
        <v>1</v>
      </c>
      <c r="D691" s="14">
        <v>17766466</v>
      </c>
      <c r="E691" s="1" t="s">
        <v>2504</v>
      </c>
      <c r="F691" s="17">
        <v>2450912</v>
      </c>
      <c r="G691" s="8">
        <v>45797</v>
      </c>
      <c r="H691" s="1" t="s">
        <v>2515</v>
      </c>
      <c r="I691" s="11" t="s">
        <v>2511</v>
      </c>
      <c r="J691" s="6">
        <v>306311</v>
      </c>
      <c r="K691" s="3">
        <v>15306311</v>
      </c>
    </row>
    <row r="692" spans="1:11" x14ac:dyDescent="0.25">
      <c r="A692" s="1" t="s">
        <v>2764</v>
      </c>
      <c r="B692" s="1" t="s">
        <v>1545</v>
      </c>
      <c r="C692" s="5">
        <v>3</v>
      </c>
      <c r="D692" s="15">
        <v>31502875</v>
      </c>
      <c r="E692" s="1" t="s">
        <v>1538</v>
      </c>
      <c r="F692" s="18">
        <v>5870574</v>
      </c>
      <c r="G692" s="9">
        <v>45605</v>
      </c>
      <c r="H692" s="1" t="s">
        <v>1522</v>
      </c>
      <c r="I692" s="12" t="s">
        <v>2509</v>
      </c>
      <c r="J692" s="6">
        <v>512646</v>
      </c>
      <c r="K692" s="3">
        <v>15512646</v>
      </c>
    </row>
    <row r="693" spans="1:11" x14ac:dyDescent="0.25">
      <c r="A693" s="1" t="s">
        <v>1968</v>
      </c>
      <c r="B693" s="1" t="s">
        <v>1514</v>
      </c>
      <c r="C693" s="5">
        <v>2</v>
      </c>
      <c r="D693" s="14">
        <v>46644344</v>
      </c>
      <c r="E693" s="1" t="s">
        <v>2504</v>
      </c>
      <c r="F693" s="17">
        <v>10970761</v>
      </c>
      <c r="G693" s="8">
        <v>45537</v>
      </c>
      <c r="H693" s="1" t="s">
        <v>1519</v>
      </c>
      <c r="I693" s="11" t="s">
        <v>2509</v>
      </c>
      <c r="J693" s="6">
        <v>713472</v>
      </c>
      <c r="K693" s="3">
        <v>15713472</v>
      </c>
    </row>
    <row r="694" spans="1:11" x14ac:dyDescent="0.25">
      <c r="A694" s="1" t="s">
        <v>1969</v>
      </c>
      <c r="B694" s="1" t="s">
        <v>1545</v>
      </c>
      <c r="C694" s="5">
        <v>4</v>
      </c>
      <c r="D694" s="15">
        <v>35302058</v>
      </c>
      <c r="E694" s="1" t="s">
        <v>2504</v>
      </c>
      <c r="F694" s="18">
        <v>235790</v>
      </c>
      <c r="G694" s="9">
        <v>45799</v>
      </c>
      <c r="H694" s="1" t="s">
        <v>1543</v>
      </c>
      <c r="I694" s="12" t="s">
        <v>1518</v>
      </c>
      <c r="J694" s="6">
        <v>658883</v>
      </c>
      <c r="K694" s="3">
        <v>15658883</v>
      </c>
    </row>
    <row r="695" spans="1:11" x14ac:dyDescent="0.25">
      <c r="A695" s="1" t="s">
        <v>2765</v>
      </c>
      <c r="B695" s="1" t="s">
        <v>1527</v>
      </c>
      <c r="C695" s="5">
        <v>5</v>
      </c>
      <c r="D695" s="14">
        <v>1230068</v>
      </c>
      <c r="E695" s="1" t="s">
        <v>2504</v>
      </c>
      <c r="F695" s="17">
        <v>57987</v>
      </c>
      <c r="G695" s="8">
        <v>45597</v>
      </c>
      <c r="H695" s="1" t="s">
        <v>2508</v>
      </c>
      <c r="I695" s="11" t="s">
        <v>1521</v>
      </c>
      <c r="J695" s="6">
        <v>23442</v>
      </c>
      <c r="K695" s="3">
        <v>15023442</v>
      </c>
    </row>
    <row r="696" spans="1:11" x14ac:dyDescent="0.25">
      <c r="A696" s="1" t="s">
        <v>1970</v>
      </c>
      <c r="B696" s="1" t="s">
        <v>1525</v>
      </c>
      <c r="C696" s="5">
        <v>1</v>
      </c>
      <c r="D696" s="15">
        <v>20444708</v>
      </c>
      <c r="E696" s="1" t="s">
        <v>2504</v>
      </c>
      <c r="F696" s="18">
        <v>4196242</v>
      </c>
      <c r="G696" s="9">
        <v>45837</v>
      </c>
      <c r="H696" s="1" t="s">
        <v>1522</v>
      </c>
      <c r="I696" s="12" t="s">
        <v>1521</v>
      </c>
      <c r="J696" s="6">
        <v>324969</v>
      </c>
      <c r="K696" s="3">
        <v>15324969</v>
      </c>
    </row>
    <row r="697" spans="1:11" x14ac:dyDescent="0.25">
      <c r="A697" s="1" t="s">
        <v>2766</v>
      </c>
      <c r="B697" s="1" t="s">
        <v>1540</v>
      </c>
      <c r="C697" s="5">
        <v>4</v>
      </c>
      <c r="D697" s="14">
        <v>31653174</v>
      </c>
      <c r="E697" s="1" t="s">
        <v>1538</v>
      </c>
      <c r="F697" s="17">
        <v>4324933</v>
      </c>
      <c r="G697" s="8">
        <v>45793</v>
      </c>
      <c r="H697" s="1" t="s">
        <v>2508</v>
      </c>
      <c r="I697" s="11" t="s">
        <v>2511</v>
      </c>
      <c r="J697" s="6">
        <v>546565</v>
      </c>
      <c r="K697" s="3">
        <v>15546565</v>
      </c>
    </row>
    <row r="698" spans="1:11" x14ac:dyDescent="0.25">
      <c r="A698" s="1" t="s">
        <v>1971</v>
      </c>
      <c r="B698" s="1" t="s">
        <v>1525</v>
      </c>
      <c r="C698" s="5">
        <v>4</v>
      </c>
      <c r="D698" s="15">
        <v>13631887</v>
      </c>
      <c r="E698" s="1" t="s">
        <v>1538</v>
      </c>
      <c r="F698" s="18">
        <v>49881</v>
      </c>
      <c r="G698" s="9">
        <v>45541</v>
      </c>
      <c r="H698" s="1" t="s">
        <v>2508</v>
      </c>
      <c r="I698" s="12" t="s">
        <v>1521</v>
      </c>
      <c r="J698" s="6">
        <v>262662</v>
      </c>
      <c r="K698" s="3">
        <v>15262662</v>
      </c>
    </row>
    <row r="699" spans="1:11" x14ac:dyDescent="0.25">
      <c r="A699" s="1" t="s">
        <v>1972</v>
      </c>
      <c r="B699" s="1" t="s">
        <v>1517</v>
      </c>
      <c r="C699" s="5">
        <v>1</v>
      </c>
      <c r="D699" s="14">
        <v>39736995</v>
      </c>
      <c r="E699" s="1" t="s">
        <v>1515</v>
      </c>
      <c r="F699" s="17">
        <v>5033257</v>
      </c>
      <c r="G699" s="8">
        <v>45846</v>
      </c>
      <c r="H699" s="1" t="s">
        <v>2519</v>
      </c>
      <c r="I699" s="11" t="s">
        <v>1521</v>
      </c>
      <c r="J699" s="6">
        <v>694075</v>
      </c>
      <c r="K699" s="3">
        <v>15694075</v>
      </c>
    </row>
    <row r="700" spans="1:11" x14ac:dyDescent="0.25">
      <c r="A700" s="1" t="s">
        <v>1973</v>
      </c>
      <c r="B700" s="1" t="s">
        <v>1527</v>
      </c>
      <c r="C700" s="5">
        <v>4</v>
      </c>
      <c r="D700" s="15">
        <v>2058283</v>
      </c>
      <c r="E700" s="1" t="s">
        <v>1515</v>
      </c>
      <c r="F700" s="18">
        <v>4713963</v>
      </c>
      <c r="G700" s="9">
        <v>45763</v>
      </c>
      <c r="H700" s="1" t="s">
        <v>2508</v>
      </c>
      <c r="I700" s="12" t="s">
        <v>2509</v>
      </c>
      <c r="J700" s="6">
        <v>317377</v>
      </c>
      <c r="K700" s="3">
        <v>15317377</v>
      </c>
    </row>
    <row r="701" spans="1:11" x14ac:dyDescent="0.25">
      <c r="A701" s="1" t="s">
        <v>1974</v>
      </c>
      <c r="B701" s="1" t="s">
        <v>1523</v>
      </c>
      <c r="C701" s="5">
        <v>2</v>
      </c>
      <c r="D701" s="14">
        <v>1180823</v>
      </c>
      <c r="E701" s="1" t="s">
        <v>1515</v>
      </c>
      <c r="F701" s="17">
        <v>1687753</v>
      </c>
      <c r="G701" s="8">
        <v>45855</v>
      </c>
      <c r="H701" s="1" t="s">
        <v>1543</v>
      </c>
      <c r="I701" s="11" t="s">
        <v>2507</v>
      </c>
      <c r="J701" s="6">
        <v>20241</v>
      </c>
      <c r="K701" s="3">
        <v>1520241</v>
      </c>
    </row>
    <row r="702" spans="1:11" x14ac:dyDescent="0.25">
      <c r="A702" s="1" t="s">
        <v>2767</v>
      </c>
      <c r="B702" s="1" t="s">
        <v>1545</v>
      </c>
      <c r="C702" s="5">
        <v>5</v>
      </c>
      <c r="D702" s="15">
        <v>3607392</v>
      </c>
      <c r="E702" s="1" t="s">
        <v>2504</v>
      </c>
      <c r="F702" s="18">
        <v>521067</v>
      </c>
      <c r="G702" s="9">
        <v>45588</v>
      </c>
      <c r="H702" s="1" t="s">
        <v>1519</v>
      </c>
      <c r="I702" s="12" t="s">
        <v>1518</v>
      </c>
      <c r="J702" s="6">
        <v>61726</v>
      </c>
      <c r="K702" s="3">
        <v>15061726</v>
      </c>
    </row>
    <row r="703" spans="1:11" x14ac:dyDescent="0.25">
      <c r="A703" s="1" t="s">
        <v>2768</v>
      </c>
      <c r="B703" s="1" t="s">
        <v>1525</v>
      </c>
      <c r="C703" s="5">
        <v>4</v>
      </c>
      <c r="D703" s="14">
        <v>4836944</v>
      </c>
      <c r="E703" s="1" t="s">
        <v>1538</v>
      </c>
      <c r="F703" s="17">
        <v>7401522</v>
      </c>
      <c r="G703" s="8">
        <v>45737</v>
      </c>
      <c r="H703" s="1" t="s">
        <v>2512</v>
      </c>
      <c r="I703" s="11" t="s">
        <v>2507</v>
      </c>
      <c r="J703" s="6">
        <v>819358</v>
      </c>
      <c r="K703" s="3">
        <v>15819358</v>
      </c>
    </row>
    <row r="704" spans="1:11" x14ac:dyDescent="0.25">
      <c r="A704" s="1" t="s">
        <v>2769</v>
      </c>
      <c r="B704" s="1" t="s">
        <v>1534</v>
      </c>
      <c r="C704" s="5">
        <v>1</v>
      </c>
      <c r="D704" s="15">
        <v>23835514</v>
      </c>
      <c r="E704" s="1" t="s">
        <v>1515</v>
      </c>
      <c r="F704" s="18">
        <v>4449514</v>
      </c>
      <c r="G704" s="9">
        <v>45704</v>
      </c>
      <c r="H704" s="1" t="s">
        <v>1543</v>
      </c>
      <c r="I704" s="12" t="s">
        <v>2509</v>
      </c>
      <c r="J704" s="6">
        <v>38772</v>
      </c>
      <c r="K704" s="3">
        <v>1538772</v>
      </c>
    </row>
    <row r="705" spans="1:11" x14ac:dyDescent="0.25">
      <c r="A705" s="1" t="s">
        <v>1975</v>
      </c>
      <c r="B705" s="1" t="s">
        <v>1534</v>
      </c>
      <c r="C705" s="5">
        <v>5</v>
      </c>
      <c r="D705" s="14">
        <v>14874093</v>
      </c>
      <c r="E705" s="1" t="s">
        <v>2504</v>
      </c>
      <c r="F705" s="17">
        <v>895466</v>
      </c>
      <c r="G705" s="8">
        <v>45787</v>
      </c>
      <c r="H705" s="1" t="s">
        <v>2510</v>
      </c>
      <c r="I705" s="11" t="s">
        <v>2509</v>
      </c>
      <c r="J705" s="6">
        <v>279573</v>
      </c>
      <c r="K705" s="3">
        <v>15279573</v>
      </c>
    </row>
    <row r="706" spans="1:11" x14ac:dyDescent="0.25">
      <c r="A706" s="1" t="s">
        <v>1976</v>
      </c>
      <c r="B706" s="1" t="s">
        <v>1517</v>
      </c>
      <c r="C706" s="5">
        <v>5</v>
      </c>
      <c r="D706" s="15">
        <v>46863408</v>
      </c>
      <c r="E706" s="1" t="s">
        <v>1515</v>
      </c>
      <c r="F706" s="18">
        <v>6209354</v>
      </c>
      <c r="G706" s="9">
        <v>45665</v>
      </c>
      <c r="H706" s="1" t="s">
        <v>2515</v>
      </c>
      <c r="I706" s="12" t="s">
        <v>2507</v>
      </c>
      <c r="J706" s="6">
        <v>813081</v>
      </c>
      <c r="K706" s="3">
        <v>15813081</v>
      </c>
    </row>
    <row r="707" spans="1:11" x14ac:dyDescent="0.25">
      <c r="A707" s="1" t="s">
        <v>1977</v>
      </c>
      <c r="B707" s="1" t="s">
        <v>1527</v>
      </c>
      <c r="C707" s="5">
        <v>1</v>
      </c>
      <c r="D707" s="14">
        <v>36773181</v>
      </c>
      <c r="E707" s="1" t="s">
        <v>1515</v>
      </c>
      <c r="F707" s="17">
        <v>8012953</v>
      </c>
      <c r="G707" s="8">
        <v>45523</v>
      </c>
      <c r="H707" s="1" t="s">
        <v>2510</v>
      </c>
      <c r="I707" s="11" t="s">
        <v>1512</v>
      </c>
      <c r="J707" s="6">
        <v>575205</v>
      </c>
      <c r="K707" s="3">
        <v>15575205</v>
      </c>
    </row>
    <row r="708" spans="1:11" x14ac:dyDescent="0.25">
      <c r="A708" s="1" t="s">
        <v>2770</v>
      </c>
      <c r="B708" s="1" t="s">
        <v>1532</v>
      </c>
      <c r="C708" s="5">
        <v>2</v>
      </c>
      <c r="D708" s="15">
        <v>49012171</v>
      </c>
      <c r="E708" s="1" t="s">
        <v>1538</v>
      </c>
      <c r="F708" s="18">
        <v>2254684</v>
      </c>
      <c r="G708" s="9">
        <v>45736</v>
      </c>
      <c r="H708" s="1" t="s">
        <v>2519</v>
      </c>
      <c r="I708" s="12" t="s">
        <v>1521</v>
      </c>
      <c r="J708" s="6">
        <v>93515</v>
      </c>
      <c r="K708" s="3">
        <v>1593515</v>
      </c>
    </row>
    <row r="709" spans="1:11" x14ac:dyDescent="0.25">
      <c r="A709" s="1" t="s">
        <v>2771</v>
      </c>
      <c r="B709" s="1" t="s">
        <v>1536</v>
      </c>
      <c r="C709" s="5">
        <v>5</v>
      </c>
      <c r="D709" s="14">
        <v>9359055</v>
      </c>
      <c r="E709" s="1" t="s">
        <v>2504</v>
      </c>
      <c r="F709" s="17">
        <v>1460284</v>
      </c>
      <c r="G709" s="8">
        <v>45860</v>
      </c>
      <c r="H709" s="1" t="s">
        <v>1522</v>
      </c>
      <c r="I709" s="11" t="s">
        <v>2511</v>
      </c>
      <c r="J709" s="6">
        <v>157975</v>
      </c>
      <c r="K709" s="3">
        <v>15157975</v>
      </c>
    </row>
    <row r="710" spans="1:11" x14ac:dyDescent="0.25">
      <c r="A710" s="1" t="s">
        <v>1978</v>
      </c>
      <c r="B710" s="1" t="s">
        <v>1527</v>
      </c>
      <c r="C710" s="5">
        <v>3</v>
      </c>
      <c r="D710" s="15">
        <v>28998039</v>
      </c>
      <c r="E710" s="1" t="s">
        <v>1538</v>
      </c>
      <c r="F710" s="18">
        <v>3639453</v>
      </c>
      <c r="G710" s="9">
        <v>45501</v>
      </c>
      <c r="H710" s="1" t="s">
        <v>1519</v>
      </c>
      <c r="I710" s="12" t="s">
        <v>1518</v>
      </c>
      <c r="J710" s="6">
        <v>507172</v>
      </c>
      <c r="K710" s="3">
        <v>15507172</v>
      </c>
    </row>
    <row r="711" spans="1:11" x14ac:dyDescent="0.25">
      <c r="A711" s="1" t="s">
        <v>2772</v>
      </c>
      <c r="B711" s="1" t="s">
        <v>1523</v>
      </c>
      <c r="C711" s="5">
        <v>1</v>
      </c>
      <c r="D711" s="14">
        <v>44061922</v>
      </c>
      <c r="E711" s="1" t="s">
        <v>1538</v>
      </c>
      <c r="F711" s="17">
        <v>9790153</v>
      </c>
      <c r="G711" s="8">
        <v>45508</v>
      </c>
      <c r="H711" s="1" t="s">
        <v>2512</v>
      </c>
      <c r="I711" s="11" t="s">
        <v>2507</v>
      </c>
      <c r="J711" s="6">
        <v>685435</v>
      </c>
      <c r="K711" s="3">
        <v>15685435</v>
      </c>
    </row>
    <row r="712" spans="1:11" x14ac:dyDescent="0.25">
      <c r="A712" s="1" t="s">
        <v>1979</v>
      </c>
      <c r="B712" s="1" t="s">
        <v>1527</v>
      </c>
      <c r="C712" s="5">
        <v>2</v>
      </c>
      <c r="D712" s="15">
        <v>37278907</v>
      </c>
      <c r="E712" s="1" t="s">
        <v>2504</v>
      </c>
      <c r="F712" s="18">
        <v>3633636</v>
      </c>
      <c r="G712" s="9">
        <v>45723</v>
      </c>
      <c r="H712" s="1" t="s">
        <v>2515</v>
      </c>
      <c r="I712" s="12" t="s">
        <v>2507</v>
      </c>
      <c r="J712" s="6">
        <v>672905</v>
      </c>
      <c r="K712" s="3">
        <v>15672905</v>
      </c>
    </row>
    <row r="713" spans="1:11" x14ac:dyDescent="0.25">
      <c r="A713" s="1" t="s">
        <v>1980</v>
      </c>
      <c r="B713" s="1" t="s">
        <v>1514</v>
      </c>
      <c r="C713" s="5">
        <v>1</v>
      </c>
      <c r="D713" s="14">
        <v>20861855</v>
      </c>
      <c r="E713" s="1" t="s">
        <v>1515</v>
      </c>
      <c r="F713" s="17">
        <v>3225201</v>
      </c>
      <c r="G713" s="8">
        <v>45761</v>
      </c>
      <c r="H713" s="1" t="s">
        <v>1513</v>
      </c>
      <c r="I713" s="11" t="s">
        <v>1518</v>
      </c>
      <c r="J713" s="6">
        <v>352733</v>
      </c>
      <c r="K713" s="3">
        <v>15352733</v>
      </c>
    </row>
    <row r="714" spans="1:11" x14ac:dyDescent="0.25">
      <c r="A714" s="1" t="s">
        <v>1981</v>
      </c>
      <c r="B714" s="1" t="s">
        <v>1534</v>
      </c>
      <c r="C714" s="5">
        <v>4</v>
      </c>
      <c r="D714" s="15">
        <v>32463056</v>
      </c>
      <c r="E714" s="1" t="s">
        <v>1515</v>
      </c>
      <c r="F714" s="18">
        <v>1481529</v>
      </c>
      <c r="G714" s="9">
        <v>45694</v>
      </c>
      <c r="H714" s="1" t="s">
        <v>2510</v>
      </c>
      <c r="I714" s="12" t="s">
        <v>2507</v>
      </c>
      <c r="J714" s="6">
        <v>619631</v>
      </c>
      <c r="K714" s="3">
        <v>15619631</v>
      </c>
    </row>
    <row r="715" spans="1:11" x14ac:dyDescent="0.25">
      <c r="A715" s="1" t="s">
        <v>1982</v>
      </c>
      <c r="B715" s="1" t="s">
        <v>1527</v>
      </c>
      <c r="C715" s="5">
        <v>1</v>
      </c>
      <c r="D715" s="14">
        <v>45769222</v>
      </c>
      <c r="E715" s="1" t="s">
        <v>1515</v>
      </c>
      <c r="F715" s="17">
        <v>7461164</v>
      </c>
      <c r="G715" s="8">
        <v>45729</v>
      </c>
      <c r="H715" s="1" t="s">
        <v>1519</v>
      </c>
      <c r="I715" s="11" t="s">
        <v>2509</v>
      </c>
      <c r="J715" s="6">
        <v>766161</v>
      </c>
      <c r="K715" s="3">
        <v>15766161</v>
      </c>
    </row>
    <row r="716" spans="1:11" x14ac:dyDescent="0.25">
      <c r="A716" s="1" t="s">
        <v>1983</v>
      </c>
      <c r="B716" s="1" t="s">
        <v>1532</v>
      </c>
      <c r="C716" s="5">
        <v>1</v>
      </c>
      <c r="D716" s="15">
        <v>7749388</v>
      </c>
      <c r="E716" s="1" t="s">
        <v>1538</v>
      </c>
      <c r="F716" s="18">
        <v>1459586</v>
      </c>
      <c r="G716" s="9">
        <v>45730</v>
      </c>
      <c r="H716" s="1" t="s">
        <v>1522</v>
      </c>
      <c r="I716" s="12" t="s">
        <v>1521</v>
      </c>
      <c r="J716" s="6">
        <v>125796</v>
      </c>
      <c r="K716" s="3">
        <v>15125796</v>
      </c>
    </row>
    <row r="717" spans="1:11" x14ac:dyDescent="0.25">
      <c r="A717" s="1" t="s">
        <v>1984</v>
      </c>
      <c r="B717" s="1" t="s">
        <v>1540</v>
      </c>
      <c r="C717" s="5">
        <v>2</v>
      </c>
      <c r="D717" s="14">
        <v>47673343</v>
      </c>
      <c r="E717" s="1" t="s">
        <v>1515</v>
      </c>
      <c r="F717" s="17">
        <v>7885476</v>
      </c>
      <c r="G717" s="8">
        <v>45679</v>
      </c>
      <c r="H717" s="1" t="s">
        <v>1522</v>
      </c>
      <c r="I717" s="11" t="s">
        <v>1512</v>
      </c>
      <c r="J717" s="6">
        <v>795757</v>
      </c>
      <c r="K717" s="3">
        <v>15795757</v>
      </c>
    </row>
    <row r="718" spans="1:11" x14ac:dyDescent="0.25">
      <c r="A718" s="1" t="s">
        <v>1985</v>
      </c>
      <c r="B718" s="1" t="s">
        <v>1525</v>
      </c>
      <c r="C718" s="5">
        <v>2</v>
      </c>
      <c r="D718" s="15">
        <v>16441851</v>
      </c>
      <c r="E718" s="1" t="s">
        <v>2504</v>
      </c>
      <c r="F718" s="18">
        <v>2804723</v>
      </c>
      <c r="G718" s="9">
        <v>45505</v>
      </c>
      <c r="H718" s="1" t="s">
        <v>1516</v>
      </c>
      <c r="I718" s="12" t="s">
        <v>1521</v>
      </c>
      <c r="J718" s="6">
        <v>272743</v>
      </c>
      <c r="K718" s="3">
        <v>15272743</v>
      </c>
    </row>
    <row r="719" spans="1:11" x14ac:dyDescent="0.25">
      <c r="A719" s="1" t="s">
        <v>1986</v>
      </c>
      <c r="B719" s="1" t="s">
        <v>1517</v>
      </c>
      <c r="C719" s="5">
        <v>1</v>
      </c>
      <c r="D719" s="14">
        <v>41082467</v>
      </c>
      <c r="E719" s="1" t="s">
        <v>1515</v>
      </c>
      <c r="F719" s="17">
        <v>1015354</v>
      </c>
      <c r="G719" s="8">
        <v>45637</v>
      </c>
      <c r="H719" s="1" t="s">
        <v>1516</v>
      </c>
      <c r="I719" s="11" t="s">
        <v>2511</v>
      </c>
      <c r="J719" s="6">
        <v>618579</v>
      </c>
      <c r="K719" s="3">
        <v>15618579</v>
      </c>
    </row>
    <row r="720" spans="1:11" x14ac:dyDescent="0.25">
      <c r="A720" s="1" t="s">
        <v>1987</v>
      </c>
      <c r="B720" s="1" t="s">
        <v>1517</v>
      </c>
      <c r="C720" s="5">
        <v>5</v>
      </c>
      <c r="D720" s="15">
        <v>6825569</v>
      </c>
      <c r="E720" s="1" t="s">
        <v>1515</v>
      </c>
      <c r="F720" s="18">
        <v>115573</v>
      </c>
      <c r="G720" s="9">
        <v>45843</v>
      </c>
      <c r="H720" s="1" t="s">
        <v>2508</v>
      </c>
      <c r="I720" s="12" t="s">
        <v>1518</v>
      </c>
      <c r="J720" s="6">
        <v>113397</v>
      </c>
      <c r="K720" s="3">
        <v>15113397</v>
      </c>
    </row>
    <row r="721" spans="1:11" x14ac:dyDescent="0.25">
      <c r="A721" s="1" t="s">
        <v>1988</v>
      </c>
      <c r="B721" s="1" t="s">
        <v>1525</v>
      </c>
      <c r="C721" s="5">
        <v>3</v>
      </c>
      <c r="D721" s="14">
        <v>25700796</v>
      </c>
      <c r="E721" s="1" t="s">
        <v>1515</v>
      </c>
      <c r="F721" s="17">
        <v>5884273</v>
      </c>
      <c r="G721" s="8">
        <v>45706</v>
      </c>
      <c r="H721" s="1" t="s">
        <v>2510</v>
      </c>
      <c r="I721" s="11" t="s">
        <v>2507</v>
      </c>
      <c r="J721" s="6">
        <v>39633</v>
      </c>
      <c r="K721" s="3">
        <v>1539633</v>
      </c>
    </row>
    <row r="722" spans="1:11" x14ac:dyDescent="0.25">
      <c r="A722" s="1" t="s">
        <v>1989</v>
      </c>
      <c r="B722" s="1" t="s">
        <v>1523</v>
      </c>
      <c r="C722" s="5">
        <v>1</v>
      </c>
      <c r="D722" s="15">
        <v>43959337</v>
      </c>
      <c r="E722" s="1" t="s">
        <v>2504</v>
      </c>
      <c r="F722" s="18">
        <v>6724779</v>
      </c>
      <c r="G722" s="9">
        <v>45543</v>
      </c>
      <c r="H722" s="1" t="s">
        <v>1543</v>
      </c>
      <c r="I722" s="12" t="s">
        <v>2511</v>
      </c>
      <c r="J722" s="6">
        <v>744691</v>
      </c>
      <c r="K722" s="3">
        <v>15744691</v>
      </c>
    </row>
    <row r="723" spans="1:11" x14ac:dyDescent="0.25">
      <c r="A723" s="1" t="s">
        <v>2773</v>
      </c>
      <c r="B723" s="1" t="s">
        <v>1527</v>
      </c>
      <c r="C723" s="5">
        <v>5</v>
      </c>
      <c r="D723" s="14">
        <v>2081908</v>
      </c>
      <c r="E723" s="1" t="s">
        <v>1538</v>
      </c>
      <c r="F723" s="17">
        <v>136166</v>
      </c>
      <c r="G723" s="8">
        <v>45530</v>
      </c>
      <c r="H723" s="1" t="s">
        <v>2512</v>
      </c>
      <c r="I723" s="11" t="s">
        <v>2509</v>
      </c>
      <c r="J723" s="6">
        <v>38915</v>
      </c>
      <c r="K723" s="3">
        <v>15038915</v>
      </c>
    </row>
    <row r="724" spans="1:11" x14ac:dyDescent="0.25">
      <c r="A724" s="1" t="s">
        <v>1990</v>
      </c>
      <c r="B724" s="1" t="s">
        <v>1532</v>
      </c>
      <c r="C724" s="5">
        <v>5</v>
      </c>
      <c r="D724" s="15">
        <v>44822067</v>
      </c>
      <c r="E724" s="1" t="s">
        <v>1538</v>
      </c>
      <c r="F724" s="18">
        <v>32809</v>
      </c>
      <c r="G724" s="9">
        <v>45714</v>
      </c>
      <c r="H724" s="1" t="s">
        <v>2510</v>
      </c>
      <c r="I724" s="12" t="s">
        <v>1518</v>
      </c>
      <c r="J724" s="6">
        <v>895785</v>
      </c>
      <c r="K724" s="3">
        <v>15895785</v>
      </c>
    </row>
    <row r="725" spans="1:11" x14ac:dyDescent="0.25">
      <c r="A725" s="1" t="s">
        <v>2774</v>
      </c>
      <c r="B725" s="1" t="s">
        <v>1523</v>
      </c>
      <c r="C725" s="5">
        <v>5</v>
      </c>
      <c r="D725" s="14">
        <v>22708086</v>
      </c>
      <c r="E725" s="1" t="s">
        <v>1515</v>
      </c>
      <c r="F725" s="17">
        <v>4458761</v>
      </c>
      <c r="G725" s="8">
        <v>45753</v>
      </c>
      <c r="H725" s="1" t="s">
        <v>1522</v>
      </c>
      <c r="I725" s="11" t="s">
        <v>1521</v>
      </c>
      <c r="J725" s="6">
        <v>364987</v>
      </c>
      <c r="K725" s="3">
        <v>15364987</v>
      </c>
    </row>
    <row r="726" spans="1:11" x14ac:dyDescent="0.25">
      <c r="A726" s="1" t="s">
        <v>2775</v>
      </c>
      <c r="B726" s="1" t="s">
        <v>1514</v>
      </c>
      <c r="C726" s="5">
        <v>1</v>
      </c>
      <c r="D726" s="15">
        <v>46667403</v>
      </c>
      <c r="E726" s="1" t="s">
        <v>2504</v>
      </c>
      <c r="F726" s="18">
        <v>3010498</v>
      </c>
      <c r="G726" s="9">
        <v>45616</v>
      </c>
      <c r="H726" s="1" t="s">
        <v>2519</v>
      </c>
      <c r="I726" s="12" t="s">
        <v>1521</v>
      </c>
      <c r="J726" s="6">
        <v>873138</v>
      </c>
      <c r="K726" s="3">
        <v>15873138</v>
      </c>
    </row>
    <row r="727" spans="1:11" x14ac:dyDescent="0.25">
      <c r="A727" s="1" t="s">
        <v>2776</v>
      </c>
      <c r="B727" s="1" t="s">
        <v>1536</v>
      </c>
      <c r="C727" s="5">
        <v>5</v>
      </c>
      <c r="D727" s="14">
        <v>20883109</v>
      </c>
      <c r="E727" s="1" t="s">
        <v>1538</v>
      </c>
      <c r="F727" s="17">
        <v>508407</v>
      </c>
      <c r="G727" s="8">
        <v>45717</v>
      </c>
      <c r="H727" s="1" t="s">
        <v>1543</v>
      </c>
      <c r="I727" s="11" t="s">
        <v>1521</v>
      </c>
      <c r="J727" s="6">
        <v>315981</v>
      </c>
      <c r="K727" s="3">
        <v>15315981</v>
      </c>
    </row>
    <row r="728" spans="1:11" x14ac:dyDescent="0.25">
      <c r="A728" s="1" t="s">
        <v>1991</v>
      </c>
      <c r="B728" s="1" t="s">
        <v>1517</v>
      </c>
      <c r="C728" s="5">
        <v>5</v>
      </c>
      <c r="D728" s="15">
        <v>32562614</v>
      </c>
      <c r="E728" s="1" t="s">
        <v>1538</v>
      </c>
      <c r="F728" s="18">
        <v>763826</v>
      </c>
      <c r="G728" s="9">
        <v>45506</v>
      </c>
      <c r="H728" s="1" t="s">
        <v>1522</v>
      </c>
      <c r="I728" s="12" t="s">
        <v>1512</v>
      </c>
      <c r="J728" s="6">
        <v>635976</v>
      </c>
      <c r="K728" s="3">
        <v>15635976</v>
      </c>
    </row>
    <row r="729" spans="1:11" x14ac:dyDescent="0.25">
      <c r="A729" s="1" t="s">
        <v>2777</v>
      </c>
      <c r="B729" s="1" t="s">
        <v>1527</v>
      </c>
      <c r="C729" s="5">
        <v>3</v>
      </c>
      <c r="D729" s="14">
        <v>12187171</v>
      </c>
      <c r="E729" s="1" t="s">
        <v>1538</v>
      </c>
      <c r="F729" s="17">
        <v>199492</v>
      </c>
      <c r="G729" s="8">
        <v>45514</v>
      </c>
      <c r="H729" s="1" t="s">
        <v>1522</v>
      </c>
      <c r="I729" s="11" t="s">
        <v>2511</v>
      </c>
      <c r="J729" s="6">
        <v>239754</v>
      </c>
      <c r="K729" s="3">
        <v>15239754</v>
      </c>
    </row>
    <row r="730" spans="1:11" x14ac:dyDescent="0.25">
      <c r="A730" s="1" t="s">
        <v>1992</v>
      </c>
      <c r="B730" s="1" t="s">
        <v>1536</v>
      </c>
      <c r="C730" s="5">
        <v>5</v>
      </c>
      <c r="D730" s="15">
        <v>42937256</v>
      </c>
      <c r="E730" s="1" t="s">
        <v>2504</v>
      </c>
      <c r="F730" s="18">
        <v>4613304</v>
      </c>
      <c r="G730" s="9">
        <v>45531</v>
      </c>
      <c r="H730" s="1" t="s">
        <v>2512</v>
      </c>
      <c r="I730" s="12" t="s">
        <v>2507</v>
      </c>
      <c r="J730" s="6">
        <v>766479</v>
      </c>
      <c r="K730" s="3">
        <v>15766479</v>
      </c>
    </row>
    <row r="731" spans="1:11" x14ac:dyDescent="0.25">
      <c r="A731" s="1" t="s">
        <v>1993</v>
      </c>
      <c r="B731" s="1" t="s">
        <v>1523</v>
      </c>
      <c r="C731" s="5">
        <v>5</v>
      </c>
      <c r="D731" s="14">
        <v>35122947</v>
      </c>
      <c r="E731" s="1" t="s">
        <v>2504</v>
      </c>
      <c r="F731" s="17">
        <v>4616993</v>
      </c>
      <c r="G731" s="8">
        <v>45512</v>
      </c>
      <c r="H731" s="1" t="s">
        <v>2510</v>
      </c>
      <c r="I731" s="11" t="s">
        <v>2511</v>
      </c>
      <c r="J731" s="6">
        <v>610119</v>
      </c>
      <c r="K731" s="3">
        <v>15610119</v>
      </c>
    </row>
    <row r="732" spans="1:11" x14ac:dyDescent="0.25">
      <c r="A732" s="1" t="s">
        <v>2778</v>
      </c>
      <c r="B732" s="1" t="s">
        <v>1517</v>
      </c>
      <c r="C732" s="5">
        <v>1</v>
      </c>
      <c r="D732" s="15">
        <v>27148785</v>
      </c>
      <c r="E732" s="1" t="s">
        <v>1515</v>
      </c>
      <c r="F732" s="18">
        <v>3735407</v>
      </c>
      <c r="G732" s="9">
        <v>45653</v>
      </c>
      <c r="H732" s="1" t="s">
        <v>1519</v>
      </c>
      <c r="I732" s="12" t="s">
        <v>1521</v>
      </c>
      <c r="J732" s="6">
        <v>468268</v>
      </c>
      <c r="K732" s="3">
        <v>15468268</v>
      </c>
    </row>
    <row r="733" spans="1:11" x14ac:dyDescent="0.25">
      <c r="A733" s="1" t="s">
        <v>1994</v>
      </c>
      <c r="B733" s="1" t="s">
        <v>1545</v>
      </c>
      <c r="C733" s="5">
        <v>1</v>
      </c>
      <c r="D733" s="14">
        <v>31384265</v>
      </c>
      <c r="E733" s="1" t="s">
        <v>2504</v>
      </c>
      <c r="F733" s="17">
        <v>5099764</v>
      </c>
      <c r="G733" s="8">
        <v>45601</v>
      </c>
      <c r="H733" s="1" t="s">
        <v>2510</v>
      </c>
      <c r="I733" s="11" t="s">
        <v>1521</v>
      </c>
      <c r="J733" s="6">
        <v>52569</v>
      </c>
      <c r="K733" s="3">
        <v>1552569</v>
      </c>
    </row>
    <row r="734" spans="1:11" x14ac:dyDescent="0.25">
      <c r="A734" s="1" t="s">
        <v>2779</v>
      </c>
      <c r="B734" s="1" t="s">
        <v>1532</v>
      </c>
      <c r="C734" s="5">
        <v>4</v>
      </c>
      <c r="D734" s="15">
        <v>40547512</v>
      </c>
      <c r="E734" s="1" t="s">
        <v>1538</v>
      </c>
      <c r="F734" s="18">
        <v>4967909</v>
      </c>
      <c r="G734" s="9">
        <v>45510</v>
      </c>
      <c r="H734" s="1" t="s">
        <v>2512</v>
      </c>
      <c r="I734" s="12" t="s">
        <v>1521</v>
      </c>
      <c r="J734" s="6">
        <v>711592</v>
      </c>
      <c r="K734" s="3">
        <v>15711592</v>
      </c>
    </row>
    <row r="735" spans="1:11" x14ac:dyDescent="0.25">
      <c r="A735" s="1" t="s">
        <v>2780</v>
      </c>
      <c r="B735" s="1" t="s">
        <v>1540</v>
      </c>
      <c r="C735" s="5">
        <v>5</v>
      </c>
      <c r="D735" s="14">
        <v>20996166</v>
      </c>
      <c r="E735" s="1" t="s">
        <v>2504</v>
      </c>
      <c r="F735" s="17">
        <v>3561014</v>
      </c>
      <c r="G735" s="8">
        <v>45808</v>
      </c>
      <c r="H735" s="1" t="s">
        <v>2512</v>
      </c>
      <c r="I735" s="11" t="s">
        <v>1518</v>
      </c>
      <c r="J735" s="6">
        <v>348703</v>
      </c>
      <c r="K735" s="3">
        <v>15348703</v>
      </c>
    </row>
    <row r="736" spans="1:11" x14ac:dyDescent="0.25">
      <c r="A736" s="1" t="s">
        <v>2781</v>
      </c>
      <c r="B736" s="1" t="s">
        <v>1536</v>
      </c>
      <c r="C736" s="5">
        <v>5</v>
      </c>
      <c r="D736" s="15">
        <v>40802124</v>
      </c>
      <c r="E736" s="1" t="s">
        <v>2504</v>
      </c>
      <c r="F736" s="18">
        <v>10054725</v>
      </c>
      <c r="G736" s="9">
        <v>45819</v>
      </c>
      <c r="H736" s="1" t="s">
        <v>2512</v>
      </c>
      <c r="I736" s="12" t="s">
        <v>2509</v>
      </c>
      <c r="J736" s="6">
        <v>614948</v>
      </c>
      <c r="K736" s="3">
        <v>15614948</v>
      </c>
    </row>
    <row r="737" spans="1:11" x14ac:dyDescent="0.25">
      <c r="A737" s="1" t="s">
        <v>1995</v>
      </c>
      <c r="B737" s="1" t="s">
        <v>1532</v>
      </c>
      <c r="C737" s="5">
        <v>1</v>
      </c>
      <c r="D737" s="14">
        <v>39695211</v>
      </c>
      <c r="E737" s="1" t="s">
        <v>1538</v>
      </c>
      <c r="F737" s="17">
        <v>2388034</v>
      </c>
      <c r="G737" s="8">
        <v>45757</v>
      </c>
      <c r="H737" s="1" t="s">
        <v>1522</v>
      </c>
      <c r="I737" s="11" t="s">
        <v>2511</v>
      </c>
      <c r="J737" s="6">
        <v>746144</v>
      </c>
      <c r="K737" s="3">
        <v>15746144</v>
      </c>
    </row>
    <row r="738" spans="1:11" x14ac:dyDescent="0.25">
      <c r="A738" s="1" t="s">
        <v>2782</v>
      </c>
      <c r="B738" s="1" t="s">
        <v>1514</v>
      </c>
      <c r="C738" s="5">
        <v>2</v>
      </c>
      <c r="D738" s="15">
        <v>8022626</v>
      </c>
      <c r="E738" s="1" t="s">
        <v>1538</v>
      </c>
      <c r="F738" s="18">
        <v>1597017</v>
      </c>
      <c r="G738" s="9">
        <v>45504</v>
      </c>
      <c r="H738" s="1" t="s">
        <v>1513</v>
      </c>
      <c r="I738" s="12" t="s">
        <v>2509</v>
      </c>
      <c r="J738" s="6">
        <v>128512</v>
      </c>
      <c r="K738" s="3">
        <v>15128512</v>
      </c>
    </row>
    <row r="739" spans="1:11" x14ac:dyDescent="0.25">
      <c r="A739" s="1" t="s">
        <v>2783</v>
      </c>
      <c r="B739" s="1" t="s">
        <v>1540</v>
      </c>
      <c r="C739" s="5">
        <v>3</v>
      </c>
      <c r="D739" s="14">
        <v>2444568</v>
      </c>
      <c r="E739" s="1" t="s">
        <v>1515</v>
      </c>
      <c r="F739" s="17">
        <v>466587</v>
      </c>
      <c r="G739" s="8">
        <v>45774</v>
      </c>
      <c r="H739" s="1" t="s">
        <v>2519</v>
      </c>
      <c r="I739" s="11" t="s">
        <v>1521</v>
      </c>
      <c r="J739" s="6">
        <v>3956</v>
      </c>
      <c r="K739" s="3">
        <v>1503956</v>
      </c>
    </row>
    <row r="740" spans="1:11" x14ac:dyDescent="0.25">
      <c r="A740" s="1" t="s">
        <v>2784</v>
      </c>
      <c r="B740" s="1" t="s">
        <v>1536</v>
      </c>
      <c r="C740" s="5">
        <v>1</v>
      </c>
      <c r="D740" s="15">
        <v>27845782</v>
      </c>
      <c r="E740" s="1" t="s">
        <v>2504</v>
      </c>
      <c r="F740" s="18">
        <v>4131072</v>
      </c>
      <c r="G740" s="9">
        <v>45848</v>
      </c>
      <c r="H740" s="1" t="s">
        <v>1516</v>
      </c>
      <c r="I740" s="12" t="s">
        <v>1518</v>
      </c>
      <c r="J740" s="6">
        <v>474294</v>
      </c>
      <c r="K740" s="3">
        <v>15474294</v>
      </c>
    </row>
    <row r="741" spans="1:11" x14ac:dyDescent="0.25">
      <c r="A741" s="1" t="s">
        <v>1996</v>
      </c>
      <c r="B741" s="1" t="s">
        <v>1545</v>
      </c>
      <c r="C741" s="5">
        <v>4</v>
      </c>
      <c r="D741" s="14">
        <v>12026792</v>
      </c>
      <c r="E741" s="1" t="s">
        <v>1538</v>
      </c>
      <c r="F741" s="17">
        <v>2153571</v>
      </c>
      <c r="G741" s="8">
        <v>45528</v>
      </c>
      <c r="H741" s="1" t="s">
        <v>1543</v>
      </c>
      <c r="I741" s="11" t="s">
        <v>2509</v>
      </c>
      <c r="J741" s="6">
        <v>197464</v>
      </c>
      <c r="K741" s="3">
        <v>15197464</v>
      </c>
    </row>
    <row r="742" spans="1:11" x14ac:dyDescent="0.25">
      <c r="A742" s="1" t="s">
        <v>1997</v>
      </c>
      <c r="B742" s="1" t="s">
        <v>1536</v>
      </c>
      <c r="C742" s="5">
        <v>2</v>
      </c>
      <c r="D742" s="15">
        <v>7841616</v>
      </c>
      <c r="E742" s="1" t="s">
        <v>1538</v>
      </c>
      <c r="F742" s="18">
        <v>787703</v>
      </c>
      <c r="G742" s="9">
        <v>45728</v>
      </c>
      <c r="H742" s="1" t="s">
        <v>1516</v>
      </c>
      <c r="I742" s="12" t="s">
        <v>1512</v>
      </c>
      <c r="J742" s="6">
        <v>141078</v>
      </c>
      <c r="K742" s="3">
        <v>15141078</v>
      </c>
    </row>
    <row r="743" spans="1:11" x14ac:dyDescent="0.25">
      <c r="A743" s="1" t="s">
        <v>1998</v>
      </c>
      <c r="B743" s="1" t="s">
        <v>1536</v>
      </c>
      <c r="C743" s="5">
        <v>5</v>
      </c>
      <c r="D743" s="14">
        <v>7736173</v>
      </c>
      <c r="E743" s="1" t="s">
        <v>1515</v>
      </c>
      <c r="F743" s="17">
        <v>571231</v>
      </c>
      <c r="G743" s="8">
        <v>45607</v>
      </c>
      <c r="H743" s="1" t="s">
        <v>2508</v>
      </c>
      <c r="I743" s="11" t="s">
        <v>1521</v>
      </c>
      <c r="J743" s="6">
        <v>143299</v>
      </c>
      <c r="K743" s="3">
        <v>15143299</v>
      </c>
    </row>
    <row r="744" spans="1:11" x14ac:dyDescent="0.25">
      <c r="A744" s="1" t="s">
        <v>1999</v>
      </c>
      <c r="B744" s="1" t="s">
        <v>1534</v>
      </c>
      <c r="C744" s="5">
        <v>2</v>
      </c>
      <c r="D744" s="15">
        <v>6847297</v>
      </c>
      <c r="E744" s="1" t="s">
        <v>2504</v>
      </c>
      <c r="F744" s="18">
        <v>1501416</v>
      </c>
      <c r="G744" s="9">
        <v>45510</v>
      </c>
      <c r="H744" s="1" t="s">
        <v>2510</v>
      </c>
      <c r="I744" s="12" t="s">
        <v>2511</v>
      </c>
      <c r="J744" s="6">
        <v>106918</v>
      </c>
      <c r="K744" s="3">
        <v>15106918</v>
      </c>
    </row>
    <row r="745" spans="1:11" x14ac:dyDescent="0.25">
      <c r="A745" s="1" t="s">
        <v>2000</v>
      </c>
      <c r="B745" s="1" t="s">
        <v>1514</v>
      </c>
      <c r="C745" s="5">
        <v>4</v>
      </c>
      <c r="D745" s="14">
        <v>5522618</v>
      </c>
      <c r="E745" s="1" t="s">
        <v>1515</v>
      </c>
      <c r="F745" s="17">
        <v>77584</v>
      </c>
      <c r="G745" s="8">
        <v>45539</v>
      </c>
      <c r="H745" s="1" t="s">
        <v>2515</v>
      </c>
      <c r="I745" s="11" t="s">
        <v>1512</v>
      </c>
      <c r="J745" s="6">
        <v>108901</v>
      </c>
      <c r="K745" s="3">
        <v>15108901</v>
      </c>
    </row>
    <row r="746" spans="1:11" x14ac:dyDescent="0.25">
      <c r="A746" s="1" t="s">
        <v>2001</v>
      </c>
      <c r="B746" s="1" t="s">
        <v>1525</v>
      </c>
      <c r="C746" s="5">
        <v>5</v>
      </c>
      <c r="D746" s="15">
        <v>30699437</v>
      </c>
      <c r="E746" s="1" t="s">
        <v>2504</v>
      </c>
      <c r="F746" s="18">
        <v>1080125</v>
      </c>
      <c r="G746" s="9">
        <v>45615</v>
      </c>
      <c r="H746" s="1" t="s">
        <v>2508</v>
      </c>
      <c r="I746" s="12" t="s">
        <v>2511</v>
      </c>
      <c r="J746" s="6">
        <v>592386</v>
      </c>
      <c r="K746" s="3">
        <v>15592386</v>
      </c>
    </row>
    <row r="747" spans="1:11" x14ac:dyDescent="0.25">
      <c r="A747" s="1" t="s">
        <v>2002</v>
      </c>
      <c r="B747" s="1" t="s">
        <v>1523</v>
      </c>
      <c r="C747" s="5">
        <v>4</v>
      </c>
      <c r="D747" s="14">
        <v>32598939</v>
      </c>
      <c r="E747" s="1" t="s">
        <v>1515</v>
      </c>
      <c r="F747" s="17">
        <v>7497979</v>
      </c>
      <c r="G747" s="8">
        <v>45731</v>
      </c>
      <c r="H747" s="1" t="s">
        <v>2512</v>
      </c>
      <c r="I747" s="11" t="s">
        <v>2511</v>
      </c>
      <c r="J747" s="6">
        <v>502019</v>
      </c>
      <c r="K747" s="3">
        <v>15502019</v>
      </c>
    </row>
    <row r="748" spans="1:11" x14ac:dyDescent="0.25">
      <c r="A748" s="1" t="s">
        <v>2003</v>
      </c>
      <c r="B748" s="1" t="s">
        <v>1525</v>
      </c>
      <c r="C748" s="5">
        <v>4</v>
      </c>
      <c r="D748" s="15">
        <v>24101912</v>
      </c>
      <c r="E748" s="1" t="s">
        <v>1515</v>
      </c>
      <c r="F748" s="18">
        <v>4917801</v>
      </c>
      <c r="G748" s="9">
        <v>45800</v>
      </c>
      <c r="H748" s="1" t="s">
        <v>2508</v>
      </c>
      <c r="I748" s="12" t="s">
        <v>2511</v>
      </c>
      <c r="J748" s="6">
        <v>383682</v>
      </c>
      <c r="K748" s="3">
        <v>15383682</v>
      </c>
    </row>
    <row r="749" spans="1:11" x14ac:dyDescent="0.25">
      <c r="A749" s="1" t="s">
        <v>2785</v>
      </c>
      <c r="B749" s="1" t="s">
        <v>1545</v>
      </c>
      <c r="C749" s="5">
        <v>2</v>
      </c>
      <c r="D749" s="14">
        <v>36218471</v>
      </c>
      <c r="E749" s="1" t="s">
        <v>1538</v>
      </c>
      <c r="F749" s="17">
        <v>3565177</v>
      </c>
      <c r="G749" s="8">
        <v>45538</v>
      </c>
      <c r="H749" s="1" t="s">
        <v>2515</v>
      </c>
      <c r="I749" s="11" t="s">
        <v>2511</v>
      </c>
      <c r="J749" s="6">
        <v>653066</v>
      </c>
      <c r="K749" s="3">
        <v>15653066</v>
      </c>
    </row>
    <row r="750" spans="1:11" x14ac:dyDescent="0.25">
      <c r="A750" s="1" t="s">
        <v>2004</v>
      </c>
      <c r="B750" s="1" t="s">
        <v>1534</v>
      </c>
      <c r="C750" s="5">
        <v>3</v>
      </c>
      <c r="D750" s="15">
        <v>1045108</v>
      </c>
      <c r="E750" s="1" t="s">
        <v>2504</v>
      </c>
      <c r="F750" s="18">
        <v>914453</v>
      </c>
      <c r="G750" s="9">
        <v>45693</v>
      </c>
      <c r="H750" s="1" t="s">
        <v>1543</v>
      </c>
      <c r="I750" s="12" t="s">
        <v>2509</v>
      </c>
      <c r="J750" s="6">
        <v>190733</v>
      </c>
      <c r="K750" s="3">
        <v>15190733</v>
      </c>
    </row>
    <row r="751" spans="1:11" x14ac:dyDescent="0.25">
      <c r="A751" s="1" t="s">
        <v>2005</v>
      </c>
      <c r="B751" s="1" t="s">
        <v>1536</v>
      </c>
      <c r="C751" s="5">
        <v>1</v>
      </c>
      <c r="D751" s="14">
        <v>27331876</v>
      </c>
      <c r="E751" s="1" t="s">
        <v>2504</v>
      </c>
      <c r="F751" s="17">
        <v>5588936</v>
      </c>
      <c r="G751" s="8">
        <v>45579</v>
      </c>
      <c r="H751" s="1" t="s">
        <v>2515</v>
      </c>
      <c r="I751" s="11" t="s">
        <v>1521</v>
      </c>
      <c r="J751" s="6">
        <v>434859</v>
      </c>
      <c r="K751" s="3">
        <v>15434859</v>
      </c>
    </row>
    <row r="752" spans="1:11" x14ac:dyDescent="0.25">
      <c r="A752" s="1" t="s">
        <v>2006</v>
      </c>
      <c r="B752" s="1" t="s">
        <v>1536</v>
      </c>
      <c r="C752" s="5">
        <v>1</v>
      </c>
      <c r="D752" s="15">
        <v>7936633</v>
      </c>
      <c r="E752" s="1" t="s">
        <v>1515</v>
      </c>
      <c r="F752" s="18">
        <v>55361</v>
      </c>
      <c r="G752" s="9">
        <v>45565</v>
      </c>
      <c r="H752" s="1" t="s">
        <v>1519</v>
      </c>
      <c r="I752" s="12" t="s">
        <v>1521</v>
      </c>
      <c r="J752" s="6">
        <v>14766</v>
      </c>
      <c r="K752" s="3">
        <v>1514766</v>
      </c>
    </row>
    <row r="753" spans="1:11" x14ac:dyDescent="0.25">
      <c r="A753" s="1" t="s">
        <v>2007</v>
      </c>
      <c r="B753" s="1" t="s">
        <v>1534</v>
      </c>
      <c r="C753" s="5">
        <v>4</v>
      </c>
      <c r="D753" s="14">
        <v>14665133</v>
      </c>
      <c r="E753" s="1" t="s">
        <v>2504</v>
      </c>
      <c r="F753" s="17">
        <v>3236036</v>
      </c>
      <c r="G753" s="8">
        <v>45521</v>
      </c>
      <c r="H753" s="1" t="s">
        <v>2510</v>
      </c>
      <c r="I753" s="11" t="s">
        <v>1518</v>
      </c>
      <c r="J753" s="6">
        <v>228582</v>
      </c>
      <c r="K753" s="3">
        <v>15228582</v>
      </c>
    </row>
    <row r="754" spans="1:11" x14ac:dyDescent="0.25">
      <c r="A754" s="1" t="s">
        <v>2786</v>
      </c>
      <c r="B754" s="1" t="s">
        <v>1514</v>
      </c>
      <c r="C754" s="5">
        <v>3</v>
      </c>
      <c r="D754" s="15">
        <v>21155088</v>
      </c>
      <c r="E754" s="1" t="s">
        <v>1515</v>
      </c>
      <c r="F754" s="18">
        <v>4240374</v>
      </c>
      <c r="G754" s="9">
        <v>45856</v>
      </c>
      <c r="H754" s="1" t="s">
        <v>1519</v>
      </c>
      <c r="I754" s="12" t="s">
        <v>1512</v>
      </c>
      <c r="J754" s="6">
        <v>338294</v>
      </c>
      <c r="K754" s="3">
        <v>15338294</v>
      </c>
    </row>
    <row r="755" spans="1:11" x14ac:dyDescent="0.25">
      <c r="A755" s="1" t="s">
        <v>2008</v>
      </c>
      <c r="B755" s="1" t="s">
        <v>1514</v>
      </c>
      <c r="C755" s="5">
        <v>2</v>
      </c>
      <c r="D755" s="14">
        <v>34505801</v>
      </c>
      <c r="E755" s="1" t="s">
        <v>1515</v>
      </c>
      <c r="F755" s="17">
        <v>6388958</v>
      </c>
      <c r="G755" s="8">
        <v>45529</v>
      </c>
      <c r="H755" s="1" t="s">
        <v>2512</v>
      </c>
      <c r="I755" s="11" t="s">
        <v>2511</v>
      </c>
      <c r="J755" s="6">
        <v>562337</v>
      </c>
      <c r="K755" s="3">
        <v>15562337</v>
      </c>
    </row>
    <row r="756" spans="1:11" x14ac:dyDescent="0.25">
      <c r="A756" s="1" t="s">
        <v>2009</v>
      </c>
      <c r="B756" s="1" t="s">
        <v>1525</v>
      </c>
      <c r="C756" s="5">
        <v>2</v>
      </c>
      <c r="D756" s="15">
        <v>21237403</v>
      </c>
      <c r="E756" s="1" t="s">
        <v>1538</v>
      </c>
      <c r="F756" s="18">
        <v>4849999</v>
      </c>
      <c r="G756" s="9">
        <v>45712</v>
      </c>
      <c r="H756" s="1" t="s">
        <v>2519</v>
      </c>
      <c r="I756" s="12" t="s">
        <v>1518</v>
      </c>
      <c r="J756" s="6">
        <v>327748</v>
      </c>
      <c r="K756" s="3">
        <v>15327748</v>
      </c>
    </row>
    <row r="757" spans="1:11" x14ac:dyDescent="0.25">
      <c r="A757" s="1" t="s">
        <v>2787</v>
      </c>
      <c r="B757" s="1" t="s">
        <v>1532</v>
      </c>
      <c r="C757" s="5">
        <v>3</v>
      </c>
      <c r="D757" s="14">
        <v>16963982</v>
      </c>
      <c r="E757" s="1" t="s">
        <v>1515</v>
      </c>
      <c r="F757" s="17">
        <v>28489</v>
      </c>
      <c r="G757" s="8">
        <v>45679</v>
      </c>
      <c r="H757" s="1" t="s">
        <v>1516</v>
      </c>
      <c r="I757" s="11" t="s">
        <v>1518</v>
      </c>
      <c r="J757" s="6">
        <v>33871</v>
      </c>
      <c r="K757" s="3">
        <v>1533871</v>
      </c>
    </row>
    <row r="758" spans="1:11" x14ac:dyDescent="0.25">
      <c r="A758" s="1" t="s">
        <v>2788</v>
      </c>
      <c r="B758" s="1" t="s">
        <v>1527</v>
      </c>
      <c r="C758" s="5">
        <v>4</v>
      </c>
      <c r="D758" s="15">
        <v>29709648</v>
      </c>
      <c r="E758" s="1" t="s">
        <v>1538</v>
      </c>
      <c r="F758" s="18">
        <v>5669203</v>
      </c>
      <c r="G758" s="9">
        <v>45541</v>
      </c>
      <c r="H758" s="1" t="s">
        <v>1516</v>
      </c>
      <c r="I758" s="12" t="s">
        <v>1512</v>
      </c>
      <c r="J758" s="6">
        <v>480809</v>
      </c>
      <c r="K758" s="3">
        <v>15480809</v>
      </c>
    </row>
    <row r="759" spans="1:11" x14ac:dyDescent="0.25">
      <c r="A759" s="1" t="s">
        <v>2010</v>
      </c>
      <c r="B759" s="1" t="s">
        <v>1517</v>
      </c>
      <c r="C759" s="5">
        <v>1</v>
      </c>
      <c r="D759" s="14">
        <v>20865013</v>
      </c>
      <c r="E759" s="1" t="s">
        <v>2504</v>
      </c>
      <c r="F759" s="17">
        <v>349143</v>
      </c>
      <c r="G759" s="8">
        <v>45845</v>
      </c>
      <c r="H759" s="1" t="s">
        <v>1516</v>
      </c>
      <c r="I759" s="11" t="s">
        <v>2509</v>
      </c>
      <c r="J759" s="6">
        <v>347472</v>
      </c>
      <c r="K759" s="3">
        <v>15347472</v>
      </c>
    </row>
    <row r="760" spans="1:11" x14ac:dyDescent="0.25">
      <c r="A760" s="1" t="s">
        <v>2789</v>
      </c>
      <c r="B760" s="1" t="s">
        <v>1540</v>
      </c>
      <c r="C760" s="5">
        <v>4</v>
      </c>
      <c r="D760" s="15">
        <v>5947211</v>
      </c>
      <c r="E760" s="1" t="s">
        <v>2504</v>
      </c>
      <c r="F760" s="18">
        <v>5095</v>
      </c>
      <c r="G760" s="9">
        <v>45662</v>
      </c>
      <c r="H760" s="1" t="s">
        <v>1519</v>
      </c>
      <c r="I760" s="12" t="s">
        <v>2507</v>
      </c>
      <c r="J760" s="6">
        <v>118842</v>
      </c>
      <c r="K760" s="3">
        <v>15118842</v>
      </c>
    </row>
    <row r="761" spans="1:11" x14ac:dyDescent="0.25">
      <c r="A761" s="1" t="s">
        <v>2011</v>
      </c>
      <c r="B761" s="1" t="s">
        <v>1523</v>
      </c>
      <c r="C761" s="5">
        <v>4</v>
      </c>
      <c r="D761" s="14">
        <v>21131346</v>
      </c>
      <c r="E761" s="1" t="s">
        <v>1538</v>
      </c>
      <c r="F761" s="17">
        <v>5114215</v>
      </c>
      <c r="G761" s="8">
        <v>45769</v>
      </c>
      <c r="H761" s="1" t="s">
        <v>2512</v>
      </c>
      <c r="I761" s="11" t="s">
        <v>2511</v>
      </c>
      <c r="J761" s="6">
        <v>320343</v>
      </c>
      <c r="K761" s="3">
        <v>15320343</v>
      </c>
    </row>
    <row r="762" spans="1:11" x14ac:dyDescent="0.25">
      <c r="A762" s="1" t="s">
        <v>2012</v>
      </c>
      <c r="B762" s="1" t="s">
        <v>1534</v>
      </c>
      <c r="C762" s="5">
        <v>2</v>
      </c>
      <c r="D762" s="15">
        <v>10382701</v>
      </c>
      <c r="E762" s="1" t="s">
        <v>2504</v>
      </c>
      <c r="F762" s="18">
        <v>1080649</v>
      </c>
      <c r="G762" s="9">
        <v>45717</v>
      </c>
      <c r="H762" s="1" t="s">
        <v>1519</v>
      </c>
      <c r="I762" s="12" t="s">
        <v>2511</v>
      </c>
      <c r="J762" s="6">
        <v>186041</v>
      </c>
      <c r="K762" s="3">
        <v>15186041</v>
      </c>
    </row>
    <row r="763" spans="1:11" x14ac:dyDescent="0.25">
      <c r="A763" s="1" t="s">
        <v>2013</v>
      </c>
      <c r="B763" s="1" t="s">
        <v>1534</v>
      </c>
      <c r="C763" s="5">
        <v>4</v>
      </c>
      <c r="D763" s="14">
        <v>9058149</v>
      </c>
      <c r="E763" s="1" t="s">
        <v>2504</v>
      </c>
      <c r="F763" s="17">
        <v>1240933</v>
      </c>
      <c r="G763" s="8">
        <v>45641</v>
      </c>
      <c r="H763" s="1" t="s">
        <v>2512</v>
      </c>
      <c r="I763" s="11" t="s">
        <v>2507</v>
      </c>
      <c r="J763" s="6">
        <v>156344</v>
      </c>
      <c r="K763" s="3">
        <v>15156344</v>
      </c>
    </row>
    <row r="764" spans="1:11" x14ac:dyDescent="0.25">
      <c r="A764" s="1" t="s">
        <v>2014</v>
      </c>
      <c r="B764" s="1" t="s">
        <v>1523</v>
      </c>
      <c r="C764" s="5">
        <v>1</v>
      </c>
      <c r="D764" s="15">
        <v>3386747</v>
      </c>
      <c r="E764" s="1" t="s">
        <v>1515</v>
      </c>
      <c r="F764" s="18">
        <v>3580298</v>
      </c>
      <c r="G764" s="9">
        <v>45658</v>
      </c>
      <c r="H764" s="1" t="s">
        <v>1516</v>
      </c>
      <c r="I764" s="12" t="s">
        <v>1512</v>
      </c>
      <c r="J764" s="6">
        <v>605743</v>
      </c>
      <c r="K764" s="3">
        <v>15605743</v>
      </c>
    </row>
    <row r="765" spans="1:11" x14ac:dyDescent="0.25">
      <c r="A765" s="1" t="s">
        <v>2790</v>
      </c>
      <c r="B765" s="1" t="s">
        <v>1517</v>
      </c>
      <c r="C765" s="5">
        <v>1</v>
      </c>
      <c r="D765" s="14">
        <v>2860195</v>
      </c>
      <c r="E765" s="1" t="s">
        <v>1538</v>
      </c>
      <c r="F765" s="17">
        <v>5527152</v>
      </c>
      <c r="G765" s="8">
        <v>45693</v>
      </c>
      <c r="H765" s="1" t="s">
        <v>2510</v>
      </c>
      <c r="I765" s="11" t="s">
        <v>1521</v>
      </c>
      <c r="J765" s="6">
        <v>461496</v>
      </c>
      <c r="K765" s="3">
        <v>15461496</v>
      </c>
    </row>
    <row r="766" spans="1:11" x14ac:dyDescent="0.25">
      <c r="A766" s="1" t="s">
        <v>2015</v>
      </c>
      <c r="B766" s="1" t="s">
        <v>1517</v>
      </c>
      <c r="C766" s="5">
        <v>4</v>
      </c>
      <c r="D766" s="15">
        <v>19624566</v>
      </c>
      <c r="E766" s="1" t="s">
        <v>1538</v>
      </c>
      <c r="F766" s="18">
        <v>1443429</v>
      </c>
      <c r="G766" s="9">
        <v>45568</v>
      </c>
      <c r="H766" s="1" t="s">
        <v>2515</v>
      </c>
      <c r="I766" s="12" t="s">
        <v>2511</v>
      </c>
      <c r="J766" s="6">
        <v>363623</v>
      </c>
      <c r="K766" s="3">
        <v>15363623</v>
      </c>
    </row>
    <row r="767" spans="1:11" x14ac:dyDescent="0.25">
      <c r="A767" s="1" t="s">
        <v>2791</v>
      </c>
      <c r="B767" s="1" t="s">
        <v>1536</v>
      </c>
      <c r="C767" s="5">
        <v>2</v>
      </c>
      <c r="D767" s="14">
        <v>44872442</v>
      </c>
      <c r="E767" s="1" t="s">
        <v>1538</v>
      </c>
      <c r="F767" s="17">
        <v>10698108</v>
      </c>
      <c r="G767" s="8">
        <v>45561</v>
      </c>
      <c r="H767" s="1" t="s">
        <v>1522</v>
      </c>
      <c r="I767" s="11" t="s">
        <v>1518</v>
      </c>
      <c r="J767" s="6">
        <v>683487</v>
      </c>
      <c r="K767" s="3">
        <v>15683487</v>
      </c>
    </row>
    <row r="768" spans="1:11" x14ac:dyDescent="0.25">
      <c r="A768" s="1" t="s">
        <v>2792</v>
      </c>
      <c r="B768" s="1" t="s">
        <v>1540</v>
      </c>
      <c r="C768" s="5">
        <v>1</v>
      </c>
      <c r="D768" s="15">
        <v>3996576</v>
      </c>
      <c r="E768" s="1" t="s">
        <v>1538</v>
      </c>
      <c r="F768" s="18">
        <v>759413</v>
      </c>
      <c r="G768" s="9">
        <v>45800</v>
      </c>
      <c r="H768" s="1" t="s">
        <v>1522</v>
      </c>
      <c r="I768" s="12" t="s">
        <v>1518</v>
      </c>
      <c r="J768" s="6">
        <v>64743</v>
      </c>
      <c r="K768" s="3">
        <v>15064743</v>
      </c>
    </row>
    <row r="769" spans="1:11" x14ac:dyDescent="0.25">
      <c r="A769" s="1" t="s">
        <v>2016</v>
      </c>
      <c r="B769" s="1" t="s">
        <v>1514</v>
      </c>
      <c r="C769" s="5">
        <v>2</v>
      </c>
      <c r="D769" s="14">
        <v>13981366</v>
      </c>
      <c r="E769" s="1" t="s">
        <v>2504</v>
      </c>
      <c r="F769" s="17">
        <v>332002</v>
      </c>
      <c r="G769" s="8">
        <v>45766</v>
      </c>
      <c r="H769" s="1" t="s">
        <v>2512</v>
      </c>
      <c r="I769" s="11" t="s">
        <v>1518</v>
      </c>
      <c r="J769" s="6">
        <v>213227</v>
      </c>
      <c r="K769" s="3">
        <v>15213227</v>
      </c>
    </row>
    <row r="770" spans="1:11" x14ac:dyDescent="0.25">
      <c r="A770" s="1" t="s">
        <v>2793</v>
      </c>
      <c r="B770" s="1" t="s">
        <v>1527</v>
      </c>
      <c r="C770" s="5">
        <v>2</v>
      </c>
      <c r="D770" s="15">
        <v>100846</v>
      </c>
      <c r="E770" s="1" t="s">
        <v>1538</v>
      </c>
      <c r="F770" s="18">
        <v>54821</v>
      </c>
      <c r="G770" s="9">
        <v>45801</v>
      </c>
      <c r="H770" s="1" t="s">
        <v>2515</v>
      </c>
      <c r="I770" s="12" t="s">
        <v>2507</v>
      </c>
      <c r="J770" s="6">
        <v>19073</v>
      </c>
      <c r="K770" s="3">
        <v>15019073</v>
      </c>
    </row>
    <row r="771" spans="1:11" x14ac:dyDescent="0.25">
      <c r="A771" s="1" t="s">
        <v>2017</v>
      </c>
      <c r="B771" s="1" t="s">
        <v>1540</v>
      </c>
      <c r="C771" s="5">
        <v>4</v>
      </c>
      <c r="D771" s="14">
        <v>19510789</v>
      </c>
      <c r="E771" s="1" t="s">
        <v>1515</v>
      </c>
      <c r="F771" s="17">
        <v>3297783</v>
      </c>
      <c r="G771" s="8">
        <v>45622</v>
      </c>
      <c r="H771" s="1" t="s">
        <v>1519</v>
      </c>
      <c r="I771" s="11" t="s">
        <v>2511</v>
      </c>
      <c r="J771" s="6">
        <v>32426</v>
      </c>
      <c r="K771" s="3">
        <v>1532426</v>
      </c>
    </row>
    <row r="772" spans="1:11" x14ac:dyDescent="0.25">
      <c r="A772" s="1" t="s">
        <v>2794</v>
      </c>
      <c r="B772" s="1" t="s">
        <v>1514</v>
      </c>
      <c r="C772" s="5">
        <v>1</v>
      </c>
      <c r="D772" s="15">
        <v>29966678</v>
      </c>
      <c r="E772" s="1" t="s">
        <v>1515</v>
      </c>
      <c r="F772" s="18">
        <v>5478499</v>
      </c>
      <c r="G772" s="9">
        <v>45837</v>
      </c>
      <c r="H772" s="1" t="s">
        <v>1519</v>
      </c>
      <c r="I772" s="12" t="s">
        <v>2511</v>
      </c>
      <c r="J772" s="6">
        <v>489764</v>
      </c>
      <c r="K772" s="3">
        <v>15489764</v>
      </c>
    </row>
    <row r="773" spans="1:11" x14ac:dyDescent="0.25">
      <c r="A773" s="1" t="s">
        <v>2018</v>
      </c>
      <c r="B773" s="1" t="s">
        <v>1540</v>
      </c>
      <c r="C773" s="5">
        <v>5</v>
      </c>
      <c r="D773" s="14">
        <v>4194052</v>
      </c>
      <c r="E773" s="1" t="s">
        <v>1538</v>
      </c>
      <c r="F773" s="17">
        <v>347687</v>
      </c>
      <c r="G773" s="8">
        <v>45688</v>
      </c>
      <c r="H773" s="1" t="s">
        <v>1513</v>
      </c>
      <c r="I773" s="11" t="s">
        <v>2507</v>
      </c>
      <c r="J773" s="6">
        <v>76927</v>
      </c>
      <c r="K773" s="3">
        <v>15076927</v>
      </c>
    </row>
    <row r="774" spans="1:11" x14ac:dyDescent="0.25">
      <c r="A774" s="1" t="s">
        <v>2019</v>
      </c>
      <c r="B774" s="1" t="s">
        <v>1545</v>
      </c>
      <c r="C774" s="5">
        <v>3</v>
      </c>
      <c r="D774" s="15">
        <v>6550504</v>
      </c>
      <c r="E774" s="1" t="s">
        <v>1538</v>
      </c>
      <c r="F774" s="18">
        <v>17835</v>
      </c>
      <c r="G774" s="9">
        <v>45681</v>
      </c>
      <c r="H774" s="1" t="s">
        <v>2508</v>
      </c>
      <c r="I774" s="12" t="s">
        <v>1521</v>
      </c>
      <c r="J774" s="6">
        <v>127443</v>
      </c>
      <c r="K774" s="3">
        <v>15127443</v>
      </c>
    </row>
    <row r="775" spans="1:11" x14ac:dyDescent="0.25">
      <c r="A775" s="1" t="s">
        <v>2020</v>
      </c>
      <c r="B775" s="1" t="s">
        <v>1527</v>
      </c>
      <c r="C775" s="5">
        <v>2</v>
      </c>
      <c r="D775" s="14">
        <v>31679277</v>
      </c>
      <c r="E775" s="1" t="s">
        <v>2504</v>
      </c>
      <c r="F775" s="17">
        <v>3318202</v>
      </c>
      <c r="G775" s="8">
        <v>45540</v>
      </c>
      <c r="H775" s="1" t="s">
        <v>1543</v>
      </c>
      <c r="I775" s="11" t="s">
        <v>1518</v>
      </c>
      <c r="J775" s="6">
        <v>567222</v>
      </c>
      <c r="K775" s="3">
        <v>15567222</v>
      </c>
    </row>
    <row r="776" spans="1:11" x14ac:dyDescent="0.25">
      <c r="A776" s="1" t="s">
        <v>2795</v>
      </c>
      <c r="B776" s="1" t="s">
        <v>1523</v>
      </c>
      <c r="C776" s="5">
        <v>4</v>
      </c>
      <c r="D776" s="15">
        <v>43811341</v>
      </c>
      <c r="E776" s="1" t="s">
        <v>1515</v>
      </c>
      <c r="F776" s="18">
        <v>10917323</v>
      </c>
      <c r="G776" s="9">
        <v>45704</v>
      </c>
      <c r="H776" s="1" t="s">
        <v>2510</v>
      </c>
      <c r="I776" s="12" t="s">
        <v>1512</v>
      </c>
      <c r="J776" s="6">
        <v>65788</v>
      </c>
      <c r="K776" s="3">
        <v>1565788</v>
      </c>
    </row>
    <row r="777" spans="1:11" x14ac:dyDescent="0.25">
      <c r="A777" s="1" t="s">
        <v>2021</v>
      </c>
      <c r="B777" s="1" t="s">
        <v>1514</v>
      </c>
      <c r="C777" s="5">
        <v>4</v>
      </c>
      <c r="D777" s="14">
        <v>25815589</v>
      </c>
      <c r="E777" s="1" t="s">
        <v>1515</v>
      </c>
      <c r="F777" s="17">
        <v>729384</v>
      </c>
      <c r="G777" s="8">
        <v>45612</v>
      </c>
      <c r="H777" s="1" t="s">
        <v>1513</v>
      </c>
      <c r="I777" s="11" t="s">
        <v>1518</v>
      </c>
      <c r="J777" s="6">
        <v>501724</v>
      </c>
      <c r="K777" s="3">
        <v>15501724</v>
      </c>
    </row>
    <row r="778" spans="1:11" x14ac:dyDescent="0.25">
      <c r="A778" s="1" t="s">
        <v>2022</v>
      </c>
      <c r="B778" s="1" t="s">
        <v>1525</v>
      </c>
      <c r="C778" s="5">
        <v>4</v>
      </c>
      <c r="D778" s="15">
        <v>25415106</v>
      </c>
      <c r="E778" s="1" t="s">
        <v>2504</v>
      </c>
      <c r="F778" s="18">
        <v>3792337</v>
      </c>
      <c r="G778" s="9">
        <v>45643</v>
      </c>
      <c r="H778" s="1" t="s">
        <v>1516</v>
      </c>
      <c r="I778" s="12" t="s">
        <v>1518</v>
      </c>
      <c r="J778" s="6">
        <v>432455</v>
      </c>
      <c r="K778" s="3">
        <v>15432455</v>
      </c>
    </row>
    <row r="779" spans="1:11" x14ac:dyDescent="0.25">
      <c r="A779" s="1" t="s">
        <v>2796</v>
      </c>
      <c r="B779" s="1" t="s">
        <v>1525</v>
      </c>
      <c r="C779" s="5">
        <v>2</v>
      </c>
      <c r="D779" s="14">
        <v>48993111</v>
      </c>
      <c r="E779" s="1" t="s">
        <v>1515</v>
      </c>
      <c r="F779" s="17">
        <v>7588309</v>
      </c>
      <c r="G779" s="8">
        <v>45597</v>
      </c>
      <c r="H779" s="1" t="s">
        <v>1513</v>
      </c>
      <c r="I779" s="11" t="s">
        <v>2509</v>
      </c>
      <c r="J779" s="6">
        <v>828096</v>
      </c>
      <c r="K779" s="3">
        <v>15828096</v>
      </c>
    </row>
    <row r="780" spans="1:11" x14ac:dyDescent="0.25">
      <c r="A780" s="1" t="s">
        <v>2797</v>
      </c>
      <c r="B780" s="1" t="s">
        <v>1536</v>
      </c>
      <c r="C780" s="5">
        <v>2</v>
      </c>
      <c r="D780" s="15">
        <v>17651332</v>
      </c>
      <c r="E780" s="1" t="s">
        <v>1538</v>
      </c>
      <c r="F780" s="18">
        <v>842448</v>
      </c>
      <c r="G780" s="9">
        <v>45660</v>
      </c>
      <c r="H780" s="1" t="s">
        <v>2510</v>
      </c>
      <c r="I780" s="12" t="s">
        <v>2511</v>
      </c>
      <c r="J780" s="6">
        <v>336178</v>
      </c>
      <c r="K780" s="3">
        <v>15336178</v>
      </c>
    </row>
    <row r="781" spans="1:11" x14ac:dyDescent="0.25">
      <c r="A781" s="1" t="s">
        <v>2023</v>
      </c>
      <c r="B781" s="1" t="s">
        <v>1527</v>
      </c>
      <c r="C781" s="5">
        <v>1</v>
      </c>
      <c r="D781" s="14">
        <v>47352244</v>
      </c>
      <c r="E781" s="1" t="s">
        <v>2504</v>
      </c>
      <c r="F781" s="17">
        <v>462911</v>
      </c>
      <c r="G781" s="8">
        <v>45513</v>
      </c>
      <c r="H781" s="1" t="s">
        <v>2510</v>
      </c>
      <c r="I781" s="11" t="s">
        <v>1521</v>
      </c>
      <c r="J781" s="6">
        <v>937787</v>
      </c>
      <c r="K781" s="3">
        <v>15937787</v>
      </c>
    </row>
    <row r="782" spans="1:11" x14ac:dyDescent="0.25">
      <c r="A782" s="1" t="s">
        <v>2024</v>
      </c>
      <c r="B782" s="1" t="s">
        <v>1536</v>
      </c>
      <c r="C782" s="5">
        <v>3</v>
      </c>
      <c r="D782" s="15">
        <v>41867837</v>
      </c>
      <c r="E782" s="1" t="s">
        <v>2504</v>
      </c>
      <c r="F782" s="18">
        <v>1592838</v>
      </c>
      <c r="G782" s="9">
        <v>45807</v>
      </c>
      <c r="H782" s="1" t="s">
        <v>1522</v>
      </c>
      <c r="I782" s="12" t="s">
        <v>2509</v>
      </c>
      <c r="J782" s="6">
        <v>80550</v>
      </c>
      <c r="K782" s="3">
        <v>1580550</v>
      </c>
    </row>
    <row r="783" spans="1:11" x14ac:dyDescent="0.25">
      <c r="A783" s="1" t="s">
        <v>2025</v>
      </c>
      <c r="B783" s="1" t="s">
        <v>1536</v>
      </c>
      <c r="C783" s="5">
        <v>5</v>
      </c>
      <c r="D783" s="14">
        <v>2893252</v>
      </c>
      <c r="E783" s="1" t="s">
        <v>1515</v>
      </c>
      <c r="F783" s="17">
        <v>1407288</v>
      </c>
      <c r="G783" s="8">
        <v>45853</v>
      </c>
      <c r="H783" s="1" t="s">
        <v>2519</v>
      </c>
      <c r="I783" s="11" t="s">
        <v>2511</v>
      </c>
      <c r="J783" s="6">
        <v>550505</v>
      </c>
      <c r="K783" s="3">
        <v>15550505</v>
      </c>
    </row>
    <row r="784" spans="1:11" x14ac:dyDescent="0.25">
      <c r="A784" s="1" t="s">
        <v>2798</v>
      </c>
      <c r="B784" s="1" t="s">
        <v>1514</v>
      </c>
      <c r="C784" s="5">
        <v>4</v>
      </c>
      <c r="D784" s="15">
        <v>36423198</v>
      </c>
      <c r="E784" s="1" t="s">
        <v>1515</v>
      </c>
      <c r="F784" s="18">
        <v>2669106</v>
      </c>
      <c r="G784" s="9">
        <v>45684</v>
      </c>
      <c r="H784" s="1" t="s">
        <v>1519</v>
      </c>
      <c r="I784" s="12" t="s">
        <v>1518</v>
      </c>
      <c r="J784" s="6">
        <v>675082</v>
      </c>
      <c r="K784" s="3">
        <v>15675082</v>
      </c>
    </row>
    <row r="785" spans="1:11" x14ac:dyDescent="0.25">
      <c r="A785" s="1" t="s">
        <v>2799</v>
      </c>
      <c r="B785" s="1" t="s">
        <v>1534</v>
      </c>
      <c r="C785" s="5">
        <v>2</v>
      </c>
      <c r="D785" s="14">
        <v>35452638</v>
      </c>
      <c r="E785" s="1" t="s">
        <v>1538</v>
      </c>
      <c r="F785" s="17">
        <v>7718098</v>
      </c>
      <c r="G785" s="8">
        <v>45498</v>
      </c>
      <c r="H785" s="1" t="s">
        <v>2508</v>
      </c>
      <c r="I785" s="11" t="s">
        <v>1518</v>
      </c>
      <c r="J785" s="6">
        <v>554691</v>
      </c>
      <c r="K785" s="3">
        <v>15554691</v>
      </c>
    </row>
    <row r="786" spans="1:11" x14ac:dyDescent="0.25">
      <c r="A786" s="1" t="s">
        <v>2026</v>
      </c>
      <c r="B786" s="1" t="s">
        <v>1514</v>
      </c>
      <c r="C786" s="5">
        <v>3</v>
      </c>
      <c r="D786" s="15">
        <v>14650684</v>
      </c>
      <c r="E786" s="1" t="s">
        <v>1515</v>
      </c>
      <c r="F786" s="18">
        <v>2956424</v>
      </c>
      <c r="G786" s="9">
        <v>45724</v>
      </c>
      <c r="H786" s="1" t="s">
        <v>1543</v>
      </c>
      <c r="I786" s="12" t="s">
        <v>1518</v>
      </c>
      <c r="J786" s="6">
        <v>233885</v>
      </c>
      <c r="K786" s="3">
        <v>15233885</v>
      </c>
    </row>
    <row r="787" spans="1:11" x14ac:dyDescent="0.25">
      <c r="A787" s="1" t="s">
        <v>2027</v>
      </c>
      <c r="B787" s="1" t="s">
        <v>1534</v>
      </c>
      <c r="C787" s="5">
        <v>2</v>
      </c>
      <c r="D787" s="14">
        <v>44464575</v>
      </c>
      <c r="E787" s="1" t="s">
        <v>2504</v>
      </c>
      <c r="F787" s="17">
        <v>8893629</v>
      </c>
      <c r="G787" s="8">
        <v>45632</v>
      </c>
      <c r="H787" s="1" t="s">
        <v>2508</v>
      </c>
      <c r="I787" s="11" t="s">
        <v>2507</v>
      </c>
      <c r="J787" s="6">
        <v>711419</v>
      </c>
      <c r="K787" s="3">
        <v>15711419</v>
      </c>
    </row>
    <row r="788" spans="1:11" x14ac:dyDescent="0.25">
      <c r="A788" s="1" t="s">
        <v>2028</v>
      </c>
      <c r="B788" s="1" t="s">
        <v>1523</v>
      </c>
      <c r="C788" s="5">
        <v>2</v>
      </c>
      <c r="D788" s="15">
        <v>709520</v>
      </c>
      <c r="E788" s="1" t="s">
        <v>1538</v>
      </c>
      <c r="F788" s="18">
        <v>108545</v>
      </c>
      <c r="G788" s="9">
        <v>45810</v>
      </c>
      <c r="H788" s="1" t="s">
        <v>2519</v>
      </c>
      <c r="I788" s="12" t="s">
        <v>2509</v>
      </c>
      <c r="J788" s="6">
        <v>139733</v>
      </c>
      <c r="K788" s="3">
        <v>15139733</v>
      </c>
    </row>
    <row r="789" spans="1:11" x14ac:dyDescent="0.25">
      <c r="A789" s="1" t="s">
        <v>2029</v>
      </c>
      <c r="B789" s="1" t="s">
        <v>1523</v>
      </c>
      <c r="C789" s="5">
        <v>2</v>
      </c>
      <c r="D789" s="14">
        <v>17332356</v>
      </c>
      <c r="E789" s="1" t="s">
        <v>1515</v>
      </c>
      <c r="F789" s="17">
        <v>3727388</v>
      </c>
      <c r="G789" s="8">
        <v>45774</v>
      </c>
      <c r="H789" s="1" t="s">
        <v>2515</v>
      </c>
      <c r="I789" s="11" t="s">
        <v>1512</v>
      </c>
      <c r="J789" s="6">
        <v>272099</v>
      </c>
      <c r="K789" s="3">
        <v>15272099</v>
      </c>
    </row>
    <row r="790" spans="1:11" x14ac:dyDescent="0.25">
      <c r="A790" s="1" t="s">
        <v>2030</v>
      </c>
      <c r="B790" s="1" t="s">
        <v>1540</v>
      </c>
      <c r="C790" s="5">
        <v>3</v>
      </c>
      <c r="D790" s="15">
        <v>1816143</v>
      </c>
      <c r="E790" s="1" t="s">
        <v>2504</v>
      </c>
      <c r="F790" s="18">
        <v>408906</v>
      </c>
      <c r="G790" s="9">
        <v>45830</v>
      </c>
      <c r="H790" s="1" t="s">
        <v>2512</v>
      </c>
      <c r="I790" s="12" t="s">
        <v>1518</v>
      </c>
      <c r="J790" s="6">
        <v>28145</v>
      </c>
      <c r="K790" s="3">
        <v>15028145</v>
      </c>
    </row>
    <row r="791" spans="1:11" x14ac:dyDescent="0.25">
      <c r="A791" s="1" t="s">
        <v>2031</v>
      </c>
      <c r="B791" s="1" t="s">
        <v>1534</v>
      </c>
      <c r="C791" s="5">
        <v>4</v>
      </c>
      <c r="D791" s="14">
        <v>27164929</v>
      </c>
      <c r="E791" s="1" t="s">
        <v>1538</v>
      </c>
      <c r="F791" s="17">
        <v>3797999</v>
      </c>
      <c r="G791" s="8">
        <v>45684</v>
      </c>
      <c r="H791" s="1" t="s">
        <v>2510</v>
      </c>
      <c r="I791" s="11" t="s">
        <v>1521</v>
      </c>
      <c r="J791" s="6">
        <v>467339</v>
      </c>
      <c r="K791" s="3">
        <v>15467339</v>
      </c>
    </row>
    <row r="792" spans="1:11" x14ac:dyDescent="0.25">
      <c r="A792" s="1" t="s">
        <v>2800</v>
      </c>
      <c r="B792" s="1" t="s">
        <v>1527</v>
      </c>
      <c r="C792" s="5">
        <v>3</v>
      </c>
      <c r="D792" s="15">
        <v>29237138</v>
      </c>
      <c r="E792" s="1" t="s">
        <v>1515</v>
      </c>
      <c r="F792" s="18">
        <v>5737954</v>
      </c>
      <c r="G792" s="9">
        <v>45622</v>
      </c>
      <c r="H792" s="1" t="s">
        <v>1516</v>
      </c>
      <c r="I792" s="12" t="s">
        <v>1521</v>
      </c>
      <c r="J792" s="6">
        <v>469984</v>
      </c>
      <c r="K792" s="3">
        <v>15469984</v>
      </c>
    </row>
    <row r="793" spans="1:11" x14ac:dyDescent="0.25">
      <c r="A793" s="1" t="s">
        <v>2032</v>
      </c>
      <c r="B793" s="1" t="s">
        <v>1525</v>
      </c>
      <c r="C793" s="5">
        <v>1</v>
      </c>
      <c r="D793" s="14">
        <v>1292365</v>
      </c>
      <c r="E793" s="1" t="s">
        <v>2504</v>
      </c>
      <c r="F793" s="17">
        <v>38472</v>
      </c>
      <c r="G793" s="8">
        <v>45783</v>
      </c>
      <c r="H793" s="1" t="s">
        <v>1543</v>
      </c>
      <c r="I793" s="11" t="s">
        <v>1521</v>
      </c>
      <c r="J793" s="6">
        <v>25078</v>
      </c>
      <c r="K793" s="3">
        <v>15025078</v>
      </c>
    </row>
    <row r="794" spans="1:11" x14ac:dyDescent="0.25">
      <c r="A794" s="1" t="s">
        <v>2033</v>
      </c>
      <c r="B794" s="1" t="s">
        <v>1525</v>
      </c>
      <c r="C794" s="5">
        <v>2</v>
      </c>
      <c r="D794" s="15">
        <v>31695601</v>
      </c>
      <c r="E794" s="1" t="s">
        <v>1538</v>
      </c>
      <c r="F794" s="18">
        <v>7137647</v>
      </c>
      <c r="G794" s="9">
        <v>45512</v>
      </c>
      <c r="H794" s="1" t="s">
        <v>1516</v>
      </c>
      <c r="I794" s="12" t="s">
        <v>2507</v>
      </c>
      <c r="J794" s="6">
        <v>491159</v>
      </c>
      <c r="K794" s="3">
        <v>15491159</v>
      </c>
    </row>
    <row r="795" spans="1:11" x14ac:dyDescent="0.25">
      <c r="A795" s="1" t="s">
        <v>2034</v>
      </c>
      <c r="B795" s="1" t="s">
        <v>1534</v>
      </c>
      <c r="C795" s="5">
        <v>4</v>
      </c>
      <c r="D795" s="14">
        <v>23831267</v>
      </c>
      <c r="E795" s="1" t="s">
        <v>2504</v>
      </c>
      <c r="F795" s="17">
        <v>5039848</v>
      </c>
      <c r="G795" s="8">
        <v>45611</v>
      </c>
      <c r="H795" s="1" t="s">
        <v>2508</v>
      </c>
      <c r="I795" s="11" t="s">
        <v>1512</v>
      </c>
      <c r="J795" s="6">
        <v>375828</v>
      </c>
      <c r="K795" s="3">
        <v>15375828</v>
      </c>
    </row>
    <row r="796" spans="1:11" x14ac:dyDescent="0.25">
      <c r="A796" s="1" t="s">
        <v>2035</v>
      </c>
      <c r="B796" s="1" t="s">
        <v>1517</v>
      </c>
      <c r="C796" s="5">
        <v>1</v>
      </c>
      <c r="D796" s="15">
        <v>47419267</v>
      </c>
      <c r="E796" s="1" t="s">
        <v>1538</v>
      </c>
      <c r="F796" s="18">
        <v>4741098</v>
      </c>
      <c r="G796" s="9">
        <v>45506</v>
      </c>
      <c r="H796" s="1" t="s">
        <v>2510</v>
      </c>
      <c r="I796" s="12" t="s">
        <v>1518</v>
      </c>
      <c r="J796" s="6">
        <v>853563</v>
      </c>
      <c r="K796" s="3">
        <v>15853563</v>
      </c>
    </row>
    <row r="797" spans="1:11" x14ac:dyDescent="0.25">
      <c r="A797" s="1" t="s">
        <v>2801</v>
      </c>
      <c r="B797" s="1" t="s">
        <v>1514</v>
      </c>
      <c r="C797" s="5">
        <v>4</v>
      </c>
      <c r="D797" s="14">
        <v>11722489</v>
      </c>
      <c r="E797" s="1" t="s">
        <v>2504</v>
      </c>
      <c r="F797" s="17">
        <v>558681</v>
      </c>
      <c r="G797" s="8">
        <v>45519</v>
      </c>
      <c r="H797" s="1" t="s">
        <v>2515</v>
      </c>
      <c r="I797" s="11" t="s">
        <v>1521</v>
      </c>
      <c r="J797" s="6">
        <v>223276</v>
      </c>
      <c r="K797" s="3">
        <v>15223276</v>
      </c>
    </row>
    <row r="798" spans="1:11" x14ac:dyDescent="0.25">
      <c r="A798" s="1" t="s">
        <v>2036</v>
      </c>
      <c r="B798" s="1" t="s">
        <v>1527</v>
      </c>
      <c r="C798" s="5">
        <v>4</v>
      </c>
      <c r="D798" s="15">
        <v>355425</v>
      </c>
      <c r="E798" s="1" t="s">
        <v>1538</v>
      </c>
      <c r="F798" s="18">
        <v>77976</v>
      </c>
      <c r="G798" s="9">
        <v>45760</v>
      </c>
      <c r="H798" s="1" t="s">
        <v>2510</v>
      </c>
      <c r="I798" s="12" t="s">
        <v>2511</v>
      </c>
      <c r="J798" s="6">
        <v>5549</v>
      </c>
      <c r="K798" s="3">
        <v>1505549</v>
      </c>
    </row>
    <row r="799" spans="1:11" x14ac:dyDescent="0.25">
      <c r="A799" s="1" t="s">
        <v>2037</v>
      </c>
      <c r="B799" s="1" t="s">
        <v>1525</v>
      </c>
      <c r="C799" s="5">
        <v>2</v>
      </c>
      <c r="D799" s="14">
        <v>20107825</v>
      </c>
      <c r="E799" s="1" t="s">
        <v>1538</v>
      </c>
      <c r="F799" s="17">
        <v>2976712</v>
      </c>
      <c r="G799" s="8">
        <v>45721</v>
      </c>
      <c r="H799" s="1" t="s">
        <v>2510</v>
      </c>
      <c r="I799" s="11" t="s">
        <v>1512</v>
      </c>
      <c r="J799" s="6">
        <v>342622</v>
      </c>
      <c r="K799" s="3">
        <v>15342622</v>
      </c>
    </row>
    <row r="800" spans="1:11" x14ac:dyDescent="0.25">
      <c r="A800" s="1" t="s">
        <v>2038</v>
      </c>
      <c r="B800" s="1" t="s">
        <v>1527</v>
      </c>
      <c r="C800" s="5">
        <v>4</v>
      </c>
      <c r="D800" s="15">
        <v>46697322</v>
      </c>
      <c r="E800" s="1" t="s">
        <v>2504</v>
      </c>
      <c r="F800" s="18">
        <v>7413135</v>
      </c>
      <c r="G800" s="9">
        <v>45605</v>
      </c>
      <c r="H800" s="1" t="s">
        <v>1522</v>
      </c>
      <c r="I800" s="12" t="s">
        <v>1521</v>
      </c>
      <c r="J800" s="6">
        <v>785684</v>
      </c>
      <c r="K800" s="3">
        <v>15785684</v>
      </c>
    </row>
    <row r="801" spans="1:11" x14ac:dyDescent="0.25">
      <c r="A801" s="1" t="s">
        <v>2802</v>
      </c>
      <c r="B801" s="1" t="s">
        <v>1536</v>
      </c>
      <c r="C801" s="5">
        <v>5</v>
      </c>
      <c r="D801" s="14">
        <v>811137</v>
      </c>
      <c r="E801" s="1" t="s">
        <v>1538</v>
      </c>
      <c r="F801" s="17">
        <v>1435262</v>
      </c>
      <c r="G801" s="8">
        <v>45526</v>
      </c>
      <c r="H801" s="1" t="s">
        <v>2510</v>
      </c>
      <c r="I801" s="11" t="s">
        <v>1521</v>
      </c>
      <c r="J801" s="6">
        <v>133522</v>
      </c>
      <c r="K801" s="3">
        <v>15133522</v>
      </c>
    </row>
    <row r="802" spans="1:11" x14ac:dyDescent="0.25">
      <c r="A802" s="1" t="s">
        <v>2803</v>
      </c>
      <c r="B802" s="1" t="s">
        <v>1540</v>
      </c>
      <c r="C802" s="5">
        <v>2</v>
      </c>
      <c r="D802" s="15">
        <v>25243497</v>
      </c>
      <c r="E802" s="1" t="s">
        <v>1538</v>
      </c>
      <c r="F802" s="18">
        <v>5232141</v>
      </c>
      <c r="G802" s="9">
        <v>45762</v>
      </c>
      <c r="H802" s="1" t="s">
        <v>1543</v>
      </c>
      <c r="I802" s="12" t="s">
        <v>1521</v>
      </c>
      <c r="J802" s="6">
        <v>400227</v>
      </c>
      <c r="K802" s="3">
        <v>15400227</v>
      </c>
    </row>
    <row r="803" spans="1:11" x14ac:dyDescent="0.25">
      <c r="A803" s="1" t="s">
        <v>2039</v>
      </c>
      <c r="B803" s="1" t="s">
        <v>1514</v>
      </c>
      <c r="C803" s="5">
        <v>5</v>
      </c>
      <c r="D803" s="14">
        <v>49712533</v>
      </c>
      <c r="E803" s="1" t="s">
        <v>1538</v>
      </c>
      <c r="F803" s="17">
        <v>12338821</v>
      </c>
      <c r="G803" s="8">
        <v>45674</v>
      </c>
      <c r="H803" s="1" t="s">
        <v>2515</v>
      </c>
      <c r="I803" s="11" t="s">
        <v>2511</v>
      </c>
      <c r="J803" s="6">
        <v>747474</v>
      </c>
      <c r="K803" s="3">
        <v>15747474</v>
      </c>
    </row>
    <row r="804" spans="1:11" x14ac:dyDescent="0.25">
      <c r="A804" s="1" t="s">
        <v>2040</v>
      </c>
      <c r="B804" s="1" t="s">
        <v>1517</v>
      </c>
      <c r="C804" s="5">
        <v>4</v>
      </c>
      <c r="D804" s="15">
        <v>19543102</v>
      </c>
      <c r="E804" s="1" t="s">
        <v>1538</v>
      </c>
      <c r="F804" s="18">
        <v>3359631</v>
      </c>
      <c r="G804" s="9">
        <v>45669</v>
      </c>
      <c r="H804" s="1" t="s">
        <v>2519</v>
      </c>
      <c r="I804" s="12" t="s">
        <v>2511</v>
      </c>
      <c r="J804" s="6">
        <v>323669</v>
      </c>
      <c r="K804" s="3">
        <v>15323669</v>
      </c>
    </row>
    <row r="805" spans="1:11" x14ac:dyDescent="0.25">
      <c r="A805" s="1" t="s">
        <v>2804</v>
      </c>
      <c r="B805" s="1" t="s">
        <v>1532</v>
      </c>
      <c r="C805" s="5">
        <v>2</v>
      </c>
      <c r="D805" s="14">
        <v>46026945</v>
      </c>
      <c r="E805" s="1" t="s">
        <v>1515</v>
      </c>
      <c r="F805" s="17">
        <v>3745758</v>
      </c>
      <c r="G805" s="8">
        <v>45685</v>
      </c>
      <c r="H805" s="1" t="s">
        <v>1519</v>
      </c>
      <c r="I805" s="11" t="s">
        <v>1518</v>
      </c>
      <c r="J805" s="6">
        <v>845624</v>
      </c>
      <c r="K805" s="3">
        <v>15845624</v>
      </c>
    </row>
    <row r="806" spans="1:11" x14ac:dyDescent="0.25">
      <c r="A806" s="1" t="s">
        <v>2041</v>
      </c>
      <c r="B806" s="1" t="s">
        <v>1527</v>
      </c>
      <c r="C806" s="5">
        <v>5</v>
      </c>
      <c r="D806" s="15">
        <v>1204849</v>
      </c>
      <c r="E806" s="1" t="s">
        <v>1538</v>
      </c>
      <c r="F806" s="18">
        <v>1043135</v>
      </c>
      <c r="G806" s="9">
        <v>45827</v>
      </c>
      <c r="H806" s="1" t="s">
        <v>1519</v>
      </c>
      <c r="I806" s="12" t="s">
        <v>1518</v>
      </c>
      <c r="J806" s="6">
        <v>220107</v>
      </c>
      <c r="K806" s="3">
        <v>15220107</v>
      </c>
    </row>
    <row r="807" spans="1:11" x14ac:dyDescent="0.25">
      <c r="A807" s="1" t="s">
        <v>2042</v>
      </c>
      <c r="B807" s="1" t="s">
        <v>1534</v>
      </c>
      <c r="C807" s="5">
        <v>4</v>
      </c>
      <c r="D807" s="14">
        <v>37918982</v>
      </c>
      <c r="E807" s="1" t="s">
        <v>1538</v>
      </c>
      <c r="F807" s="17">
        <v>6898681</v>
      </c>
      <c r="G807" s="8">
        <v>45759</v>
      </c>
      <c r="H807" s="1" t="s">
        <v>2519</v>
      </c>
      <c r="I807" s="11" t="s">
        <v>2509</v>
      </c>
      <c r="J807" s="6">
        <v>620406</v>
      </c>
      <c r="K807" s="3">
        <v>15620406</v>
      </c>
    </row>
    <row r="808" spans="1:11" x14ac:dyDescent="0.25">
      <c r="A808" s="1" t="s">
        <v>2043</v>
      </c>
      <c r="B808" s="1" t="s">
        <v>1534</v>
      </c>
      <c r="C808" s="5">
        <v>5</v>
      </c>
      <c r="D808" s="15">
        <v>42205795</v>
      </c>
      <c r="E808" s="1" t="s">
        <v>1538</v>
      </c>
      <c r="F808" s="18">
        <v>7914733</v>
      </c>
      <c r="G808" s="9">
        <v>45794</v>
      </c>
      <c r="H808" s="1" t="s">
        <v>2519</v>
      </c>
      <c r="I808" s="12" t="s">
        <v>2511</v>
      </c>
      <c r="J808" s="6">
        <v>685821</v>
      </c>
      <c r="K808" s="3">
        <v>15685821</v>
      </c>
    </row>
    <row r="809" spans="1:11" x14ac:dyDescent="0.25">
      <c r="A809" s="1" t="s">
        <v>2805</v>
      </c>
      <c r="B809" s="1" t="s">
        <v>1514</v>
      </c>
      <c r="C809" s="5">
        <v>2</v>
      </c>
      <c r="D809" s="14">
        <v>31859637</v>
      </c>
      <c r="E809" s="1" t="s">
        <v>1515</v>
      </c>
      <c r="F809" s="17">
        <v>1961213</v>
      </c>
      <c r="G809" s="8">
        <v>45499</v>
      </c>
      <c r="H809" s="1" t="s">
        <v>1519</v>
      </c>
      <c r="I809" s="11" t="s">
        <v>2509</v>
      </c>
      <c r="J809" s="6">
        <v>597968</v>
      </c>
      <c r="K809" s="3">
        <v>15597968</v>
      </c>
    </row>
    <row r="810" spans="1:11" x14ac:dyDescent="0.25">
      <c r="A810" s="1" t="s">
        <v>2044</v>
      </c>
      <c r="B810" s="1" t="s">
        <v>1517</v>
      </c>
      <c r="C810" s="5">
        <v>4</v>
      </c>
      <c r="D810" s="15">
        <v>22092549</v>
      </c>
      <c r="E810" s="1" t="s">
        <v>1515</v>
      </c>
      <c r="F810" s="18">
        <v>4579269</v>
      </c>
      <c r="G810" s="9">
        <v>45640</v>
      </c>
      <c r="H810" s="1" t="s">
        <v>2508</v>
      </c>
      <c r="I810" s="12" t="s">
        <v>2511</v>
      </c>
      <c r="J810" s="6">
        <v>350266</v>
      </c>
      <c r="K810" s="3">
        <v>15350266</v>
      </c>
    </row>
    <row r="811" spans="1:11" x14ac:dyDescent="0.25">
      <c r="A811" s="1" t="s">
        <v>2806</v>
      </c>
      <c r="B811" s="1" t="s">
        <v>1536</v>
      </c>
      <c r="C811" s="5">
        <v>1</v>
      </c>
      <c r="D811" s="14">
        <v>1228766</v>
      </c>
      <c r="E811" s="1" t="s">
        <v>1515</v>
      </c>
      <c r="F811" s="17">
        <v>2639</v>
      </c>
      <c r="G811" s="8">
        <v>45660</v>
      </c>
      <c r="H811" s="1" t="s">
        <v>1513</v>
      </c>
      <c r="I811" s="11" t="s">
        <v>2507</v>
      </c>
      <c r="J811" s="6">
        <v>24048</v>
      </c>
      <c r="K811" s="3">
        <v>15024048</v>
      </c>
    </row>
    <row r="812" spans="1:11" x14ac:dyDescent="0.25">
      <c r="A812" s="1" t="s">
        <v>2045</v>
      </c>
      <c r="B812" s="1" t="s">
        <v>1525</v>
      </c>
      <c r="C812" s="5">
        <v>4</v>
      </c>
      <c r="D812" s="15">
        <v>16079866</v>
      </c>
      <c r="E812" s="1" t="s">
        <v>2504</v>
      </c>
      <c r="F812" s="18">
        <v>1834529</v>
      </c>
      <c r="G812" s="9">
        <v>45701</v>
      </c>
      <c r="H812" s="1" t="s">
        <v>2510</v>
      </c>
      <c r="I812" s="12" t="s">
        <v>2511</v>
      </c>
      <c r="J812" s="6">
        <v>284907</v>
      </c>
      <c r="K812" s="3">
        <v>15284907</v>
      </c>
    </row>
    <row r="813" spans="1:11" x14ac:dyDescent="0.25">
      <c r="A813" s="1" t="s">
        <v>2807</v>
      </c>
      <c r="B813" s="1" t="s">
        <v>1545</v>
      </c>
      <c r="C813" s="5">
        <v>1</v>
      </c>
      <c r="D813" s="14">
        <v>21840314</v>
      </c>
      <c r="E813" s="1" t="s">
        <v>1538</v>
      </c>
      <c r="F813" s="17">
        <v>3212146</v>
      </c>
      <c r="G813" s="8">
        <v>45642</v>
      </c>
      <c r="H813" s="1" t="s">
        <v>1543</v>
      </c>
      <c r="I813" s="11" t="s">
        <v>2507</v>
      </c>
      <c r="J813" s="6">
        <v>372563</v>
      </c>
      <c r="K813" s="3">
        <v>15372563</v>
      </c>
    </row>
    <row r="814" spans="1:11" x14ac:dyDescent="0.25">
      <c r="A814" s="1" t="s">
        <v>2046</v>
      </c>
      <c r="B814" s="1" t="s">
        <v>1517</v>
      </c>
      <c r="C814" s="5">
        <v>5</v>
      </c>
      <c r="D814" s="15">
        <v>30235766</v>
      </c>
      <c r="E814" s="1" t="s">
        <v>1515</v>
      </c>
      <c r="F814" s="18">
        <v>2418557</v>
      </c>
      <c r="G814" s="9">
        <v>45710</v>
      </c>
      <c r="H814" s="1" t="s">
        <v>1519</v>
      </c>
      <c r="I814" s="12" t="s">
        <v>2507</v>
      </c>
      <c r="J814" s="6">
        <v>556344</v>
      </c>
      <c r="K814" s="3">
        <v>15556344</v>
      </c>
    </row>
    <row r="815" spans="1:11" x14ac:dyDescent="0.25">
      <c r="A815" s="1" t="s">
        <v>2047</v>
      </c>
      <c r="B815" s="1" t="s">
        <v>1534</v>
      </c>
      <c r="C815" s="5">
        <v>1</v>
      </c>
      <c r="D815" s="14">
        <v>17221369</v>
      </c>
      <c r="E815" s="1" t="s">
        <v>2504</v>
      </c>
      <c r="F815" s="17">
        <v>3505987</v>
      </c>
      <c r="G815" s="8">
        <v>45546</v>
      </c>
      <c r="H815" s="1" t="s">
        <v>1513</v>
      </c>
      <c r="I815" s="11" t="s">
        <v>2509</v>
      </c>
      <c r="J815" s="6">
        <v>274308</v>
      </c>
      <c r="K815" s="3">
        <v>15274308</v>
      </c>
    </row>
    <row r="816" spans="1:11" x14ac:dyDescent="0.25">
      <c r="A816" s="1" t="s">
        <v>2048</v>
      </c>
      <c r="B816" s="1" t="s">
        <v>1525</v>
      </c>
      <c r="C816" s="5">
        <v>1</v>
      </c>
      <c r="D816" s="15">
        <v>19704963</v>
      </c>
      <c r="E816" s="1" t="s">
        <v>1515</v>
      </c>
      <c r="F816" s="18">
        <v>4055269</v>
      </c>
      <c r="G816" s="9">
        <v>45505</v>
      </c>
      <c r="H816" s="1" t="s">
        <v>2508</v>
      </c>
      <c r="I816" s="12" t="s">
        <v>2511</v>
      </c>
      <c r="J816" s="6">
        <v>312994</v>
      </c>
      <c r="K816" s="3">
        <v>15312994</v>
      </c>
    </row>
    <row r="817" spans="1:11" x14ac:dyDescent="0.25">
      <c r="A817" s="1" t="s">
        <v>2049</v>
      </c>
      <c r="B817" s="1" t="s">
        <v>1523</v>
      </c>
      <c r="C817" s="5">
        <v>3</v>
      </c>
      <c r="D817" s="14">
        <v>15062219</v>
      </c>
      <c r="E817" s="1" t="s">
        <v>1515</v>
      </c>
      <c r="F817" s="17">
        <v>120813</v>
      </c>
      <c r="G817" s="8">
        <v>45671</v>
      </c>
      <c r="H817" s="1" t="s">
        <v>1516</v>
      </c>
      <c r="I817" s="11" t="s">
        <v>1521</v>
      </c>
      <c r="J817" s="6">
        <v>277082</v>
      </c>
      <c r="K817" s="3">
        <v>15277082</v>
      </c>
    </row>
    <row r="818" spans="1:11" x14ac:dyDescent="0.25">
      <c r="A818" s="1" t="s">
        <v>2050</v>
      </c>
      <c r="B818" s="1" t="s">
        <v>1536</v>
      </c>
      <c r="C818" s="5">
        <v>5</v>
      </c>
      <c r="D818" s="15">
        <v>25588244</v>
      </c>
      <c r="E818" s="1" t="s">
        <v>1515</v>
      </c>
      <c r="F818" s="18">
        <v>941447</v>
      </c>
      <c r="G818" s="9">
        <v>45788</v>
      </c>
      <c r="H818" s="1" t="s">
        <v>1519</v>
      </c>
      <c r="I818" s="12" t="s">
        <v>1521</v>
      </c>
      <c r="J818" s="6">
        <v>492936</v>
      </c>
      <c r="K818" s="3">
        <v>15492936</v>
      </c>
    </row>
    <row r="819" spans="1:11" x14ac:dyDescent="0.25">
      <c r="A819" s="1" t="s">
        <v>2808</v>
      </c>
      <c r="B819" s="1" t="s">
        <v>1540</v>
      </c>
      <c r="C819" s="5">
        <v>3</v>
      </c>
      <c r="D819" s="14">
        <v>23752668</v>
      </c>
      <c r="E819" s="1" t="s">
        <v>1538</v>
      </c>
      <c r="F819" s="17">
        <v>355514</v>
      </c>
      <c r="G819" s="8">
        <v>45742</v>
      </c>
      <c r="H819" s="1" t="s">
        <v>2512</v>
      </c>
      <c r="I819" s="11" t="s">
        <v>1518</v>
      </c>
      <c r="J819" s="6">
        <v>403951</v>
      </c>
      <c r="K819" s="3">
        <v>15403951</v>
      </c>
    </row>
    <row r="820" spans="1:11" x14ac:dyDescent="0.25">
      <c r="A820" s="1" t="s">
        <v>2809</v>
      </c>
      <c r="B820" s="1" t="s">
        <v>1534</v>
      </c>
      <c r="C820" s="5">
        <v>1</v>
      </c>
      <c r="D820" s="15">
        <v>42895717</v>
      </c>
      <c r="E820" s="1" t="s">
        <v>2504</v>
      </c>
      <c r="F820" s="18">
        <v>12814</v>
      </c>
      <c r="G820" s="9">
        <v>45852</v>
      </c>
      <c r="H820" s="1" t="s">
        <v>1519</v>
      </c>
      <c r="I820" s="12" t="s">
        <v>2511</v>
      </c>
      <c r="J820" s="6">
        <v>857658</v>
      </c>
      <c r="K820" s="3">
        <v>15857658</v>
      </c>
    </row>
    <row r="821" spans="1:11" x14ac:dyDescent="0.25">
      <c r="A821" s="1" t="s">
        <v>2051</v>
      </c>
      <c r="B821" s="1" t="s">
        <v>1532</v>
      </c>
      <c r="C821" s="5">
        <v>4</v>
      </c>
      <c r="D821" s="14">
        <v>35775938</v>
      </c>
      <c r="E821" s="1" t="s">
        <v>1538</v>
      </c>
      <c r="F821" s="17">
        <v>6099619</v>
      </c>
      <c r="G821" s="8">
        <v>45528</v>
      </c>
      <c r="H821" s="1" t="s">
        <v>1543</v>
      </c>
      <c r="I821" s="11" t="s">
        <v>1518</v>
      </c>
      <c r="J821" s="6">
        <v>593526</v>
      </c>
      <c r="K821" s="3">
        <v>15593526</v>
      </c>
    </row>
    <row r="822" spans="1:11" x14ac:dyDescent="0.25">
      <c r="A822" s="1" t="s">
        <v>2052</v>
      </c>
      <c r="B822" s="1" t="s">
        <v>1525</v>
      </c>
      <c r="C822" s="5">
        <v>5</v>
      </c>
      <c r="D822" s="15">
        <v>36495333</v>
      </c>
      <c r="E822" s="1" t="s">
        <v>1538</v>
      </c>
      <c r="F822" s="18">
        <v>1694607</v>
      </c>
      <c r="G822" s="9">
        <v>45541</v>
      </c>
      <c r="H822" s="1" t="s">
        <v>1543</v>
      </c>
      <c r="I822" s="12" t="s">
        <v>1518</v>
      </c>
      <c r="J822" s="6">
        <v>696015</v>
      </c>
      <c r="K822" s="3">
        <v>15696015</v>
      </c>
    </row>
    <row r="823" spans="1:11" x14ac:dyDescent="0.25">
      <c r="A823" s="1" t="s">
        <v>2053</v>
      </c>
      <c r="B823" s="1" t="s">
        <v>1514</v>
      </c>
      <c r="C823" s="5">
        <v>5</v>
      </c>
      <c r="D823" s="14">
        <v>12534091</v>
      </c>
      <c r="E823" s="1" t="s">
        <v>2504</v>
      </c>
      <c r="F823" s="17">
        <v>3037082</v>
      </c>
      <c r="G823" s="8">
        <v>45823</v>
      </c>
      <c r="H823" s="1" t="s">
        <v>2519</v>
      </c>
      <c r="I823" s="11" t="s">
        <v>1512</v>
      </c>
      <c r="J823" s="6">
        <v>18994</v>
      </c>
      <c r="K823" s="3">
        <v>1518994</v>
      </c>
    </row>
    <row r="824" spans="1:11" x14ac:dyDescent="0.25">
      <c r="A824" s="1" t="s">
        <v>2054</v>
      </c>
      <c r="B824" s="1" t="s">
        <v>1514</v>
      </c>
      <c r="C824" s="5">
        <v>3</v>
      </c>
      <c r="D824" s="15">
        <v>48755181</v>
      </c>
      <c r="E824" s="1" t="s">
        <v>1515</v>
      </c>
      <c r="F824" s="18">
        <v>5685998</v>
      </c>
      <c r="G824" s="9">
        <v>45753</v>
      </c>
      <c r="H824" s="1" t="s">
        <v>2515</v>
      </c>
      <c r="I824" s="12" t="s">
        <v>2507</v>
      </c>
      <c r="J824" s="6">
        <v>861384</v>
      </c>
      <c r="K824" s="3">
        <v>15861384</v>
      </c>
    </row>
    <row r="825" spans="1:11" x14ac:dyDescent="0.25">
      <c r="A825" s="1" t="s">
        <v>2055</v>
      </c>
      <c r="B825" s="1" t="s">
        <v>1534</v>
      </c>
      <c r="C825" s="5">
        <v>2</v>
      </c>
      <c r="D825" s="14">
        <v>19864476</v>
      </c>
      <c r="E825" s="1" t="s">
        <v>1515</v>
      </c>
      <c r="F825" s="17">
        <v>985641</v>
      </c>
      <c r="G825" s="8">
        <v>45573</v>
      </c>
      <c r="H825" s="1" t="s">
        <v>1516</v>
      </c>
      <c r="I825" s="11" t="s">
        <v>1512</v>
      </c>
      <c r="J825" s="6">
        <v>377577</v>
      </c>
      <c r="K825" s="3">
        <v>15377577</v>
      </c>
    </row>
    <row r="826" spans="1:11" x14ac:dyDescent="0.25">
      <c r="A826" s="1" t="s">
        <v>2810</v>
      </c>
      <c r="B826" s="1" t="s">
        <v>1540</v>
      </c>
      <c r="C826" s="5">
        <v>5</v>
      </c>
      <c r="D826" s="15">
        <v>2586999</v>
      </c>
      <c r="E826" s="1" t="s">
        <v>1538</v>
      </c>
      <c r="F826" s="18">
        <v>248249</v>
      </c>
      <c r="G826" s="9">
        <v>45556</v>
      </c>
      <c r="H826" s="1" t="s">
        <v>1519</v>
      </c>
      <c r="I826" s="12" t="s">
        <v>1518</v>
      </c>
      <c r="J826" s="6">
        <v>46775</v>
      </c>
      <c r="K826" s="3">
        <v>15046775</v>
      </c>
    </row>
    <row r="827" spans="1:11" x14ac:dyDescent="0.25">
      <c r="A827" s="1" t="s">
        <v>2056</v>
      </c>
      <c r="B827" s="1" t="s">
        <v>1525</v>
      </c>
      <c r="C827" s="5">
        <v>1</v>
      </c>
      <c r="D827" s="14">
        <v>28823952</v>
      </c>
      <c r="E827" s="1" t="s">
        <v>2504</v>
      </c>
      <c r="F827" s="17">
        <v>4829251</v>
      </c>
      <c r="G827" s="8">
        <v>45634</v>
      </c>
      <c r="H827" s="1" t="s">
        <v>2510</v>
      </c>
      <c r="I827" s="11" t="s">
        <v>2511</v>
      </c>
      <c r="J827" s="6">
        <v>479894</v>
      </c>
      <c r="K827" s="3">
        <v>15479894</v>
      </c>
    </row>
    <row r="828" spans="1:11" x14ac:dyDescent="0.25">
      <c r="A828" s="1" t="s">
        <v>2057</v>
      </c>
      <c r="B828" s="1" t="s">
        <v>1525</v>
      </c>
      <c r="C828" s="5">
        <v>5</v>
      </c>
      <c r="D828" s="15">
        <v>14011459</v>
      </c>
      <c r="E828" s="1" t="s">
        <v>1538</v>
      </c>
      <c r="F828" s="18">
        <v>902599</v>
      </c>
      <c r="G828" s="9">
        <v>45512</v>
      </c>
      <c r="H828" s="1" t="s">
        <v>2512</v>
      </c>
      <c r="I828" s="12" t="s">
        <v>2511</v>
      </c>
      <c r="J828" s="6">
        <v>262177</v>
      </c>
      <c r="K828" s="3">
        <v>15262177</v>
      </c>
    </row>
    <row r="829" spans="1:11" x14ac:dyDescent="0.25">
      <c r="A829" s="1" t="s">
        <v>2811</v>
      </c>
      <c r="B829" s="1" t="s">
        <v>1525</v>
      </c>
      <c r="C829" s="5">
        <v>3</v>
      </c>
      <c r="D829" s="14">
        <v>5950431</v>
      </c>
      <c r="E829" s="1" t="s">
        <v>1538</v>
      </c>
      <c r="F829" s="17">
        <v>1433477</v>
      </c>
      <c r="G829" s="8">
        <v>45641</v>
      </c>
      <c r="H829" s="1" t="s">
        <v>1543</v>
      </c>
      <c r="I829" s="11" t="s">
        <v>1521</v>
      </c>
      <c r="J829" s="6">
        <v>90339</v>
      </c>
      <c r="K829" s="3">
        <v>15090339</v>
      </c>
    </row>
    <row r="830" spans="1:11" x14ac:dyDescent="0.25">
      <c r="A830" s="1" t="s">
        <v>2058</v>
      </c>
      <c r="B830" s="1" t="s">
        <v>1527</v>
      </c>
      <c r="C830" s="5">
        <v>5</v>
      </c>
      <c r="D830" s="15">
        <v>25598329</v>
      </c>
      <c r="E830" s="1" t="s">
        <v>2504</v>
      </c>
      <c r="F830" s="18">
        <v>202785</v>
      </c>
      <c r="G830" s="9">
        <v>45773</v>
      </c>
      <c r="H830" s="1" t="s">
        <v>2510</v>
      </c>
      <c r="I830" s="12" t="s">
        <v>1521</v>
      </c>
      <c r="J830" s="6">
        <v>507911</v>
      </c>
      <c r="K830" s="3">
        <v>15507911</v>
      </c>
    </row>
    <row r="831" spans="1:11" x14ac:dyDescent="0.25">
      <c r="A831" s="1" t="s">
        <v>2812</v>
      </c>
      <c r="B831" s="1" t="s">
        <v>1514</v>
      </c>
      <c r="C831" s="5">
        <v>2</v>
      </c>
      <c r="D831" s="14">
        <v>42900024</v>
      </c>
      <c r="E831" s="1" t="s">
        <v>2504</v>
      </c>
      <c r="F831" s="17">
        <v>7116715</v>
      </c>
      <c r="G831" s="8">
        <v>45780</v>
      </c>
      <c r="H831" s="1" t="s">
        <v>1519</v>
      </c>
      <c r="I831" s="11" t="s">
        <v>1518</v>
      </c>
      <c r="J831" s="6">
        <v>715666</v>
      </c>
      <c r="K831" s="3">
        <v>15715666</v>
      </c>
    </row>
    <row r="832" spans="1:11" x14ac:dyDescent="0.25">
      <c r="A832" s="1" t="s">
        <v>2059</v>
      </c>
      <c r="B832" s="1" t="s">
        <v>1527</v>
      </c>
      <c r="C832" s="5">
        <v>3</v>
      </c>
      <c r="D832" s="15">
        <v>9136307</v>
      </c>
      <c r="E832" s="1" t="s">
        <v>2504</v>
      </c>
      <c r="F832" s="18">
        <v>234758</v>
      </c>
      <c r="G832" s="9">
        <v>45827</v>
      </c>
      <c r="H832" s="1" t="s">
        <v>1543</v>
      </c>
      <c r="I832" s="12" t="s">
        <v>1512</v>
      </c>
      <c r="J832" s="6">
        <v>178031</v>
      </c>
      <c r="K832" s="3">
        <v>15178031</v>
      </c>
    </row>
    <row r="833" spans="1:11" x14ac:dyDescent="0.25">
      <c r="A833" s="1" t="s">
        <v>2060</v>
      </c>
      <c r="B833" s="1" t="s">
        <v>1536</v>
      </c>
      <c r="C833" s="5">
        <v>1</v>
      </c>
      <c r="D833" s="14">
        <v>6456768</v>
      </c>
      <c r="E833" s="1" t="s">
        <v>1515</v>
      </c>
      <c r="F833" s="17">
        <v>737966</v>
      </c>
      <c r="G833" s="8">
        <v>45851</v>
      </c>
      <c r="H833" s="1" t="s">
        <v>2515</v>
      </c>
      <c r="I833" s="11" t="s">
        <v>2511</v>
      </c>
      <c r="J833" s="6">
        <v>114376</v>
      </c>
      <c r="K833" s="3">
        <v>15114376</v>
      </c>
    </row>
    <row r="834" spans="1:11" x14ac:dyDescent="0.25">
      <c r="A834" s="1" t="s">
        <v>2813</v>
      </c>
      <c r="B834" s="1" t="s">
        <v>1514</v>
      </c>
      <c r="C834" s="5">
        <v>1</v>
      </c>
      <c r="D834" s="15">
        <v>13506193</v>
      </c>
      <c r="E834" s="1" t="s">
        <v>1515</v>
      </c>
      <c r="F834" s="18">
        <v>2051136</v>
      </c>
      <c r="G834" s="9">
        <v>45810</v>
      </c>
      <c r="H834" s="1" t="s">
        <v>2512</v>
      </c>
      <c r="I834" s="12" t="s">
        <v>2507</v>
      </c>
      <c r="J834" s="6">
        <v>229101</v>
      </c>
      <c r="K834" s="3">
        <v>15229101</v>
      </c>
    </row>
    <row r="835" spans="1:11" x14ac:dyDescent="0.25">
      <c r="A835" s="1" t="s">
        <v>2061</v>
      </c>
      <c r="B835" s="1" t="s">
        <v>1534</v>
      </c>
      <c r="C835" s="5">
        <v>1</v>
      </c>
      <c r="D835" s="14">
        <v>4680984</v>
      </c>
      <c r="E835" s="1" t="s">
        <v>2504</v>
      </c>
      <c r="F835" s="17">
        <v>232011</v>
      </c>
      <c r="G835" s="8">
        <v>45632</v>
      </c>
      <c r="H835" s="1" t="s">
        <v>1516</v>
      </c>
      <c r="I835" s="11" t="s">
        <v>1512</v>
      </c>
      <c r="J835" s="6">
        <v>88979</v>
      </c>
      <c r="K835" s="3">
        <v>15088979</v>
      </c>
    </row>
    <row r="836" spans="1:11" x14ac:dyDescent="0.25">
      <c r="A836" s="1" t="s">
        <v>2062</v>
      </c>
      <c r="B836" s="1" t="s">
        <v>1527</v>
      </c>
      <c r="C836" s="5">
        <v>3</v>
      </c>
      <c r="D836" s="15">
        <v>8739087</v>
      </c>
      <c r="E836" s="1" t="s">
        <v>1538</v>
      </c>
      <c r="F836" s="18">
        <v>1841452</v>
      </c>
      <c r="G836" s="9">
        <v>45609</v>
      </c>
      <c r="H836" s="1" t="s">
        <v>2508</v>
      </c>
      <c r="I836" s="12" t="s">
        <v>1518</v>
      </c>
      <c r="J836" s="6">
        <v>137953</v>
      </c>
      <c r="K836" s="3">
        <v>15137953</v>
      </c>
    </row>
    <row r="837" spans="1:11" x14ac:dyDescent="0.25">
      <c r="A837" s="1" t="s">
        <v>2063</v>
      </c>
      <c r="B837" s="1" t="s">
        <v>1527</v>
      </c>
      <c r="C837" s="5">
        <v>4</v>
      </c>
      <c r="D837" s="14">
        <v>38225371</v>
      </c>
      <c r="E837" s="1" t="s">
        <v>2504</v>
      </c>
      <c r="F837" s="17">
        <v>8266448</v>
      </c>
      <c r="G837" s="8">
        <v>45512</v>
      </c>
      <c r="H837" s="1" t="s">
        <v>1522</v>
      </c>
      <c r="I837" s="11" t="s">
        <v>1518</v>
      </c>
      <c r="J837" s="6">
        <v>599178</v>
      </c>
      <c r="K837" s="3">
        <v>15599178</v>
      </c>
    </row>
    <row r="838" spans="1:11" x14ac:dyDescent="0.25">
      <c r="A838" s="1" t="s">
        <v>2064</v>
      </c>
      <c r="B838" s="1" t="s">
        <v>1514</v>
      </c>
      <c r="C838" s="5">
        <v>1</v>
      </c>
      <c r="D838" s="15">
        <v>48999255</v>
      </c>
      <c r="E838" s="1" t="s">
        <v>2504</v>
      </c>
      <c r="F838" s="18">
        <v>633504</v>
      </c>
      <c r="G838" s="9">
        <v>45642</v>
      </c>
      <c r="H838" s="1" t="s">
        <v>1513</v>
      </c>
      <c r="I838" s="12" t="s">
        <v>1512</v>
      </c>
      <c r="J838" s="6">
        <v>967315</v>
      </c>
      <c r="K838" s="3">
        <v>15967315</v>
      </c>
    </row>
    <row r="839" spans="1:11" x14ac:dyDescent="0.25">
      <c r="A839" s="1" t="s">
        <v>2814</v>
      </c>
      <c r="B839" s="1" t="s">
        <v>1527</v>
      </c>
      <c r="C839" s="5">
        <v>4</v>
      </c>
      <c r="D839" s="14">
        <v>36175463</v>
      </c>
      <c r="E839" s="1" t="s">
        <v>1515</v>
      </c>
      <c r="F839" s="17">
        <v>8635629</v>
      </c>
      <c r="G839" s="8">
        <v>45737</v>
      </c>
      <c r="H839" s="1" t="s">
        <v>2515</v>
      </c>
      <c r="I839" s="11" t="s">
        <v>2507</v>
      </c>
      <c r="J839" s="6">
        <v>550797</v>
      </c>
      <c r="K839" s="3">
        <v>15550797</v>
      </c>
    </row>
    <row r="840" spans="1:11" x14ac:dyDescent="0.25">
      <c r="A840" s="1" t="s">
        <v>2065</v>
      </c>
      <c r="B840" s="1" t="s">
        <v>1540</v>
      </c>
      <c r="C840" s="5">
        <v>2</v>
      </c>
      <c r="D840" s="15">
        <v>44774267</v>
      </c>
      <c r="E840" s="1" t="s">
        <v>2504</v>
      </c>
      <c r="F840" s="18">
        <v>3076021</v>
      </c>
      <c r="G840" s="9">
        <v>45838</v>
      </c>
      <c r="H840" s="1" t="s">
        <v>1519</v>
      </c>
      <c r="I840" s="12" t="s">
        <v>2507</v>
      </c>
      <c r="J840" s="6">
        <v>833965</v>
      </c>
      <c r="K840" s="3">
        <v>15833965</v>
      </c>
    </row>
    <row r="841" spans="1:11" x14ac:dyDescent="0.25">
      <c r="A841" s="1" t="s">
        <v>2066</v>
      </c>
      <c r="B841" s="1" t="s">
        <v>1536</v>
      </c>
      <c r="C841" s="5">
        <v>2</v>
      </c>
      <c r="D841" s="14">
        <v>20335816</v>
      </c>
      <c r="E841" s="1" t="s">
        <v>1515</v>
      </c>
      <c r="F841" s="17">
        <v>4701348</v>
      </c>
      <c r="G841" s="8">
        <v>45795</v>
      </c>
      <c r="H841" s="1" t="s">
        <v>1516</v>
      </c>
      <c r="I841" s="11" t="s">
        <v>2509</v>
      </c>
      <c r="J841" s="6">
        <v>312689</v>
      </c>
      <c r="K841" s="3">
        <v>15312689</v>
      </c>
    </row>
    <row r="842" spans="1:11" x14ac:dyDescent="0.25">
      <c r="A842" s="1" t="s">
        <v>2067</v>
      </c>
      <c r="B842" s="1" t="s">
        <v>1517</v>
      </c>
      <c r="C842" s="5">
        <v>1</v>
      </c>
      <c r="D842" s="15">
        <v>10916528</v>
      </c>
      <c r="E842" s="1" t="s">
        <v>1538</v>
      </c>
      <c r="F842" s="18">
        <v>320535</v>
      </c>
      <c r="G842" s="9">
        <v>45789</v>
      </c>
      <c r="H842" s="1" t="s">
        <v>2510</v>
      </c>
      <c r="I842" s="12" t="s">
        <v>2509</v>
      </c>
      <c r="J842" s="6">
        <v>21192</v>
      </c>
      <c r="K842" s="3">
        <v>1521192</v>
      </c>
    </row>
    <row r="843" spans="1:11" x14ac:dyDescent="0.25">
      <c r="A843" s="1" t="s">
        <v>2068</v>
      </c>
      <c r="B843" s="1" t="s">
        <v>1536</v>
      </c>
      <c r="C843" s="5">
        <v>4</v>
      </c>
      <c r="D843" s="14">
        <v>19324216</v>
      </c>
      <c r="E843" s="1" t="s">
        <v>1515</v>
      </c>
      <c r="F843" s="17">
        <v>3801693</v>
      </c>
      <c r="G843" s="8">
        <v>45767</v>
      </c>
      <c r="H843" s="1" t="s">
        <v>1513</v>
      </c>
      <c r="I843" s="11" t="s">
        <v>2511</v>
      </c>
      <c r="J843" s="6">
        <v>31045</v>
      </c>
      <c r="K843" s="3">
        <v>1531045</v>
      </c>
    </row>
    <row r="844" spans="1:11" x14ac:dyDescent="0.25">
      <c r="A844" s="1" t="s">
        <v>2069</v>
      </c>
      <c r="B844" s="1" t="s">
        <v>1525</v>
      </c>
      <c r="C844" s="5">
        <v>2</v>
      </c>
      <c r="D844" s="15">
        <v>15961825</v>
      </c>
      <c r="E844" s="1" t="s">
        <v>2504</v>
      </c>
      <c r="F844" s="18">
        <v>3563122</v>
      </c>
      <c r="G844" s="9">
        <v>45500</v>
      </c>
      <c r="H844" s="1" t="s">
        <v>1522</v>
      </c>
      <c r="I844" s="12" t="s">
        <v>2511</v>
      </c>
      <c r="J844" s="6">
        <v>247974</v>
      </c>
      <c r="K844" s="3">
        <v>15247974</v>
      </c>
    </row>
    <row r="845" spans="1:11" x14ac:dyDescent="0.25">
      <c r="A845" s="1" t="s">
        <v>2070</v>
      </c>
      <c r="B845" s="1" t="s">
        <v>1536</v>
      </c>
      <c r="C845" s="5">
        <v>4</v>
      </c>
      <c r="D845" s="14">
        <v>7718752</v>
      </c>
      <c r="E845" s="1" t="s">
        <v>1538</v>
      </c>
      <c r="F845" s="17">
        <v>318109</v>
      </c>
      <c r="G845" s="8">
        <v>45696</v>
      </c>
      <c r="H845" s="1" t="s">
        <v>2519</v>
      </c>
      <c r="I845" s="11" t="s">
        <v>1512</v>
      </c>
      <c r="J845" s="6">
        <v>148013</v>
      </c>
      <c r="K845" s="3">
        <v>15148013</v>
      </c>
    </row>
    <row r="846" spans="1:11" x14ac:dyDescent="0.25">
      <c r="A846" s="1" t="s">
        <v>2815</v>
      </c>
      <c r="B846" s="1" t="s">
        <v>1534</v>
      </c>
      <c r="C846" s="5">
        <v>3</v>
      </c>
      <c r="D846" s="15">
        <v>27668922</v>
      </c>
      <c r="E846" s="1" t="s">
        <v>1538</v>
      </c>
      <c r="F846" s="18">
        <v>2654973</v>
      </c>
      <c r="G846" s="9">
        <v>45861</v>
      </c>
      <c r="H846" s="1" t="s">
        <v>1519</v>
      </c>
      <c r="I846" s="12" t="s">
        <v>1521</v>
      </c>
      <c r="J846" s="6">
        <v>500279</v>
      </c>
      <c r="K846" s="3">
        <v>15500279</v>
      </c>
    </row>
    <row r="847" spans="1:11" x14ac:dyDescent="0.25">
      <c r="A847" s="1" t="s">
        <v>2816</v>
      </c>
      <c r="B847" s="1" t="s">
        <v>1545</v>
      </c>
      <c r="C847" s="5">
        <v>5</v>
      </c>
      <c r="D847" s="14">
        <v>4895639</v>
      </c>
      <c r="E847" s="1" t="s">
        <v>2504</v>
      </c>
      <c r="F847" s="17">
        <v>1052094</v>
      </c>
      <c r="G847" s="8">
        <v>45850</v>
      </c>
      <c r="H847" s="1" t="s">
        <v>2512</v>
      </c>
      <c r="I847" s="11" t="s">
        <v>1518</v>
      </c>
      <c r="J847" s="6">
        <v>76871</v>
      </c>
      <c r="K847" s="3">
        <v>15076871</v>
      </c>
    </row>
    <row r="848" spans="1:11" x14ac:dyDescent="0.25">
      <c r="A848" s="1" t="s">
        <v>2071</v>
      </c>
      <c r="B848" s="1" t="s">
        <v>1545</v>
      </c>
      <c r="C848" s="5">
        <v>1</v>
      </c>
      <c r="D848" s="15">
        <v>21439681</v>
      </c>
      <c r="E848" s="1" t="s">
        <v>1538</v>
      </c>
      <c r="F848" s="18">
        <v>4311771</v>
      </c>
      <c r="G848" s="9">
        <v>45740</v>
      </c>
      <c r="H848" s="1" t="s">
        <v>1543</v>
      </c>
      <c r="I848" s="12" t="s">
        <v>2509</v>
      </c>
      <c r="J848" s="6">
        <v>342558</v>
      </c>
      <c r="K848" s="3">
        <v>15342558</v>
      </c>
    </row>
    <row r="849" spans="1:11" x14ac:dyDescent="0.25">
      <c r="A849" s="1" t="s">
        <v>2072</v>
      </c>
      <c r="B849" s="1" t="s">
        <v>1540</v>
      </c>
      <c r="C849" s="5">
        <v>3</v>
      </c>
      <c r="D849" s="14">
        <v>39127305</v>
      </c>
      <c r="E849" s="1" t="s">
        <v>2504</v>
      </c>
      <c r="F849" s="17">
        <v>7571722</v>
      </c>
      <c r="G849" s="8">
        <v>45651</v>
      </c>
      <c r="H849" s="1" t="s">
        <v>1516</v>
      </c>
      <c r="I849" s="11" t="s">
        <v>1521</v>
      </c>
      <c r="J849" s="6">
        <v>631112</v>
      </c>
      <c r="K849" s="3">
        <v>15631112</v>
      </c>
    </row>
    <row r="850" spans="1:11" x14ac:dyDescent="0.25">
      <c r="A850" s="1" t="s">
        <v>2073</v>
      </c>
      <c r="B850" s="1" t="s">
        <v>1545</v>
      </c>
      <c r="C850" s="5">
        <v>3</v>
      </c>
      <c r="D850" s="15">
        <v>1892253</v>
      </c>
      <c r="E850" s="1" t="s">
        <v>1538</v>
      </c>
      <c r="F850" s="18">
        <v>154024</v>
      </c>
      <c r="G850" s="9">
        <v>45605</v>
      </c>
      <c r="H850" s="1" t="s">
        <v>1543</v>
      </c>
      <c r="I850" s="12" t="s">
        <v>2511</v>
      </c>
      <c r="J850" s="6">
        <v>347646</v>
      </c>
      <c r="K850" s="3">
        <v>15347646</v>
      </c>
    </row>
    <row r="851" spans="1:11" x14ac:dyDescent="0.25">
      <c r="A851" s="1" t="s">
        <v>2074</v>
      </c>
      <c r="B851" s="1" t="s">
        <v>1532</v>
      </c>
      <c r="C851" s="5">
        <v>1</v>
      </c>
      <c r="D851" s="14">
        <v>16635255</v>
      </c>
      <c r="E851" s="1" t="s">
        <v>2504</v>
      </c>
      <c r="F851" s="17">
        <v>1747564</v>
      </c>
      <c r="G851" s="8">
        <v>45583</v>
      </c>
      <c r="H851" s="1" t="s">
        <v>2519</v>
      </c>
      <c r="I851" s="11" t="s">
        <v>1512</v>
      </c>
      <c r="J851" s="6">
        <v>297754</v>
      </c>
      <c r="K851" s="3">
        <v>15297754</v>
      </c>
    </row>
    <row r="852" spans="1:11" x14ac:dyDescent="0.25">
      <c r="A852" s="1" t="s">
        <v>2817</v>
      </c>
      <c r="B852" s="1" t="s">
        <v>1525</v>
      </c>
      <c r="C852" s="5">
        <v>2</v>
      </c>
      <c r="D852" s="15">
        <v>38038416</v>
      </c>
      <c r="E852" s="1" t="s">
        <v>2504</v>
      </c>
      <c r="F852" s="18">
        <v>795027</v>
      </c>
      <c r="G852" s="9">
        <v>45654</v>
      </c>
      <c r="H852" s="1" t="s">
        <v>2519</v>
      </c>
      <c r="I852" s="12" t="s">
        <v>2507</v>
      </c>
      <c r="J852" s="6">
        <v>601763</v>
      </c>
      <c r="K852" s="3">
        <v>15601763</v>
      </c>
    </row>
    <row r="853" spans="1:11" x14ac:dyDescent="0.25">
      <c r="A853" s="1" t="s">
        <v>2818</v>
      </c>
      <c r="B853" s="1" t="s">
        <v>1517</v>
      </c>
      <c r="C853" s="5">
        <v>4</v>
      </c>
      <c r="D853" s="14">
        <v>37909124</v>
      </c>
      <c r="E853" s="1" t="s">
        <v>1538</v>
      </c>
      <c r="F853" s="17">
        <v>6154895</v>
      </c>
      <c r="G853" s="8">
        <v>45530</v>
      </c>
      <c r="H853" s="1" t="s">
        <v>1522</v>
      </c>
      <c r="I853" s="11" t="s">
        <v>2507</v>
      </c>
      <c r="J853" s="6">
        <v>635085</v>
      </c>
      <c r="K853" s="3">
        <v>15635085</v>
      </c>
    </row>
    <row r="854" spans="1:11" x14ac:dyDescent="0.25">
      <c r="A854" s="1" t="s">
        <v>1734</v>
      </c>
      <c r="B854" s="1" t="s">
        <v>1525</v>
      </c>
      <c r="C854" s="5">
        <v>1</v>
      </c>
      <c r="D854" s="15">
        <v>9363706</v>
      </c>
      <c r="E854" s="1" t="s">
        <v>2504</v>
      </c>
      <c r="F854" s="18">
        <v>1796093</v>
      </c>
      <c r="G854" s="9">
        <v>45552</v>
      </c>
      <c r="H854" s="1" t="s">
        <v>1522</v>
      </c>
      <c r="I854" s="12" t="s">
        <v>2511</v>
      </c>
      <c r="J854" s="6">
        <v>151352</v>
      </c>
      <c r="K854" s="3">
        <v>15151352</v>
      </c>
    </row>
    <row r="855" spans="1:11" x14ac:dyDescent="0.25">
      <c r="A855" s="1" t="s">
        <v>2819</v>
      </c>
      <c r="B855" s="1" t="s">
        <v>1517</v>
      </c>
      <c r="C855" s="5">
        <v>2</v>
      </c>
      <c r="D855" s="14">
        <v>26896515</v>
      </c>
      <c r="E855" s="1" t="s">
        <v>1538</v>
      </c>
      <c r="F855" s="17">
        <v>1877255</v>
      </c>
      <c r="G855" s="8">
        <v>45839</v>
      </c>
      <c r="H855" s="1" t="s">
        <v>2515</v>
      </c>
      <c r="I855" s="11" t="s">
        <v>2511</v>
      </c>
      <c r="J855" s="6">
        <v>500385</v>
      </c>
      <c r="K855" s="3">
        <v>15500385</v>
      </c>
    </row>
    <row r="856" spans="1:11" x14ac:dyDescent="0.25">
      <c r="A856" s="1" t="s">
        <v>2075</v>
      </c>
      <c r="B856" s="1" t="s">
        <v>1534</v>
      </c>
      <c r="C856" s="5">
        <v>4</v>
      </c>
      <c r="D856" s="15">
        <v>43078987</v>
      </c>
      <c r="E856" s="1" t="s">
        <v>2504</v>
      </c>
      <c r="F856" s="18">
        <v>6958395</v>
      </c>
      <c r="G856" s="9">
        <v>45514</v>
      </c>
      <c r="H856" s="1" t="s">
        <v>1519</v>
      </c>
      <c r="I856" s="12" t="s">
        <v>1521</v>
      </c>
      <c r="J856" s="6">
        <v>722412</v>
      </c>
      <c r="K856" s="3">
        <v>15722412</v>
      </c>
    </row>
    <row r="857" spans="1:11" x14ac:dyDescent="0.25">
      <c r="A857" s="1" t="s">
        <v>2076</v>
      </c>
      <c r="B857" s="1" t="s">
        <v>1532</v>
      </c>
      <c r="C857" s="5">
        <v>1</v>
      </c>
      <c r="D857" s="14">
        <v>25651081</v>
      </c>
      <c r="E857" s="1" t="s">
        <v>1538</v>
      </c>
      <c r="F857" s="17">
        <v>3483325</v>
      </c>
      <c r="G857" s="8">
        <v>45854</v>
      </c>
      <c r="H857" s="1" t="s">
        <v>1519</v>
      </c>
      <c r="I857" s="11" t="s">
        <v>2507</v>
      </c>
      <c r="J857" s="6">
        <v>443355</v>
      </c>
      <c r="K857" s="3">
        <v>15443355</v>
      </c>
    </row>
    <row r="858" spans="1:11" x14ac:dyDescent="0.25">
      <c r="A858" s="1" t="s">
        <v>2077</v>
      </c>
      <c r="B858" s="1" t="s">
        <v>1532</v>
      </c>
      <c r="C858" s="5">
        <v>3</v>
      </c>
      <c r="D858" s="15">
        <v>13253497</v>
      </c>
      <c r="E858" s="1" t="s">
        <v>1538</v>
      </c>
      <c r="F858" s="18">
        <v>2103522</v>
      </c>
      <c r="G858" s="9">
        <v>45684</v>
      </c>
      <c r="H858" s="1" t="s">
        <v>1519</v>
      </c>
      <c r="I858" s="12" t="s">
        <v>2511</v>
      </c>
      <c r="J858" s="6">
        <v>222999</v>
      </c>
      <c r="K858" s="3">
        <v>15222999</v>
      </c>
    </row>
    <row r="859" spans="1:11" x14ac:dyDescent="0.25">
      <c r="A859" s="1" t="s">
        <v>2078</v>
      </c>
      <c r="B859" s="1" t="s">
        <v>1536</v>
      </c>
      <c r="C859" s="5">
        <v>2</v>
      </c>
      <c r="D859" s="14">
        <v>32826875</v>
      </c>
      <c r="E859" s="1" t="s">
        <v>2504</v>
      </c>
      <c r="F859" s="17">
        <v>2712431</v>
      </c>
      <c r="G859" s="8">
        <v>45758</v>
      </c>
      <c r="H859" s="1" t="s">
        <v>2508</v>
      </c>
      <c r="I859" s="11" t="s">
        <v>2507</v>
      </c>
      <c r="J859" s="6">
        <v>602289</v>
      </c>
      <c r="K859" s="3">
        <v>15602289</v>
      </c>
    </row>
    <row r="860" spans="1:11" x14ac:dyDescent="0.25">
      <c r="A860" s="1" t="s">
        <v>2820</v>
      </c>
      <c r="B860" s="1" t="s">
        <v>1517</v>
      </c>
      <c r="C860" s="5">
        <v>5</v>
      </c>
      <c r="D860" s="15">
        <v>19603896</v>
      </c>
      <c r="E860" s="1" t="s">
        <v>1538</v>
      </c>
      <c r="F860" s="18">
        <v>4429998</v>
      </c>
      <c r="G860" s="9">
        <v>45774</v>
      </c>
      <c r="H860" s="1" t="s">
        <v>2510</v>
      </c>
      <c r="I860" s="12" t="s">
        <v>2511</v>
      </c>
      <c r="J860" s="6">
        <v>303478</v>
      </c>
      <c r="K860" s="3">
        <v>15303478</v>
      </c>
    </row>
    <row r="861" spans="1:11" x14ac:dyDescent="0.25">
      <c r="A861" s="1" t="s">
        <v>2821</v>
      </c>
      <c r="B861" s="1" t="s">
        <v>1534</v>
      </c>
      <c r="C861" s="5">
        <v>4</v>
      </c>
      <c r="D861" s="14">
        <v>40247401</v>
      </c>
      <c r="E861" s="1" t="s">
        <v>2504</v>
      </c>
      <c r="F861" s="17">
        <v>6223664</v>
      </c>
      <c r="G861" s="8">
        <v>45596</v>
      </c>
      <c r="H861" s="1" t="s">
        <v>2512</v>
      </c>
      <c r="I861" s="11" t="s">
        <v>1512</v>
      </c>
      <c r="J861" s="6">
        <v>680475</v>
      </c>
      <c r="K861" s="3">
        <v>15680475</v>
      </c>
    </row>
    <row r="862" spans="1:11" x14ac:dyDescent="0.25">
      <c r="A862" s="1" t="s">
        <v>2079</v>
      </c>
      <c r="B862" s="1" t="s">
        <v>1536</v>
      </c>
      <c r="C862" s="5">
        <v>2</v>
      </c>
      <c r="D862" s="15">
        <v>28072711</v>
      </c>
      <c r="E862" s="1" t="s">
        <v>1538</v>
      </c>
      <c r="F862" s="18">
        <v>6260102</v>
      </c>
      <c r="G862" s="9">
        <v>45644</v>
      </c>
      <c r="H862" s="1" t="s">
        <v>1519</v>
      </c>
      <c r="I862" s="12" t="s">
        <v>2511</v>
      </c>
      <c r="J862" s="6">
        <v>436252</v>
      </c>
      <c r="K862" s="3">
        <v>15436252</v>
      </c>
    </row>
    <row r="863" spans="1:11" x14ac:dyDescent="0.25">
      <c r="A863" s="1" t="s">
        <v>2080</v>
      </c>
      <c r="B863" s="1" t="s">
        <v>1534</v>
      </c>
      <c r="C863" s="5">
        <v>5</v>
      </c>
      <c r="D863" s="14">
        <v>6703296</v>
      </c>
      <c r="E863" s="1" t="s">
        <v>2504</v>
      </c>
      <c r="F863" s="17">
        <v>46802</v>
      </c>
      <c r="G863" s="8">
        <v>45750</v>
      </c>
      <c r="H863" s="1" t="s">
        <v>2508</v>
      </c>
      <c r="I863" s="11" t="s">
        <v>2509</v>
      </c>
      <c r="J863" s="6">
        <v>124706</v>
      </c>
      <c r="K863" s="3">
        <v>15124706</v>
      </c>
    </row>
    <row r="864" spans="1:11" x14ac:dyDescent="0.25">
      <c r="A864" s="1" t="s">
        <v>2822</v>
      </c>
      <c r="B864" s="1" t="s">
        <v>1536</v>
      </c>
      <c r="C864" s="5">
        <v>4</v>
      </c>
      <c r="D864" s="15">
        <v>3951046</v>
      </c>
      <c r="E864" s="1" t="s">
        <v>2504</v>
      </c>
      <c r="F864" s="18">
        <v>8186306</v>
      </c>
      <c r="G864" s="9">
        <v>45825</v>
      </c>
      <c r="H864" s="1" t="s">
        <v>1516</v>
      </c>
      <c r="I864" s="12" t="s">
        <v>1521</v>
      </c>
      <c r="J864" s="6">
        <v>626483</v>
      </c>
      <c r="K864" s="3">
        <v>15626483</v>
      </c>
    </row>
    <row r="865" spans="1:11" x14ac:dyDescent="0.25">
      <c r="A865" s="1" t="s">
        <v>2081</v>
      </c>
      <c r="B865" s="1" t="s">
        <v>1514</v>
      </c>
      <c r="C865" s="5">
        <v>5</v>
      </c>
      <c r="D865" s="14">
        <v>46033742</v>
      </c>
      <c r="E865" s="1" t="s">
        <v>1538</v>
      </c>
      <c r="F865" s="17">
        <v>303708</v>
      </c>
      <c r="G865" s="8">
        <v>45732</v>
      </c>
      <c r="H865" s="1" t="s">
        <v>1513</v>
      </c>
      <c r="I865" s="11" t="s">
        <v>2507</v>
      </c>
      <c r="J865" s="6">
        <v>914601</v>
      </c>
      <c r="K865" s="3">
        <v>15914601</v>
      </c>
    </row>
    <row r="866" spans="1:11" x14ac:dyDescent="0.25">
      <c r="A866" s="1" t="s">
        <v>2082</v>
      </c>
      <c r="B866" s="1" t="s">
        <v>1514</v>
      </c>
      <c r="C866" s="5">
        <v>2</v>
      </c>
      <c r="D866" s="15">
        <v>3448094</v>
      </c>
      <c r="E866" s="1" t="s">
        <v>2504</v>
      </c>
      <c r="F866" s="18">
        <v>359816</v>
      </c>
      <c r="G866" s="9">
        <v>45596</v>
      </c>
      <c r="H866" s="1" t="s">
        <v>1519</v>
      </c>
      <c r="I866" s="12" t="s">
        <v>2511</v>
      </c>
      <c r="J866" s="6">
        <v>61766</v>
      </c>
      <c r="K866" s="3">
        <v>15061766</v>
      </c>
    </row>
    <row r="867" spans="1:11" x14ac:dyDescent="0.25">
      <c r="A867" s="1" t="s">
        <v>2823</v>
      </c>
      <c r="B867" s="1" t="s">
        <v>1514</v>
      </c>
      <c r="C867" s="5">
        <v>2</v>
      </c>
      <c r="D867" s="14">
        <v>21547378</v>
      </c>
      <c r="E867" s="1" t="s">
        <v>1538</v>
      </c>
      <c r="F867" s="17">
        <v>4143532</v>
      </c>
      <c r="G867" s="8">
        <v>45638</v>
      </c>
      <c r="H867" s="1" t="s">
        <v>1519</v>
      </c>
      <c r="I867" s="11" t="s">
        <v>2509</v>
      </c>
      <c r="J867" s="6">
        <v>348077</v>
      </c>
      <c r="K867" s="3">
        <v>15348077</v>
      </c>
    </row>
    <row r="868" spans="1:11" x14ac:dyDescent="0.25">
      <c r="A868" s="1" t="s">
        <v>2083</v>
      </c>
      <c r="B868" s="1" t="s">
        <v>1523</v>
      </c>
      <c r="C868" s="5">
        <v>3</v>
      </c>
      <c r="D868" s="15">
        <v>24110262</v>
      </c>
      <c r="E868" s="1" t="s">
        <v>1538</v>
      </c>
      <c r="F868" s="18">
        <v>1677609</v>
      </c>
      <c r="G868" s="9">
        <v>45643</v>
      </c>
      <c r="H868" s="1" t="s">
        <v>2519</v>
      </c>
      <c r="I868" s="12" t="s">
        <v>1518</v>
      </c>
      <c r="J868" s="6">
        <v>448653</v>
      </c>
      <c r="K868" s="3">
        <v>15448653</v>
      </c>
    </row>
    <row r="869" spans="1:11" x14ac:dyDescent="0.25">
      <c r="A869" s="1" t="s">
        <v>2084</v>
      </c>
      <c r="B869" s="1" t="s">
        <v>1532</v>
      </c>
      <c r="C869" s="5">
        <v>2</v>
      </c>
      <c r="D869" s="14">
        <v>17371014</v>
      </c>
      <c r="E869" s="1" t="s">
        <v>2504</v>
      </c>
      <c r="F869" s="17">
        <v>3198075</v>
      </c>
      <c r="G869" s="8">
        <v>45525</v>
      </c>
      <c r="H869" s="1" t="s">
        <v>2519</v>
      </c>
      <c r="I869" s="11" t="s">
        <v>2511</v>
      </c>
      <c r="J869" s="6">
        <v>283459</v>
      </c>
      <c r="K869" s="3">
        <v>15283459</v>
      </c>
    </row>
    <row r="870" spans="1:11" x14ac:dyDescent="0.25">
      <c r="A870" s="1" t="s">
        <v>2824</v>
      </c>
      <c r="B870" s="1" t="s">
        <v>1517</v>
      </c>
      <c r="C870" s="5">
        <v>3</v>
      </c>
      <c r="D870" s="15">
        <v>40328115</v>
      </c>
      <c r="E870" s="1" t="s">
        <v>1538</v>
      </c>
      <c r="F870" s="18">
        <v>3567716</v>
      </c>
      <c r="G870" s="9">
        <v>45680</v>
      </c>
      <c r="H870" s="1" t="s">
        <v>2508</v>
      </c>
      <c r="I870" s="12" t="s">
        <v>2507</v>
      </c>
      <c r="J870" s="6">
        <v>735208</v>
      </c>
      <c r="K870" s="3">
        <v>15735208</v>
      </c>
    </row>
    <row r="871" spans="1:11" x14ac:dyDescent="0.25">
      <c r="A871" s="1" t="s">
        <v>2085</v>
      </c>
      <c r="B871" s="1" t="s">
        <v>1534</v>
      </c>
      <c r="C871" s="5">
        <v>1</v>
      </c>
      <c r="D871" s="14">
        <v>13588561</v>
      </c>
      <c r="E871" s="1" t="s">
        <v>1538</v>
      </c>
      <c r="F871" s="17">
        <v>930142</v>
      </c>
      <c r="G871" s="8">
        <v>45519</v>
      </c>
      <c r="H871" s="1" t="s">
        <v>1513</v>
      </c>
      <c r="I871" s="11" t="s">
        <v>2509</v>
      </c>
      <c r="J871" s="6">
        <v>253168</v>
      </c>
      <c r="K871" s="3">
        <v>15253168</v>
      </c>
    </row>
    <row r="872" spans="1:11" x14ac:dyDescent="0.25">
      <c r="A872" s="1" t="s">
        <v>2825</v>
      </c>
      <c r="B872" s="1" t="s">
        <v>1523</v>
      </c>
      <c r="C872" s="5">
        <v>5</v>
      </c>
      <c r="D872" s="15">
        <v>17605035</v>
      </c>
      <c r="E872" s="1" t="s">
        <v>2504</v>
      </c>
      <c r="F872" s="18">
        <v>3706455</v>
      </c>
      <c r="G872" s="9">
        <v>45658</v>
      </c>
      <c r="H872" s="1" t="s">
        <v>2515</v>
      </c>
      <c r="I872" s="12" t="s">
        <v>1512</v>
      </c>
      <c r="J872" s="6">
        <v>277972</v>
      </c>
      <c r="K872" s="3">
        <v>15277972</v>
      </c>
    </row>
    <row r="873" spans="1:11" x14ac:dyDescent="0.25">
      <c r="A873" s="1" t="s">
        <v>2086</v>
      </c>
      <c r="B873" s="1" t="s">
        <v>1536</v>
      </c>
      <c r="C873" s="5">
        <v>3</v>
      </c>
      <c r="D873" s="14">
        <v>6854849</v>
      </c>
      <c r="E873" s="1" t="s">
        <v>1538</v>
      </c>
      <c r="F873" s="17">
        <v>1379277</v>
      </c>
      <c r="G873" s="8">
        <v>45697</v>
      </c>
      <c r="H873" s="1" t="s">
        <v>1519</v>
      </c>
      <c r="I873" s="11" t="s">
        <v>1512</v>
      </c>
      <c r="J873" s="6">
        <v>109511</v>
      </c>
      <c r="K873" s="3">
        <v>15109511</v>
      </c>
    </row>
    <row r="874" spans="1:11" x14ac:dyDescent="0.25">
      <c r="A874" s="1" t="s">
        <v>2826</v>
      </c>
      <c r="B874" s="1" t="s">
        <v>1525</v>
      </c>
      <c r="C874" s="5">
        <v>1</v>
      </c>
      <c r="D874" s="15">
        <v>15363459</v>
      </c>
      <c r="E874" s="1" t="s">
        <v>1538</v>
      </c>
      <c r="F874" s="18">
        <v>1839391</v>
      </c>
      <c r="G874" s="9">
        <v>45500</v>
      </c>
      <c r="H874" s="1" t="s">
        <v>2510</v>
      </c>
      <c r="I874" s="12" t="s">
        <v>1512</v>
      </c>
      <c r="J874" s="6">
        <v>270481</v>
      </c>
      <c r="K874" s="3">
        <v>15270481</v>
      </c>
    </row>
    <row r="875" spans="1:11" x14ac:dyDescent="0.25">
      <c r="A875" s="1" t="s">
        <v>2087</v>
      </c>
      <c r="B875" s="1" t="s">
        <v>1523</v>
      </c>
      <c r="C875" s="5">
        <v>5</v>
      </c>
      <c r="D875" s="14">
        <v>13943772</v>
      </c>
      <c r="E875" s="1" t="s">
        <v>2504</v>
      </c>
      <c r="F875" s="17">
        <v>325104</v>
      </c>
      <c r="G875" s="8">
        <v>45506</v>
      </c>
      <c r="H875" s="1" t="s">
        <v>2508</v>
      </c>
      <c r="I875" s="11" t="s">
        <v>2509</v>
      </c>
      <c r="J875" s="6">
        <v>213855</v>
      </c>
      <c r="K875" s="3">
        <v>15213855</v>
      </c>
    </row>
    <row r="876" spans="1:11" x14ac:dyDescent="0.25">
      <c r="A876" s="1" t="s">
        <v>2088</v>
      </c>
      <c r="B876" s="1" t="s">
        <v>1517</v>
      </c>
      <c r="C876" s="5">
        <v>4</v>
      </c>
      <c r="D876" s="15">
        <v>40772342</v>
      </c>
      <c r="E876" s="1" t="s">
        <v>1538</v>
      </c>
      <c r="F876" s="18">
        <v>4766256</v>
      </c>
      <c r="G876" s="9">
        <v>45528</v>
      </c>
      <c r="H876" s="1" t="s">
        <v>1522</v>
      </c>
      <c r="I876" s="12" t="s">
        <v>1518</v>
      </c>
      <c r="J876" s="6">
        <v>720122</v>
      </c>
      <c r="K876" s="3">
        <v>15720122</v>
      </c>
    </row>
    <row r="877" spans="1:11" x14ac:dyDescent="0.25">
      <c r="A877" s="1" t="s">
        <v>2089</v>
      </c>
      <c r="B877" s="1" t="s">
        <v>1523</v>
      </c>
      <c r="C877" s="5">
        <v>1</v>
      </c>
      <c r="D877" s="14">
        <v>34773203</v>
      </c>
      <c r="E877" s="1" t="s">
        <v>1515</v>
      </c>
      <c r="F877" s="17">
        <v>439990</v>
      </c>
      <c r="G877" s="8">
        <v>45499</v>
      </c>
      <c r="H877" s="1" t="s">
        <v>2512</v>
      </c>
      <c r="I877" s="11" t="s">
        <v>1512</v>
      </c>
      <c r="J877" s="6">
        <v>607466</v>
      </c>
      <c r="K877" s="3">
        <v>15607466</v>
      </c>
    </row>
    <row r="878" spans="1:11" x14ac:dyDescent="0.25">
      <c r="A878" s="1" t="s">
        <v>2090</v>
      </c>
      <c r="B878" s="1" t="s">
        <v>1523</v>
      </c>
      <c r="C878" s="5">
        <v>4</v>
      </c>
      <c r="D878" s="15">
        <v>47002056</v>
      </c>
      <c r="E878" s="1" t="s">
        <v>1538</v>
      </c>
      <c r="F878" s="18">
        <v>10265979</v>
      </c>
      <c r="G878" s="9">
        <v>45625</v>
      </c>
      <c r="H878" s="1" t="s">
        <v>1543</v>
      </c>
      <c r="I878" s="12" t="s">
        <v>1521</v>
      </c>
      <c r="J878" s="6">
        <v>734722</v>
      </c>
      <c r="K878" s="3">
        <v>15734722</v>
      </c>
    </row>
    <row r="879" spans="1:11" x14ac:dyDescent="0.25">
      <c r="A879" s="1" t="s">
        <v>2827</v>
      </c>
      <c r="B879" s="1" t="s">
        <v>1534</v>
      </c>
      <c r="C879" s="5">
        <v>5</v>
      </c>
      <c r="D879" s="14">
        <v>1723784</v>
      </c>
      <c r="E879" s="1" t="s">
        <v>1538</v>
      </c>
      <c r="F879" s="17">
        <v>3945978</v>
      </c>
      <c r="G879" s="8">
        <v>45723</v>
      </c>
      <c r="H879" s="1" t="s">
        <v>1519</v>
      </c>
      <c r="I879" s="11" t="s">
        <v>1518</v>
      </c>
      <c r="J879" s="6">
        <v>265837</v>
      </c>
      <c r="K879" s="3">
        <v>15265837</v>
      </c>
    </row>
    <row r="880" spans="1:11" x14ac:dyDescent="0.25">
      <c r="A880" s="1" t="s">
        <v>2828</v>
      </c>
      <c r="B880" s="1" t="s">
        <v>1525</v>
      </c>
      <c r="C880" s="5">
        <v>5</v>
      </c>
      <c r="D880" s="15">
        <v>10295592</v>
      </c>
      <c r="E880" s="1" t="s">
        <v>1515</v>
      </c>
      <c r="F880" s="18">
        <v>620977</v>
      </c>
      <c r="G880" s="9">
        <v>45650</v>
      </c>
      <c r="H880" s="1" t="s">
        <v>2508</v>
      </c>
      <c r="I880" s="12" t="s">
        <v>1518</v>
      </c>
      <c r="J880" s="6">
        <v>193492</v>
      </c>
      <c r="K880" s="3">
        <v>15193492</v>
      </c>
    </row>
    <row r="881" spans="1:11" x14ac:dyDescent="0.25">
      <c r="A881" s="1" t="s">
        <v>2091</v>
      </c>
      <c r="B881" s="1" t="s">
        <v>1517</v>
      </c>
      <c r="C881" s="5">
        <v>3</v>
      </c>
      <c r="D881" s="14">
        <v>37932685</v>
      </c>
      <c r="E881" s="1" t="s">
        <v>2504</v>
      </c>
      <c r="F881" s="17">
        <v>6896123</v>
      </c>
      <c r="G881" s="8">
        <v>45774</v>
      </c>
      <c r="H881" s="1" t="s">
        <v>1522</v>
      </c>
      <c r="I881" s="11" t="s">
        <v>1521</v>
      </c>
      <c r="J881" s="6">
        <v>620731</v>
      </c>
      <c r="K881" s="3">
        <v>15620731</v>
      </c>
    </row>
    <row r="882" spans="1:11" x14ac:dyDescent="0.25">
      <c r="A882" s="1" t="s">
        <v>2092</v>
      </c>
      <c r="B882" s="1" t="s">
        <v>1540</v>
      </c>
      <c r="C882" s="5">
        <v>3</v>
      </c>
      <c r="D882" s="15">
        <v>20742728</v>
      </c>
      <c r="E882" s="1" t="s">
        <v>1538</v>
      </c>
      <c r="F882" s="18">
        <v>2017934</v>
      </c>
      <c r="G882" s="9">
        <v>45839</v>
      </c>
      <c r="H882" s="1" t="s">
        <v>1543</v>
      </c>
      <c r="I882" s="12" t="s">
        <v>2511</v>
      </c>
      <c r="J882" s="6">
        <v>374496</v>
      </c>
      <c r="K882" s="3">
        <v>15374496</v>
      </c>
    </row>
    <row r="883" spans="1:11" x14ac:dyDescent="0.25">
      <c r="A883" s="1" t="s">
        <v>2829</v>
      </c>
      <c r="B883" s="1" t="s">
        <v>1525</v>
      </c>
      <c r="C883" s="5">
        <v>1</v>
      </c>
      <c r="D883" s="14">
        <v>1192453</v>
      </c>
      <c r="E883" s="1" t="s">
        <v>1515</v>
      </c>
      <c r="F883" s="17">
        <v>85331</v>
      </c>
      <c r="G883" s="8">
        <v>45513</v>
      </c>
      <c r="H883" s="1" t="s">
        <v>2510</v>
      </c>
      <c r="I883" s="11" t="s">
        <v>2511</v>
      </c>
      <c r="J883" s="6">
        <v>236784</v>
      </c>
      <c r="K883" s="3">
        <v>15236784</v>
      </c>
    </row>
    <row r="884" spans="1:11" x14ac:dyDescent="0.25">
      <c r="A884" s="1" t="s">
        <v>2093</v>
      </c>
      <c r="B884" s="1" t="s">
        <v>1523</v>
      </c>
      <c r="C884" s="5">
        <v>1</v>
      </c>
      <c r="D884" s="15">
        <v>45237626</v>
      </c>
      <c r="E884" s="1" t="s">
        <v>1538</v>
      </c>
      <c r="F884" s="18">
        <v>2750606</v>
      </c>
      <c r="G884" s="9">
        <v>45855</v>
      </c>
      <c r="H884" s="1" t="s">
        <v>1522</v>
      </c>
      <c r="I884" s="12" t="s">
        <v>1521</v>
      </c>
      <c r="J884" s="6">
        <v>84974</v>
      </c>
      <c r="K884" s="3">
        <v>1584974</v>
      </c>
    </row>
    <row r="885" spans="1:11" x14ac:dyDescent="0.25">
      <c r="A885" s="1" t="s">
        <v>2094</v>
      </c>
      <c r="B885" s="1" t="s">
        <v>1545</v>
      </c>
      <c r="C885" s="5">
        <v>4</v>
      </c>
      <c r="D885" s="14">
        <v>9954043</v>
      </c>
      <c r="E885" s="1" t="s">
        <v>1538</v>
      </c>
      <c r="F885" s="17">
        <v>1369645</v>
      </c>
      <c r="G885" s="8">
        <v>45650</v>
      </c>
      <c r="H885" s="1" t="s">
        <v>2508</v>
      </c>
      <c r="I885" s="11" t="s">
        <v>1512</v>
      </c>
      <c r="J885" s="6">
        <v>171688</v>
      </c>
      <c r="K885" s="3">
        <v>15171688</v>
      </c>
    </row>
    <row r="886" spans="1:11" x14ac:dyDescent="0.25">
      <c r="A886" s="1" t="s">
        <v>2830</v>
      </c>
      <c r="B886" s="1" t="s">
        <v>1527</v>
      </c>
      <c r="C886" s="5">
        <v>2</v>
      </c>
      <c r="D886" s="15">
        <v>49942534</v>
      </c>
      <c r="E886" s="1" t="s">
        <v>1515</v>
      </c>
      <c r="F886" s="18">
        <v>4621288</v>
      </c>
      <c r="G886" s="9">
        <v>45805</v>
      </c>
      <c r="H886" s="1" t="s">
        <v>1519</v>
      </c>
      <c r="I886" s="12" t="s">
        <v>2509</v>
      </c>
      <c r="J886" s="6">
        <v>906425</v>
      </c>
      <c r="K886" s="3">
        <v>15906425</v>
      </c>
    </row>
    <row r="887" spans="1:11" x14ac:dyDescent="0.25">
      <c r="A887" s="1" t="s">
        <v>2095</v>
      </c>
      <c r="B887" s="1" t="s">
        <v>1517</v>
      </c>
      <c r="C887" s="5">
        <v>1</v>
      </c>
      <c r="D887" s="14">
        <v>3030837</v>
      </c>
      <c r="E887" s="1" t="s">
        <v>2504</v>
      </c>
      <c r="F887" s="17">
        <v>664814</v>
      </c>
      <c r="G887" s="8">
        <v>45573</v>
      </c>
      <c r="H887" s="1" t="s">
        <v>1513</v>
      </c>
      <c r="I887" s="11" t="s">
        <v>2507</v>
      </c>
      <c r="J887" s="6">
        <v>4732</v>
      </c>
      <c r="K887" s="3">
        <v>1504732</v>
      </c>
    </row>
    <row r="888" spans="1:11" x14ac:dyDescent="0.25">
      <c r="A888" s="1" t="s">
        <v>2096</v>
      </c>
      <c r="B888" s="1" t="s">
        <v>1540</v>
      </c>
      <c r="C888" s="5">
        <v>4</v>
      </c>
      <c r="D888" s="15">
        <v>39197503</v>
      </c>
      <c r="E888" s="1" t="s">
        <v>1515</v>
      </c>
      <c r="F888" s="18">
        <v>586735</v>
      </c>
      <c r="G888" s="9">
        <v>45665</v>
      </c>
      <c r="H888" s="1" t="s">
        <v>1513</v>
      </c>
      <c r="I888" s="12" t="s">
        <v>2507</v>
      </c>
      <c r="J888" s="6">
        <v>772215</v>
      </c>
      <c r="K888" s="3">
        <v>15772215</v>
      </c>
    </row>
    <row r="889" spans="1:11" x14ac:dyDescent="0.25">
      <c r="A889" s="1" t="s">
        <v>2097</v>
      </c>
      <c r="B889" s="1" t="s">
        <v>1545</v>
      </c>
      <c r="C889" s="5">
        <v>1</v>
      </c>
      <c r="D889" s="14">
        <v>32942457</v>
      </c>
      <c r="E889" s="1" t="s">
        <v>2504</v>
      </c>
      <c r="F889" s="17">
        <v>4923037</v>
      </c>
      <c r="G889" s="8">
        <v>45672</v>
      </c>
      <c r="H889" s="1" t="s">
        <v>2512</v>
      </c>
      <c r="I889" s="11" t="s">
        <v>2509</v>
      </c>
      <c r="J889" s="6">
        <v>560388</v>
      </c>
      <c r="K889" s="3">
        <v>15560388</v>
      </c>
    </row>
    <row r="890" spans="1:11" x14ac:dyDescent="0.25">
      <c r="A890" s="1" t="s">
        <v>2831</v>
      </c>
      <c r="B890" s="1" t="s">
        <v>1517</v>
      </c>
      <c r="C890" s="5">
        <v>3</v>
      </c>
      <c r="D890" s="15">
        <v>811885</v>
      </c>
      <c r="E890" s="1" t="s">
        <v>1515</v>
      </c>
      <c r="F890" s="18">
        <v>2003017</v>
      </c>
      <c r="G890" s="9">
        <v>45584</v>
      </c>
      <c r="H890" s="1" t="s">
        <v>2510</v>
      </c>
      <c r="I890" s="12" t="s">
        <v>2509</v>
      </c>
      <c r="J890" s="6">
        <v>122317</v>
      </c>
      <c r="K890" s="3">
        <v>15122317</v>
      </c>
    </row>
    <row r="891" spans="1:11" x14ac:dyDescent="0.25">
      <c r="A891" s="1" t="s">
        <v>2098</v>
      </c>
      <c r="B891" s="1" t="s">
        <v>1540</v>
      </c>
      <c r="C891" s="5">
        <v>1</v>
      </c>
      <c r="D891" s="14">
        <v>2065763</v>
      </c>
      <c r="E891" s="1" t="s">
        <v>1515</v>
      </c>
      <c r="F891" s="17">
        <v>222761</v>
      </c>
      <c r="G891" s="8">
        <v>45582</v>
      </c>
      <c r="H891" s="1" t="s">
        <v>2515</v>
      </c>
      <c r="I891" s="11" t="s">
        <v>2509</v>
      </c>
      <c r="J891" s="6">
        <v>3686</v>
      </c>
      <c r="K891" s="3">
        <v>1503686</v>
      </c>
    </row>
    <row r="892" spans="1:11" x14ac:dyDescent="0.25">
      <c r="A892" s="1" t="s">
        <v>2832</v>
      </c>
      <c r="B892" s="1" t="s">
        <v>1514</v>
      </c>
      <c r="C892" s="5">
        <v>2</v>
      </c>
      <c r="D892" s="15">
        <v>2629604</v>
      </c>
      <c r="E892" s="1" t="s">
        <v>1538</v>
      </c>
      <c r="F892" s="18">
        <v>393592</v>
      </c>
      <c r="G892" s="9">
        <v>45849</v>
      </c>
      <c r="H892" s="1" t="s">
        <v>1522</v>
      </c>
      <c r="I892" s="12" t="s">
        <v>2509</v>
      </c>
      <c r="J892" s="6">
        <v>447202</v>
      </c>
      <c r="K892" s="3">
        <v>15447202</v>
      </c>
    </row>
    <row r="893" spans="1:11" x14ac:dyDescent="0.25">
      <c r="A893" s="1" t="s">
        <v>2833</v>
      </c>
      <c r="B893" s="1" t="s">
        <v>1536</v>
      </c>
      <c r="C893" s="5">
        <v>4</v>
      </c>
      <c r="D893" s="14">
        <v>48016205</v>
      </c>
      <c r="E893" s="1" t="s">
        <v>1538</v>
      </c>
      <c r="F893" s="17">
        <v>992174</v>
      </c>
      <c r="G893" s="8">
        <v>45755</v>
      </c>
      <c r="H893" s="1" t="s">
        <v>1543</v>
      </c>
      <c r="I893" s="11" t="s">
        <v>1518</v>
      </c>
      <c r="J893" s="6">
        <v>940481</v>
      </c>
      <c r="K893" s="3">
        <v>15940481</v>
      </c>
    </row>
    <row r="894" spans="1:11" x14ac:dyDescent="0.25">
      <c r="A894" s="1" t="s">
        <v>2099</v>
      </c>
      <c r="B894" s="1" t="s">
        <v>1536</v>
      </c>
      <c r="C894" s="5">
        <v>2</v>
      </c>
      <c r="D894" s="15">
        <v>356319</v>
      </c>
      <c r="E894" s="1" t="s">
        <v>1538</v>
      </c>
      <c r="F894" s="18">
        <v>301283</v>
      </c>
      <c r="G894" s="9">
        <v>45801</v>
      </c>
      <c r="H894" s="1" t="s">
        <v>2519</v>
      </c>
      <c r="I894" s="12" t="s">
        <v>1512</v>
      </c>
      <c r="J894" s="6">
        <v>65238</v>
      </c>
      <c r="K894" s="3">
        <v>15065238</v>
      </c>
    </row>
    <row r="895" spans="1:11" x14ac:dyDescent="0.25">
      <c r="A895" s="1" t="s">
        <v>2100</v>
      </c>
      <c r="B895" s="1" t="s">
        <v>1527</v>
      </c>
      <c r="C895" s="5">
        <v>2</v>
      </c>
      <c r="D895" s="14">
        <v>22000281</v>
      </c>
      <c r="E895" s="1" t="s">
        <v>1538</v>
      </c>
      <c r="F895" s="17">
        <v>468057</v>
      </c>
      <c r="G895" s="8">
        <v>45720</v>
      </c>
      <c r="H895" s="1" t="s">
        <v>1522</v>
      </c>
      <c r="I895" s="11" t="s">
        <v>2507</v>
      </c>
      <c r="J895" s="6">
        <v>346394</v>
      </c>
      <c r="K895" s="3">
        <v>15346394</v>
      </c>
    </row>
    <row r="896" spans="1:11" x14ac:dyDescent="0.25">
      <c r="A896" s="1" t="s">
        <v>2834</v>
      </c>
      <c r="B896" s="1" t="s">
        <v>1545</v>
      </c>
      <c r="C896" s="5">
        <v>4</v>
      </c>
      <c r="D896" s="15">
        <v>18198635</v>
      </c>
      <c r="E896" s="1" t="s">
        <v>1538</v>
      </c>
      <c r="F896" s="18">
        <v>3264318</v>
      </c>
      <c r="G896" s="9">
        <v>45814</v>
      </c>
      <c r="H896" s="1" t="s">
        <v>1513</v>
      </c>
      <c r="I896" s="12" t="s">
        <v>2507</v>
      </c>
      <c r="J896" s="6">
        <v>298686</v>
      </c>
      <c r="K896" s="3">
        <v>15298686</v>
      </c>
    </row>
    <row r="897" spans="1:11" x14ac:dyDescent="0.25">
      <c r="A897" s="1" t="s">
        <v>2835</v>
      </c>
      <c r="B897" s="1" t="s">
        <v>1514</v>
      </c>
      <c r="C897" s="5">
        <v>5</v>
      </c>
      <c r="D897" s="14">
        <v>48423189</v>
      </c>
      <c r="E897" s="1" t="s">
        <v>2504</v>
      </c>
      <c r="F897" s="17">
        <v>2007053</v>
      </c>
      <c r="G897" s="8">
        <v>45661</v>
      </c>
      <c r="H897" s="1" t="s">
        <v>2508</v>
      </c>
      <c r="I897" s="11" t="s">
        <v>2511</v>
      </c>
      <c r="J897" s="6">
        <v>928323</v>
      </c>
      <c r="K897" s="3">
        <v>15928323</v>
      </c>
    </row>
    <row r="898" spans="1:11" x14ac:dyDescent="0.25">
      <c r="A898" s="1" t="s">
        <v>2101</v>
      </c>
      <c r="B898" s="1" t="s">
        <v>1536</v>
      </c>
      <c r="C898" s="5">
        <v>1</v>
      </c>
      <c r="D898" s="15">
        <v>29523689</v>
      </c>
      <c r="E898" s="1" t="s">
        <v>1515</v>
      </c>
      <c r="F898" s="18">
        <v>4792572</v>
      </c>
      <c r="G898" s="9">
        <v>45755</v>
      </c>
      <c r="H898" s="1" t="s">
        <v>1543</v>
      </c>
      <c r="I898" s="12" t="s">
        <v>2509</v>
      </c>
      <c r="J898" s="6">
        <v>494622</v>
      </c>
      <c r="K898" s="3">
        <v>15494622</v>
      </c>
    </row>
    <row r="899" spans="1:11" x14ac:dyDescent="0.25">
      <c r="A899" s="1" t="s">
        <v>2102</v>
      </c>
      <c r="B899" s="1" t="s">
        <v>1536</v>
      </c>
      <c r="C899" s="5">
        <v>2</v>
      </c>
      <c r="D899" s="14">
        <v>4107215</v>
      </c>
      <c r="E899" s="1" t="s">
        <v>1515</v>
      </c>
      <c r="F899" s="17">
        <v>14172</v>
      </c>
      <c r="G899" s="8">
        <v>45712</v>
      </c>
      <c r="H899" s="1" t="s">
        <v>2508</v>
      </c>
      <c r="I899" s="11" t="s">
        <v>1512</v>
      </c>
      <c r="J899" s="6">
        <v>81861</v>
      </c>
      <c r="K899" s="3">
        <v>15081861</v>
      </c>
    </row>
    <row r="900" spans="1:11" x14ac:dyDescent="0.25">
      <c r="A900" s="1" t="s">
        <v>2103</v>
      </c>
      <c r="B900" s="1" t="s">
        <v>1525</v>
      </c>
      <c r="C900" s="5">
        <v>2</v>
      </c>
      <c r="D900" s="15">
        <v>18866769</v>
      </c>
      <c r="E900" s="1" t="s">
        <v>2504</v>
      </c>
      <c r="F900" s="18">
        <v>3244389</v>
      </c>
      <c r="G900" s="9">
        <v>45749</v>
      </c>
      <c r="H900" s="1" t="s">
        <v>1522</v>
      </c>
      <c r="I900" s="12" t="s">
        <v>1512</v>
      </c>
      <c r="J900" s="6">
        <v>312448</v>
      </c>
      <c r="K900" s="3">
        <v>15312448</v>
      </c>
    </row>
    <row r="901" spans="1:11" x14ac:dyDescent="0.25">
      <c r="A901" s="1" t="s">
        <v>2836</v>
      </c>
      <c r="B901" s="1" t="s">
        <v>1517</v>
      </c>
      <c r="C901" s="5">
        <v>2</v>
      </c>
      <c r="D901" s="14">
        <v>7181694</v>
      </c>
      <c r="E901" s="1" t="s">
        <v>2504</v>
      </c>
      <c r="F901" s="17">
        <v>1111174</v>
      </c>
      <c r="G901" s="8">
        <v>45756</v>
      </c>
      <c r="H901" s="1" t="s">
        <v>2519</v>
      </c>
      <c r="I901" s="11" t="s">
        <v>1521</v>
      </c>
      <c r="J901" s="6">
        <v>12141</v>
      </c>
      <c r="K901" s="3">
        <v>1512141</v>
      </c>
    </row>
    <row r="902" spans="1:11" x14ac:dyDescent="0.25">
      <c r="A902" s="1" t="s">
        <v>2104</v>
      </c>
      <c r="B902" s="1" t="s">
        <v>1517</v>
      </c>
      <c r="C902" s="5">
        <v>1</v>
      </c>
      <c r="D902" s="15">
        <v>27424036</v>
      </c>
      <c r="E902" s="1" t="s">
        <v>2504</v>
      </c>
      <c r="F902" s="18">
        <v>5710216</v>
      </c>
      <c r="G902" s="9">
        <v>45791</v>
      </c>
      <c r="H902" s="1" t="s">
        <v>1516</v>
      </c>
      <c r="I902" s="12" t="s">
        <v>2509</v>
      </c>
      <c r="J902" s="6">
        <v>434276</v>
      </c>
      <c r="K902" s="3">
        <v>15434276</v>
      </c>
    </row>
    <row r="903" spans="1:11" x14ac:dyDescent="0.25">
      <c r="A903" s="1" t="s">
        <v>2105</v>
      </c>
      <c r="B903" s="1" t="s">
        <v>1514</v>
      </c>
      <c r="C903" s="5">
        <v>5</v>
      </c>
      <c r="D903" s="14">
        <v>18239694</v>
      </c>
      <c r="E903" s="1" t="s">
        <v>1538</v>
      </c>
      <c r="F903" s="17">
        <v>383171</v>
      </c>
      <c r="G903" s="8">
        <v>45742</v>
      </c>
      <c r="H903" s="1" t="s">
        <v>1519</v>
      </c>
      <c r="I903" s="11" t="s">
        <v>2511</v>
      </c>
      <c r="J903" s="6">
        <v>35713</v>
      </c>
      <c r="K903" s="3">
        <v>1535713</v>
      </c>
    </row>
    <row r="904" spans="1:11" x14ac:dyDescent="0.25">
      <c r="A904" s="1" t="s">
        <v>2837</v>
      </c>
      <c r="B904" s="1" t="s">
        <v>1514</v>
      </c>
      <c r="C904" s="5">
        <v>3</v>
      </c>
      <c r="D904" s="15">
        <v>3914966</v>
      </c>
      <c r="E904" s="1" t="s">
        <v>2504</v>
      </c>
      <c r="F904" s="18">
        <v>340277</v>
      </c>
      <c r="G904" s="9">
        <v>45547</v>
      </c>
      <c r="H904" s="1" t="s">
        <v>1522</v>
      </c>
      <c r="I904" s="12" t="s">
        <v>1521</v>
      </c>
      <c r="J904" s="6">
        <v>71494</v>
      </c>
      <c r="K904" s="3">
        <v>15071494</v>
      </c>
    </row>
    <row r="905" spans="1:11" x14ac:dyDescent="0.25">
      <c r="A905" s="1" t="s">
        <v>2838</v>
      </c>
      <c r="B905" s="1" t="s">
        <v>1536</v>
      </c>
      <c r="C905" s="5">
        <v>5</v>
      </c>
      <c r="D905" s="14">
        <v>16139634</v>
      </c>
      <c r="E905" s="1" t="s">
        <v>2504</v>
      </c>
      <c r="F905" s="17">
        <v>2773553</v>
      </c>
      <c r="G905" s="8">
        <v>45565</v>
      </c>
      <c r="H905" s="1" t="s">
        <v>1516</v>
      </c>
      <c r="I905" s="11" t="s">
        <v>1512</v>
      </c>
      <c r="J905" s="6">
        <v>267322</v>
      </c>
      <c r="K905" s="3">
        <v>15267322</v>
      </c>
    </row>
    <row r="906" spans="1:11" x14ac:dyDescent="0.25">
      <c r="A906" s="1" t="s">
        <v>2106</v>
      </c>
      <c r="B906" s="1" t="s">
        <v>1534</v>
      </c>
      <c r="C906" s="5">
        <v>1</v>
      </c>
      <c r="D906" s="15">
        <v>38947884</v>
      </c>
      <c r="E906" s="1" t="s">
        <v>1538</v>
      </c>
      <c r="F906" s="18">
        <v>4699904</v>
      </c>
      <c r="G906" s="9">
        <v>45733</v>
      </c>
      <c r="H906" s="1" t="s">
        <v>1513</v>
      </c>
      <c r="I906" s="12" t="s">
        <v>2511</v>
      </c>
      <c r="J906" s="6">
        <v>68496</v>
      </c>
      <c r="K906" s="3">
        <v>1568496</v>
      </c>
    </row>
    <row r="907" spans="1:11" x14ac:dyDescent="0.25">
      <c r="A907" s="1" t="s">
        <v>2107</v>
      </c>
      <c r="B907" s="1" t="s">
        <v>1527</v>
      </c>
      <c r="C907" s="5">
        <v>1</v>
      </c>
      <c r="D907" s="14">
        <v>19777497</v>
      </c>
      <c r="E907" s="1" t="s">
        <v>1515</v>
      </c>
      <c r="F907" s="17">
        <v>4127232</v>
      </c>
      <c r="G907" s="8">
        <v>45610</v>
      </c>
      <c r="H907" s="1" t="s">
        <v>2519</v>
      </c>
      <c r="I907" s="11" t="s">
        <v>2509</v>
      </c>
      <c r="J907" s="6">
        <v>313005</v>
      </c>
      <c r="K907" s="3">
        <v>15313005</v>
      </c>
    </row>
    <row r="908" spans="1:11" x14ac:dyDescent="0.25">
      <c r="A908" s="1" t="s">
        <v>2108</v>
      </c>
      <c r="B908" s="1" t="s">
        <v>1527</v>
      </c>
      <c r="C908" s="5">
        <v>3</v>
      </c>
      <c r="D908" s="15">
        <v>4953492</v>
      </c>
      <c r="E908" s="1" t="s">
        <v>1538</v>
      </c>
      <c r="F908" s="18">
        <v>722678</v>
      </c>
      <c r="G908" s="9">
        <v>45828</v>
      </c>
      <c r="H908" s="1" t="s">
        <v>1522</v>
      </c>
      <c r="I908" s="12" t="s">
        <v>1521</v>
      </c>
      <c r="J908" s="6">
        <v>84616</v>
      </c>
      <c r="K908" s="3">
        <v>15084616</v>
      </c>
    </row>
    <row r="909" spans="1:11" x14ac:dyDescent="0.25">
      <c r="A909" s="1" t="s">
        <v>2839</v>
      </c>
      <c r="B909" s="1" t="s">
        <v>1532</v>
      </c>
      <c r="C909" s="5">
        <v>3</v>
      </c>
      <c r="D909" s="14">
        <v>26594612</v>
      </c>
      <c r="E909" s="1" t="s">
        <v>1538</v>
      </c>
      <c r="F909" s="17">
        <v>2826558</v>
      </c>
      <c r="G909" s="8">
        <v>45525</v>
      </c>
      <c r="H909" s="1" t="s">
        <v>1519</v>
      </c>
      <c r="I909" s="11" t="s">
        <v>2509</v>
      </c>
      <c r="J909" s="6">
        <v>475361</v>
      </c>
      <c r="K909" s="3">
        <v>15475361</v>
      </c>
    </row>
    <row r="910" spans="1:11" x14ac:dyDescent="0.25">
      <c r="A910" s="1" t="s">
        <v>2109</v>
      </c>
      <c r="B910" s="1" t="s">
        <v>1517</v>
      </c>
      <c r="C910" s="5">
        <v>2</v>
      </c>
      <c r="D910" s="15">
        <v>34840971</v>
      </c>
      <c r="E910" s="1" t="s">
        <v>1538</v>
      </c>
      <c r="F910" s="18">
        <v>1933419</v>
      </c>
      <c r="G910" s="9">
        <v>45764</v>
      </c>
      <c r="H910" s="1" t="s">
        <v>1513</v>
      </c>
      <c r="I910" s="12" t="s">
        <v>2509</v>
      </c>
      <c r="J910" s="6">
        <v>658151</v>
      </c>
      <c r="K910" s="3">
        <v>15658151</v>
      </c>
    </row>
    <row r="911" spans="1:11" x14ac:dyDescent="0.25">
      <c r="A911" s="1" t="s">
        <v>2110</v>
      </c>
      <c r="B911" s="1" t="s">
        <v>1532</v>
      </c>
      <c r="C911" s="5">
        <v>1</v>
      </c>
      <c r="D911" s="14">
        <v>3213377</v>
      </c>
      <c r="E911" s="1" t="s">
        <v>1515</v>
      </c>
      <c r="F911" s="17">
        <v>119889</v>
      </c>
      <c r="G911" s="8">
        <v>45742</v>
      </c>
      <c r="H911" s="1" t="s">
        <v>1516</v>
      </c>
      <c r="I911" s="11" t="s">
        <v>2511</v>
      </c>
      <c r="J911" s="6">
        <v>6187</v>
      </c>
      <c r="K911" s="3">
        <v>1506187</v>
      </c>
    </row>
    <row r="912" spans="1:11" x14ac:dyDescent="0.25">
      <c r="A912" s="1" t="s">
        <v>2840</v>
      </c>
      <c r="B912" s="1" t="s">
        <v>1517</v>
      </c>
      <c r="C912" s="5">
        <v>1</v>
      </c>
      <c r="D912" s="15">
        <v>17364344</v>
      </c>
      <c r="E912" s="1" t="s">
        <v>1538</v>
      </c>
      <c r="F912" s="18">
        <v>181596</v>
      </c>
      <c r="G912" s="9">
        <v>45773</v>
      </c>
      <c r="H912" s="1" t="s">
        <v>1516</v>
      </c>
      <c r="I912" s="12" t="s">
        <v>1521</v>
      </c>
      <c r="J912" s="6">
        <v>343655</v>
      </c>
      <c r="K912" s="3">
        <v>15343655</v>
      </c>
    </row>
    <row r="913" spans="1:11" x14ac:dyDescent="0.25">
      <c r="A913" s="1" t="s">
        <v>2111</v>
      </c>
      <c r="B913" s="1" t="s">
        <v>1545</v>
      </c>
      <c r="C913" s="5">
        <v>2</v>
      </c>
      <c r="D913" s="14">
        <v>6513302</v>
      </c>
      <c r="E913" s="1" t="s">
        <v>1515</v>
      </c>
      <c r="F913" s="17">
        <v>235884</v>
      </c>
      <c r="G913" s="8">
        <v>45586</v>
      </c>
      <c r="H913" s="1" t="s">
        <v>1516</v>
      </c>
      <c r="I913" s="11" t="s">
        <v>1521</v>
      </c>
      <c r="J913" s="6">
        <v>125548</v>
      </c>
      <c r="K913" s="3">
        <v>15125548</v>
      </c>
    </row>
    <row r="914" spans="1:11" x14ac:dyDescent="0.25">
      <c r="A914" s="1" t="s">
        <v>2112</v>
      </c>
      <c r="B914" s="1" t="s">
        <v>1527</v>
      </c>
      <c r="C914" s="5">
        <v>5</v>
      </c>
      <c r="D914" s="15">
        <v>2469776</v>
      </c>
      <c r="E914" s="1" t="s">
        <v>1515</v>
      </c>
      <c r="F914" s="18">
        <v>490334</v>
      </c>
      <c r="G914" s="9">
        <v>45523</v>
      </c>
      <c r="H914" s="1" t="s">
        <v>1522</v>
      </c>
      <c r="I914" s="12" t="s">
        <v>1521</v>
      </c>
      <c r="J914" s="6">
        <v>39589</v>
      </c>
      <c r="K914" s="3">
        <v>15039589</v>
      </c>
    </row>
    <row r="915" spans="1:11" x14ac:dyDescent="0.25">
      <c r="A915" s="1" t="s">
        <v>2113</v>
      </c>
      <c r="B915" s="1" t="s">
        <v>1514</v>
      </c>
      <c r="C915" s="5">
        <v>4</v>
      </c>
      <c r="D915" s="14">
        <v>9680346</v>
      </c>
      <c r="E915" s="1" t="s">
        <v>1515</v>
      </c>
      <c r="F915" s="17">
        <v>144833</v>
      </c>
      <c r="G915" s="8">
        <v>45598</v>
      </c>
      <c r="H915" s="1" t="s">
        <v>1519</v>
      </c>
      <c r="I915" s="11" t="s">
        <v>2509</v>
      </c>
      <c r="J915" s="6">
        <v>19071</v>
      </c>
      <c r="K915" s="3">
        <v>1519071</v>
      </c>
    </row>
    <row r="916" spans="1:11" x14ac:dyDescent="0.25">
      <c r="A916" s="1" t="s">
        <v>2841</v>
      </c>
      <c r="B916" s="1" t="s">
        <v>1525</v>
      </c>
      <c r="C916" s="5">
        <v>4</v>
      </c>
      <c r="D916" s="15">
        <v>29389829</v>
      </c>
      <c r="E916" s="1" t="s">
        <v>1538</v>
      </c>
      <c r="F916" s="18">
        <v>3165311</v>
      </c>
      <c r="G916" s="9">
        <v>45772</v>
      </c>
      <c r="H916" s="1" t="s">
        <v>1516</v>
      </c>
      <c r="I916" s="12" t="s">
        <v>1518</v>
      </c>
      <c r="J916" s="6">
        <v>52449</v>
      </c>
      <c r="K916" s="3">
        <v>1552449</v>
      </c>
    </row>
    <row r="917" spans="1:11" x14ac:dyDescent="0.25">
      <c r="A917" s="1" t="s">
        <v>2114</v>
      </c>
      <c r="B917" s="1" t="s">
        <v>1527</v>
      </c>
      <c r="C917" s="5">
        <v>5</v>
      </c>
      <c r="D917" s="14">
        <v>37488228</v>
      </c>
      <c r="E917" s="1" t="s">
        <v>2504</v>
      </c>
      <c r="F917" s="17">
        <v>9174674</v>
      </c>
      <c r="G917" s="8">
        <v>45830</v>
      </c>
      <c r="H917" s="1" t="s">
        <v>2515</v>
      </c>
      <c r="I917" s="11" t="s">
        <v>2511</v>
      </c>
      <c r="J917" s="6">
        <v>566271</v>
      </c>
      <c r="K917" s="3">
        <v>15566271</v>
      </c>
    </row>
    <row r="918" spans="1:11" x14ac:dyDescent="0.25">
      <c r="A918" s="1" t="s">
        <v>2115</v>
      </c>
      <c r="B918" s="1" t="s">
        <v>1523</v>
      </c>
      <c r="C918" s="5">
        <v>1</v>
      </c>
      <c r="D918" s="15">
        <v>13790068</v>
      </c>
      <c r="E918" s="1" t="s">
        <v>2504</v>
      </c>
      <c r="F918" s="18">
        <v>1979284</v>
      </c>
      <c r="G918" s="9">
        <v>45526</v>
      </c>
      <c r="H918" s="1" t="s">
        <v>2508</v>
      </c>
      <c r="I918" s="12" t="s">
        <v>1518</v>
      </c>
      <c r="J918" s="6">
        <v>236216</v>
      </c>
      <c r="K918" s="3">
        <v>15236216</v>
      </c>
    </row>
    <row r="919" spans="1:11" x14ac:dyDescent="0.25">
      <c r="A919" s="1" t="s">
        <v>2842</v>
      </c>
      <c r="B919" s="1" t="s">
        <v>1527</v>
      </c>
      <c r="C919" s="5">
        <v>1</v>
      </c>
      <c r="D919" s="14">
        <v>35116398</v>
      </c>
      <c r="E919" s="1" t="s">
        <v>1538</v>
      </c>
      <c r="F919" s="17">
        <v>5757029</v>
      </c>
      <c r="G919" s="8">
        <v>45617</v>
      </c>
      <c r="H919" s="1" t="s">
        <v>1513</v>
      </c>
      <c r="I919" s="11" t="s">
        <v>1521</v>
      </c>
      <c r="J919" s="6">
        <v>587187</v>
      </c>
      <c r="K919" s="3">
        <v>15587187</v>
      </c>
    </row>
    <row r="920" spans="1:11" x14ac:dyDescent="0.25">
      <c r="A920" s="1" t="s">
        <v>2843</v>
      </c>
      <c r="B920" s="1" t="s">
        <v>1532</v>
      </c>
      <c r="C920" s="5">
        <v>2</v>
      </c>
      <c r="D920" s="15">
        <v>2146437</v>
      </c>
      <c r="E920" s="1" t="s">
        <v>1538</v>
      </c>
      <c r="F920" s="18">
        <v>3916441</v>
      </c>
      <c r="G920" s="9">
        <v>45640</v>
      </c>
      <c r="H920" s="1" t="s">
        <v>2508</v>
      </c>
      <c r="I920" s="12" t="s">
        <v>1521</v>
      </c>
      <c r="J920" s="6">
        <v>350959</v>
      </c>
      <c r="K920" s="3">
        <v>15350959</v>
      </c>
    </row>
    <row r="921" spans="1:11" x14ac:dyDescent="0.25">
      <c r="A921" s="1" t="s">
        <v>2116</v>
      </c>
      <c r="B921" s="1" t="s">
        <v>1525</v>
      </c>
      <c r="C921" s="5">
        <v>4</v>
      </c>
      <c r="D921" s="14">
        <v>29403827</v>
      </c>
      <c r="E921" s="1" t="s">
        <v>2504</v>
      </c>
      <c r="F921" s="17">
        <v>772006</v>
      </c>
      <c r="G921" s="8">
        <v>45505</v>
      </c>
      <c r="H921" s="1" t="s">
        <v>2510</v>
      </c>
      <c r="I921" s="11" t="s">
        <v>1512</v>
      </c>
      <c r="J921" s="6">
        <v>572636</v>
      </c>
      <c r="K921" s="3">
        <v>15572636</v>
      </c>
    </row>
    <row r="922" spans="1:11" x14ac:dyDescent="0.25">
      <c r="A922" s="1" t="s">
        <v>2844</v>
      </c>
      <c r="B922" s="1" t="s">
        <v>1523</v>
      </c>
      <c r="C922" s="5">
        <v>2</v>
      </c>
      <c r="D922" s="15">
        <v>37062089</v>
      </c>
      <c r="E922" s="1" t="s">
        <v>2504</v>
      </c>
      <c r="F922" s="18">
        <v>1370522</v>
      </c>
      <c r="G922" s="9">
        <v>45602</v>
      </c>
      <c r="H922" s="1" t="s">
        <v>1522</v>
      </c>
      <c r="I922" s="12" t="s">
        <v>1518</v>
      </c>
      <c r="J922" s="6">
        <v>713831</v>
      </c>
      <c r="K922" s="3">
        <v>15713831</v>
      </c>
    </row>
    <row r="923" spans="1:11" x14ac:dyDescent="0.25">
      <c r="A923" s="1" t="s">
        <v>2117</v>
      </c>
      <c r="B923" s="1" t="s">
        <v>1525</v>
      </c>
      <c r="C923" s="5">
        <v>5</v>
      </c>
      <c r="D923" s="14">
        <v>106605</v>
      </c>
      <c r="E923" s="1" t="s">
        <v>1515</v>
      </c>
      <c r="F923" s="17">
        <v>13890</v>
      </c>
      <c r="G923" s="8">
        <v>45675</v>
      </c>
      <c r="H923" s="1" t="s">
        <v>1519</v>
      </c>
      <c r="I923" s="11" t="s">
        <v>1512</v>
      </c>
      <c r="J923" s="6">
        <v>18543</v>
      </c>
      <c r="K923" s="3">
        <v>15018543</v>
      </c>
    </row>
    <row r="924" spans="1:11" x14ac:dyDescent="0.25">
      <c r="A924" s="1" t="s">
        <v>2118</v>
      </c>
      <c r="B924" s="1" t="s">
        <v>1545</v>
      </c>
      <c r="C924" s="5">
        <v>1</v>
      </c>
      <c r="D924" s="15">
        <v>20079636</v>
      </c>
      <c r="E924" s="1" t="s">
        <v>1538</v>
      </c>
      <c r="F924" s="18">
        <v>4649073</v>
      </c>
      <c r="G924" s="9">
        <v>45671</v>
      </c>
      <c r="H924" s="1" t="s">
        <v>1513</v>
      </c>
      <c r="I924" s="12" t="s">
        <v>2509</v>
      </c>
      <c r="J924" s="6">
        <v>308611</v>
      </c>
      <c r="K924" s="3">
        <v>15308611</v>
      </c>
    </row>
    <row r="925" spans="1:11" x14ac:dyDescent="0.25">
      <c r="A925" s="1" t="s">
        <v>2119</v>
      </c>
      <c r="B925" s="1" t="s">
        <v>1545</v>
      </c>
      <c r="C925" s="5">
        <v>5</v>
      </c>
      <c r="D925" s="14">
        <v>27724879</v>
      </c>
      <c r="E925" s="1" t="s">
        <v>1538</v>
      </c>
      <c r="F925" s="17">
        <v>3353947</v>
      </c>
      <c r="G925" s="8">
        <v>45757</v>
      </c>
      <c r="H925" s="1" t="s">
        <v>1543</v>
      </c>
      <c r="I925" s="11" t="s">
        <v>2509</v>
      </c>
      <c r="J925" s="6">
        <v>487419</v>
      </c>
      <c r="K925" s="3">
        <v>15487419</v>
      </c>
    </row>
    <row r="926" spans="1:11" x14ac:dyDescent="0.25">
      <c r="A926" s="1" t="s">
        <v>2120</v>
      </c>
      <c r="B926" s="1" t="s">
        <v>1525</v>
      </c>
      <c r="C926" s="5">
        <v>2</v>
      </c>
      <c r="D926" s="15">
        <v>32077834</v>
      </c>
      <c r="E926" s="1" t="s">
        <v>1515</v>
      </c>
      <c r="F926" s="18">
        <v>6855655</v>
      </c>
      <c r="G926" s="9">
        <v>45557</v>
      </c>
      <c r="H926" s="1" t="s">
        <v>1543</v>
      </c>
      <c r="I926" s="12" t="s">
        <v>2507</v>
      </c>
      <c r="J926" s="6">
        <v>504444</v>
      </c>
      <c r="K926" s="3">
        <v>15504444</v>
      </c>
    </row>
    <row r="927" spans="1:11" x14ac:dyDescent="0.25">
      <c r="A927" s="1" t="s">
        <v>2121</v>
      </c>
      <c r="B927" s="1" t="s">
        <v>1525</v>
      </c>
      <c r="C927" s="5">
        <v>2</v>
      </c>
      <c r="D927" s="14">
        <v>12546607</v>
      </c>
      <c r="E927" s="1" t="s">
        <v>1538</v>
      </c>
      <c r="F927" s="17">
        <v>1878851</v>
      </c>
      <c r="G927" s="8">
        <v>45806</v>
      </c>
      <c r="H927" s="1" t="s">
        <v>2512</v>
      </c>
      <c r="I927" s="11" t="s">
        <v>2511</v>
      </c>
      <c r="J927" s="6">
        <v>213355</v>
      </c>
      <c r="K927" s="3">
        <v>15213355</v>
      </c>
    </row>
    <row r="928" spans="1:11" x14ac:dyDescent="0.25">
      <c r="A928" s="1" t="s">
        <v>2122</v>
      </c>
      <c r="B928" s="1" t="s">
        <v>1525</v>
      </c>
      <c r="C928" s="5">
        <v>4</v>
      </c>
      <c r="D928" s="15">
        <v>46758786</v>
      </c>
      <c r="E928" s="1" t="s">
        <v>1515</v>
      </c>
      <c r="F928" s="18">
        <v>8181705</v>
      </c>
      <c r="G928" s="9">
        <v>45749</v>
      </c>
      <c r="H928" s="1" t="s">
        <v>2519</v>
      </c>
      <c r="I928" s="12" t="s">
        <v>2511</v>
      </c>
      <c r="J928" s="6">
        <v>771542</v>
      </c>
      <c r="K928" s="3">
        <v>15771542</v>
      </c>
    </row>
    <row r="929" spans="1:11" x14ac:dyDescent="0.25">
      <c r="A929" s="1" t="s">
        <v>2845</v>
      </c>
      <c r="B929" s="1" t="s">
        <v>1523</v>
      </c>
      <c r="C929" s="5">
        <v>5</v>
      </c>
      <c r="D929" s="14">
        <v>4910231</v>
      </c>
      <c r="E929" s="1" t="s">
        <v>1538</v>
      </c>
      <c r="F929" s="17">
        <v>1170324</v>
      </c>
      <c r="G929" s="8">
        <v>45606</v>
      </c>
      <c r="H929" s="1" t="s">
        <v>1513</v>
      </c>
      <c r="I929" s="11" t="s">
        <v>2511</v>
      </c>
      <c r="J929" s="6">
        <v>74798</v>
      </c>
      <c r="K929" s="3">
        <v>15074798</v>
      </c>
    </row>
    <row r="930" spans="1:11" x14ac:dyDescent="0.25">
      <c r="A930" s="1" t="s">
        <v>2123</v>
      </c>
      <c r="B930" s="1" t="s">
        <v>1540</v>
      </c>
      <c r="C930" s="5">
        <v>1</v>
      </c>
      <c r="D930" s="15">
        <v>28374158</v>
      </c>
      <c r="E930" s="1" t="s">
        <v>2504</v>
      </c>
      <c r="F930" s="18">
        <v>5980245</v>
      </c>
      <c r="G930" s="9">
        <v>45534</v>
      </c>
      <c r="H930" s="1" t="s">
        <v>1519</v>
      </c>
      <c r="I930" s="12" t="s">
        <v>2507</v>
      </c>
      <c r="J930" s="6">
        <v>447878</v>
      </c>
      <c r="K930" s="3">
        <v>15447878</v>
      </c>
    </row>
    <row r="931" spans="1:11" x14ac:dyDescent="0.25">
      <c r="A931" s="1" t="s">
        <v>2846</v>
      </c>
      <c r="B931" s="1" t="s">
        <v>1540</v>
      </c>
      <c r="C931" s="5">
        <v>4</v>
      </c>
      <c r="D931" s="14">
        <v>34672001</v>
      </c>
      <c r="E931" s="1" t="s">
        <v>1515</v>
      </c>
      <c r="F931" s="17">
        <v>806494</v>
      </c>
      <c r="G931" s="8">
        <v>45807</v>
      </c>
      <c r="H931" s="1" t="s">
        <v>2515</v>
      </c>
      <c r="I931" s="11" t="s">
        <v>2511</v>
      </c>
      <c r="J931" s="6">
        <v>532141</v>
      </c>
      <c r="K931" s="3">
        <v>15532141</v>
      </c>
    </row>
    <row r="932" spans="1:11" x14ac:dyDescent="0.25">
      <c r="A932" s="1" t="s">
        <v>2847</v>
      </c>
      <c r="B932" s="1" t="s">
        <v>1534</v>
      </c>
      <c r="C932" s="5">
        <v>5</v>
      </c>
      <c r="D932" s="15">
        <v>29101361</v>
      </c>
      <c r="E932" s="1" t="s">
        <v>1538</v>
      </c>
      <c r="F932" s="18">
        <v>1513758</v>
      </c>
      <c r="G932" s="9">
        <v>45793</v>
      </c>
      <c r="H932" s="1" t="s">
        <v>1519</v>
      </c>
      <c r="I932" s="12" t="s">
        <v>2511</v>
      </c>
      <c r="J932" s="6">
        <v>551752</v>
      </c>
      <c r="K932" s="3">
        <v>15551752</v>
      </c>
    </row>
    <row r="933" spans="1:11" x14ac:dyDescent="0.25">
      <c r="A933" s="1" t="s">
        <v>2124</v>
      </c>
      <c r="B933" s="1" t="s">
        <v>1527</v>
      </c>
      <c r="C933" s="5">
        <v>3</v>
      </c>
      <c r="D933" s="14">
        <v>6074263</v>
      </c>
      <c r="E933" s="1" t="s">
        <v>1515</v>
      </c>
      <c r="F933" s="17">
        <v>149080</v>
      </c>
      <c r="G933" s="8">
        <v>45571</v>
      </c>
      <c r="H933" s="1" t="s">
        <v>1543</v>
      </c>
      <c r="I933" s="11" t="s">
        <v>2509</v>
      </c>
      <c r="J933" s="6">
        <v>91669</v>
      </c>
      <c r="K933" s="3">
        <v>15091669</v>
      </c>
    </row>
    <row r="934" spans="1:11" x14ac:dyDescent="0.25">
      <c r="A934" s="1" t="s">
        <v>2125</v>
      </c>
      <c r="B934" s="1" t="s">
        <v>1514</v>
      </c>
      <c r="C934" s="5">
        <v>2</v>
      </c>
      <c r="D934" s="15">
        <v>6298165</v>
      </c>
      <c r="E934" s="1" t="s">
        <v>2504</v>
      </c>
      <c r="F934" s="18">
        <v>1457863</v>
      </c>
      <c r="G934" s="9">
        <v>45826</v>
      </c>
      <c r="H934" s="1" t="s">
        <v>1543</v>
      </c>
      <c r="I934" s="12" t="s">
        <v>1521</v>
      </c>
      <c r="J934" s="6">
        <v>96806</v>
      </c>
      <c r="K934" s="3">
        <v>15096806</v>
      </c>
    </row>
    <row r="935" spans="1:11" x14ac:dyDescent="0.25">
      <c r="A935" s="1" t="s">
        <v>2126</v>
      </c>
      <c r="B935" s="1" t="s">
        <v>1532</v>
      </c>
      <c r="C935" s="5">
        <v>5</v>
      </c>
      <c r="D935" s="14">
        <v>48401954</v>
      </c>
      <c r="E935" s="1" t="s">
        <v>2504</v>
      </c>
      <c r="F935" s="17">
        <v>508221</v>
      </c>
      <c r="G935" s="8">
        <v>45722</v>
      </c>
      <c r="H935" s="1" t="s">
        <v>1513</v>
      </c>
      <c r="I935" s="11" t="s">
        <v>1512</v>
      </c>
      <c r="J935" s="6">
        <v>866395</v>
      </c>
      <c r="K935" s="3">
        <v>15866395</v>
      </c>
    </row>
    <row r="936" spans="1:11" x14ac:dyDescent="0.25">
      <c r="A936" s="1" t="s">
        <v>2127</v>
      </c>
      <c r="B936" s="1" t="s">
        <v>1517</v>
      </c>
      <c r="C936" s="5">
        <v>4</v>
      </c>
      <c r="D936" s="15">
        <v>415243</v>
      </c>
      <c r="E936" s="1" t="s">
        <v>1515</v>
      </c>
      <c r="F936" s="18">
        <v>743899</v>
      </c>
      <c r="G936" s="9">
        <v>45788</v>
      </c>
      <c r="H936" s="1" t="s">
        <v>2515</v>
      </c>
      <c r="I936" s="12" t="s">
        <v>1512</v>
      </c>
      <c r="J936" s="6">
        <v>68171</v>
      </c>
      <c r="K936" s="3">
        <v>15068171</v>
      </c>
    </row>
    <row r="937" spans="1:11" x14ac:dyDescent="0.25">
      <c r="A937" s="1" t="s">
        <v>2848</v>
      </c>
      <c r="B937" s="1" t="s">
        <v>1523</v>
      </c>
      <c r="C937" s="5">
        <v>2</v>
      </c>
      <c r="D937" s="14">
        <v>17555532</v>
      </c>
      <c r="E937" s="1" t="s">
        <v>1515</v>
      </c>
      <c r="F937" s="17">
        <v>861668</v>
      </c>
      <c r="G937" s="8">
        <v>45761</v>
      </c>
      <c r="H937" s="1" t="s">
        <v>1519</v>
      </c>
      <c r="I937" s="11" t="s">
        <v>1512</v>
      </c>
      <c r="J937" s="6">
        <v>333877</v>
      </c>
      <c r="K937" s="3">
        <v>15333877</v>
      </c>
    </row>
    <row r="938" spans="1:11" x14ac:dyDescent="0.25">
      <c r="A938" s="1" t="s">
        <v>2849</v>
      </c>
      <c r="B938" s="1" t="s">
        <v>1525</v>
      </c>
      <c r="C938" s="5">
        <v>1</v>
      </c>
      <c r="D938" s="15">
        <v>13201377</v>
      </c>
      <c r="E938" s="1" t="s">
        <v>1538</v>
      </c>
      <c r="F938" s="18">
        <v>1105466</v>
      </c>
      <c r="G938" s="9">
        <v>45629</v>
      </c>
      <c r="H938" s="1" t="s">
        <v>1513</v>
      </c>
      <c r="I938" s="12" t="s">
        <v>1521</v>
      </c>
      <c r="J938" s="6">
        <v>241918</v>
      </c>
      <c r="K938" s="3">
        <v>15241918</v>
      </c>
    </row>
    <row r="939" spans="1:11" x14ac:dyDescent="0.25">
      <c r="A939" s="1" t="s">
        <v>2128</v>
      </c>
      <c r="B939" s="1" t="s">
        <v>1525</v>
      </c>
      <c r="C939" s="5">
        <v>3</v>
      </c>
      <c r="D939" s="14">
        <v>5452766</v>
      </c>
      <c r="E939" s="1" t="s">
        <v>2504</v>
      </c>
      <c r="F939" s="17">
        <v>1210733</v>
      </c>
      <c r="G939" s="8">
        <v>45771</v>
      </c>
      <c r="H939" s="1" t="s">
        <v>1519</v>
      </c>
      <c r="I939" s="11" t="s">
        <v>1518</v>
      </c>
      <c r="J939" s="6">
        <v>84841</v>
      </c>
      <c r="K939" s="3">
        <v>15084841</v>
      </c>
    </row>
    <row r="940" spans="1:11" x14ac:dyDescent="0.25">
      <c r="A940" s="1" t="s">
        <v>2129</v>
      </c>
      <c r="B940" s="1" t="s">
        <v>1540</v>
      </c>
      <c r="C940" s="5">
        <v>3</v>
      </c>
      <c r="D940" s="15">
        <v>13027768</v>
      </c>
      <c r="E940" s="1" t="s">
        <v>1515</v>
      </c>
      <c r="F940" s="18">
        <v>2623027</v>
      </c>
      <c r="G940" s="9">
        <v>45502</v>
      </c>
      <c r="H940" s="1" t="s">
        <v>1543</v>
      </c>
      <c r="I940" s="12" t="s">
        <v>2511</v>
      </c>
      <c r="J940" s="6">
        <v>208095</v>
      </c>
      <c r="K940" s="3">
        <v>15208095</v>
      </c>
    </row>
    <row r="941" spans="1:11" x14ac:dyDescent="0.25">
      <c r="A941" s="1" t="s">
        <v>2130</v>
      </c>
      <c r="B941" s="1" t="s">
        <v>1527</v>
      </c>
      <c r="C941" s="5">
        <v>2</v>
      </c>
      <c r="D941" s="14">
        <v>1936159</v>
      </c>
      <c r="E941" s="1" t="s">
        <v>1538</v>
      </c>
      <c r="F941" s="17">
        <v>3119053</v>
      </c>
      <c r="G941" s="8">
        <v>45840</v>
      </c>
      <c r="H941" s="1" t="s">
        <v>2519</v>
      </c>
      <c r="I941" s="11" t="s">
        <v>2507</v>
      </c>
      <c r="J941" s="6">
        <v>324851</v>
      </c>
      <c r="K941" s="3">
        <v>15324851</v>
      </c>
    </row>
    <row r="942" spans="1:11" x14ac:dyDescent="0.25">
      <c r="A942" s="1" t="s">
        <v>2850</v>
      </c>
      <c r="B942" s="1" t="s">
        <v>1532</v>
      </c>
      <c r="C942" s="5">
        <v>5</v>
      </c>
      <c r="D942" s="15">
        <v>6436663</v>
      </c>
      <c r="E942" s="1" t="s">
        <v>1538</v>
      </c>
      <c r="F942" s="18">
        <v>80599</v>
      </c>
      <c r="G942" s="9">
        <v>45667</v>
      </c>
      <c r="H942" s="1" t="s">
        <v>1519</v>
      </c>
      <c r="I942" s="12" t="s">
        <v>2511</v>
      </c>
      <c r="J942" s="6">
        <v>112613</v>
      </c>
      <c r="K942" s="3">
        <v>15112613</v>
      </c>
    </row>
    <row r="943" spans="1:11" x14ac:dyDescent="0.25">
      <c r="A943" s="1" t="s">
        <v>2131</v>
      </c>
      <c r="B943" s="1" t="s">
        <v>1536</v>
      </c>
      <c r="C943" s="5">
        <v>4</v>
      </c>
      <c r="D943" s="14">
        <v>42321744</v>
      </c>
      <c r="E943" s="1" t="s">
        <v>1538</v>
      </c>
      <c r="F943" s="17">
        <v>5834835</v>
      </c>
      <c r="G943" s="8">
        <v>45716</v>
      </c>
      <c r="H943" s="1" t="s">
        <v>1522</v>
      </c>
      <c r="I943" s="11" t="s">
        <v>2507</v>
      </c>
      <c r="J943" s="6">
        <v>729738</v>
      </c>
      <c r="K943" s="3">
        <v>15729738</v>
      </c>
    </row>
    <row r="944" spans="1:11" x14ac:dyDescent="0.25">
      <c r="A944" s="1" t="s">
        <v>2132</v>
      </c>
      <c r="B944" s="1" t="s">
        <v>1536</v>
      </c>
      <c r="C944" s="5">
        <v>2</v>
      </c>
      <c r="D944" s="15">
        <v>34623359</v>
      </c>
      <c r="E944" s="1" t="s">
        <v>1538</v>
      </c>
      <c r="F944" s="18">
        <v>6790228</v>
      </c>
      <c r="G944" s="9">
        <v>45757</v>
      </c>
      <c r="H944" s="1" t="s">
        <v>2512</v>
      </c>
      <c r="I944" s="12" t="s">
        <v>1512</v>
      </c>
      <c r="J944" s="6">
        <v>556663</v>
      </c>
      <c r="K944" s="3">
        <v>15556663</v>
      </c>
    </row>
    <row r="945" spans="1:11" x14ac:dyDescent="0.25">
      <c r="A945" s="1" t="s">
        <v>2133</v>
      </c>
      <c r="B945" s="1" t="s">
        <v>1525</v>
      </c>
      <c r="C945" s="5">
        <v>1</v>
      </c>
      <c r="D945" s="14">
        <v>9691997</v>
      </c>
      <c r="E945" s="1" t="s">
        <v>1538</v>
      </c>
      <c r="F945" s="17">
        <v>1822925</v>
      </c>
      <c r="G945" s="8">
        <v>45643</v>
      </c>
      <c r="H945" s="1" t="s">
        <v>2519</v>
      </c>
      <c r="I945" s="11" t="s">
        <v>1521</v>
      </c>
      <c r="J945" s="6">
        <v>157381</v>
      </c>
      <c r="K945" s="3">
        <v>15157381</v>
      </c>
    </row>
    <row r="946" spans="1:11" x14ac:dyDescent="0.25">
      <c r="A946" s="1" t="s">
        <v>2851</v>
      </c>
      <c r="B946" s="1" t="s">
        <v>1540</v>
      </c>
      <c r="C946" s="5">
        <v>5</v>
      </c>
      <c r="D946" s="15">
        <v>43736933</v>
      </c>
      <c r="E946" s="1" t="s">
        <v>1515</v>
      </c>
      <c r="F946" s="18">
        <v>51276</v>
      </c>
      <c r="G946" s="9">
        <v>45603</v>
      </c>
      <c r="H946" s="1" t="s">
        <v>2508</v>
      </c>
      <c r="I946" s="12" t="s">
        <v>2509</v>
      </c>
      <c r="J946" s="6">
        <v>864483</v>
      </c>
      <c r="K946" s="3">
        <v>15864483</v>
      </c>
    </row>
    <row r="947" spans="1:11" x14ac:dyDescent="0.25">
      <c r="A947" s="1" t="s">
        <v>2852</v>
      </c>
      <c r="B947" s="1" t="s">
        <v>1545</v>
      </c>
      <c r="C947" s="5">
        <v>1</v>
      </c>
      <c r="D947" s="14">
        <v>6755693</v>
      </c>
      <c r="E947" s="1" t="s">
        <v>2504</v>
      </c>
      <c r="F947" s="17">
        <v>678528</v>
      </c>
      <c r="G947" s="8">
        <v>45651</v>
      </c>
      <c r="H947" s="1" t="s">
        <v>2510</v>
      </c>
      <c r="I947" s="11" t="s">
        <v>2507</v>
      </c>
      <c r="J947" s="6">
        <v>121543</v>
      </c>
      <c r="K947" s="3">
        <v>15121543</v>
      </c>
    </row>
    <row r="948" spans="1:11" x14ac:dyDescent="0.25">
      <c r="A948" s="1" t="s">
        <v>2134</v>
      </c>
      <c r="B948" s="1" t="s">
        <v>1525</v>
      </c>
      <c r="C948" s="5">
        <v>1</v>
      </c>
      <c r="D948" s="15">
        <v>6372826</v>
      </c>
      <c r="E948" s="1" t="s">
        <v>1515</v>
      </c>
      <c r="F948" s="18">
        <v>249641</v>
      </c>
      <c r="G948" s="9">
        <v>45607</v>
      </c>
      <c r="H948" s="1" t="s">
        <v>1519</v>
      </c>
      <c r="I948" s="12" t="s">
        <v>1512</v>
      </c>
      <c r="J948" s="6">
        <v>122464</v>
      </c>
      <c r="K948" s="3">
        <v>15122464</v>
      </c>
    </row>
    <row r="949" spans="1:11" x14ac:dyDescent="0.25">
      <c r="A949" s="1" t="s">
        <v>2853</v>
      </c>
      <c r="B949" s="1" t="s">
        <v>1540</v>
      </c>
      <c r="C949" s="5">
        <v>1</v>
      </c>
      <c r="D949" s="14">
        <v>4003124</v>
      </c>
      <c r="E949" s="1" t="s">
        <v>2504</v>
      </c>
      <c r="F949" s="17">
        <v>94353</v>
      </c>
      <c r="G949" s="8">
        <v>45630</v>
      </c>
      <c r="H949" s="1" t="s">
        <v>1513</v>
      </c>
      <c r="I949" s="11" t="s">
        <v>2507</v>
      </c>
      <c r="J949" s="6">
        <v>61192</v>
      </c>
      <c r="K949" s="3">
        <v>15061192</v>
      </c>
    </row>
    <row r="950" spans="1:11" x14ac:dyDescent="0.25">
      <c r="A950" s="1" t="s">
        <v>2135</v>
      </c>
      <c r="B950" s="1" t="s">
        <v>1523</v>
      </c>
      <c r="C950" s="5">
        <v>2</v>
      </c>
      <c r="D950" s="15">
        <v>1994142</v>
      </c>
      <c r="E950" s="1" t="s">
        <v>1538</v>
      </c>
      <c r="F950" s="18">
        <v>2766591</v>
      </c>
      <c r="G950" s="9">
        <v>45527</v>
      </c>
      <c r="H950" s="1" t="s">
        <v>2519</v>
      </c>
      <c r="I950" s="12" t="s">
        <v>2507</v>
      </c>
      <c r="J950" s="6">
        <v>343497</v>
      </c>
      <c r="K950" s="3">
        <v>15343497</v>
      </c>
    </row>
    <row r="951" spans="1:11" x14ac:dyDescent="0.25">
      <c r="A951" s="1" t="s">
        <v>2136</v>
      </c>
      <c r="B951" s="1" t="s">
        <v>1536</v>
      </c>
      <c r="C951" s="5">
        <v>5</v>
      </c>
      <c r="D951" s="14">
        <v>26118402</v>
      </c>
      <c r="E951" s="1" t="s">
        <v>1538</v>
      </c>
      <c r="F951" s="17">
        <v>96172</v>
      </c>
      <c r="G951" s="8">
        <v>45682</v>
      </c>
      <c r="H951" s="1" t="s">
        <v>2512</v>
      </c>
      <c r="I951" s="11" t="s">
        <v>2511</v>
      </c>
      <c r="J951" s="6">
        <v>520445</v>
      </c>
      <c r="K951" s="3">
        <v>15520445</v>
      </c>
    </row>
    <row r="952" spans="1:11" x14ac:dyDescent="0.25">
      <c r="A952" s="1" t="s">
        <v>2137</v>
      </c>
      <c r="B952" s="1" t="s">
        <v>1525</v>
      </c>
      <c r="C952" s="5">
        <v>1</v>
      </c>
      <c r="D952" s="15">
        <v>21969048</v>
      </c>
      <c r="E952" s="1" t="s">
        <v>1538</v>
      </c>
      <c r="F952" s="18">
        <v>277723</v>
      </c>
      <c r="G952" s="9">
        <v>45673</v>
      </c>
      <c r="H952" s="1" t="s">
        <v>1513</v>
      </c>
      <c r="I952" s="12" t="s">
        <v>1512</v>
      </c>
      <c r="J952" s="6">
        <v>433827</v>
      </c>
      <c r="K952" s="3">
        <v>15433827</v>
      </c>
    </row>
    <row r="953" spans="1:11" x14ac:dyDescent="0.25">
      <c r="A953" s="1" t="s">
        <v>2138</v>
      </c>
      <c r="B953" s="1" t="s">
        <v>1545</v>
      </c>
      <c r="C953" s="5">
        <v>5</v>
      </c>
      <c r="D953" s="14">
        <v>33662925</v>
      </c>
      <c r="E953" s="1" t="s">
        <v>1538</v>
      </c>
      <c r="F953" s="17">
        <v>7667412</v>
      </c>
      <c r="G953" s="8">
        <v>45499</v>
      </c>
      <c r="H953" s="1" t="s">
        <v>2512</v>
      </c>
      <c r="I953" s="11" t="s">
        <v>1518</v>
      </c>
      <c r="J953" s="6">
        <v>51991</v>
      </c>
      <c r="K953" s="3">
        <v>1551991</v>
      </c>
    </row>
    <row r="954" spans="1:11" x14ac:dyDescent="0.25">
      <c r="A954" s="1" t="s">
        <v>2139</v>
      </c>
      <c r="B954" s="1" t="s">
        <v>1527</v>
      </c>
      <c r="C954" s="5">
        <v>1</v>
      </c>
      <c r="D954" s="15">
        <v>3813488</v>
      </c>
      <c r="E954" s="1" t="s">
        <v>1538</v>
      </c>
      <c r="F954" s="18">
        <v>1213544</v>
      </c>
      <c r="G954" s="9">
        <v>45548</v>
      </c>
      <c r="H954" s="1" t="s">
        <v>2519</v>
      </c>
      <c r="I954" s="12" t="s">
        <v>2509</v>
      </c>
      <c r="J954" s="6">
        <v>738427</v>
      </c>
      <c r="K954" s="3">
        <v>15738427</v>
      </c>
    </row>
    <row r="955" spans="1:11" x14ac:dyDescent="0.25">
      <c r="A955" s="1" t="s">
        <v>2854</v>
      </c>
      <c r="B955" s="1" t="s">
        <v>1525</v>
      </c>
      <c r="C955" s="5">
        <v>1</v>
      </c>
      <c r="D955" s="14">
        <v>24173938</v>
      </c>
      <c r="E955" s="1" t="s">
        <v>2504</v>
      </c>
      <c r="F955" s="17">
        <v>4653249</v>
      </c>
      <c r="G955" s="8">
        <v>45537</v>
      </c>
      <c r="H955" s="1" t="s">
        <v>2508</v>
      </c>
      <c r="I955" s="11" t="s">
        <v>2509</v>
      </c>
      <c r="J955" s="6">
        <v>390414</v>
      </c>
      <c r="K955" s="3">
        <v>15390414</v>
      </c>
    </row>
    <row r="956" spans="1:11" x14ac:dyDescent="0.25">
      <c r="A956" s="1" t="s">
        <v>2140</v>
      </c>
      <c r="B956" s="1" t="s">
        <v>1527</v>
      </c>
      <c r="C956" s="5">
        <v>4</v>
      </c>
      <c r="D956" s="15">
        <v>3718248</v>
      </c>
      <c r="E956" s="1" t="s">
        <v>1515</v>
      </c>
      <c r="F956" s="18">
        <v>42134</v>
      </c>
      <c r="G956" s="9">
        <v>45803</v>
      </c>
      <c r="H956" s="1" t="s">
        <v>1516</v>
      </c>
      <c r="I956" s="12" t="s">
        <v>1512</v>
      </c>
      <c r="J956" s="6">
        <v>73522</v>
      </c>
      <c r="K956" s="3">
        <v>15073522</v>
      </c>
    </row>
    <row r="957" spans="1:11" x14ac:dyDescent="0.25">
      <c r="A957" s="1" t="s">
        <v>2141</v>
      </c>
      <c r="B957" s="1" t="s">
        <v>1517</v>
      </c>
      <c r="C957" s="5">
        <v>3</v>
      </c>
      <c r="D957" s="14">
        <v>32071221</v>
      </c>
      <c r="E957" s="1" t="s">
        <v>2504</v>
      </c>
      <c r="F957" s="17">
        <v>7690337</v>
      </c>
      <c r="G957" s="8">
        <v>45734</v>
      </c>
      <c r="H957" s="1" t="s">
        <v>1516</v>
      </c>
      <c r="I957" s="11" t="s">
        <v>1512</v>
      </c>
      <c r="J957" s="6">
        <v>487618</v>
      </c>
      <c r="K957" s="3">
        <v>15487618</v>
      </c>
    </row>
    <row r="958" spans="1:11" x14ac:dyDescent="0.25">
      <c r="A958" s="1" t="s">
        <v>2855</v>
      </c>
      <c r="B958" s="1" t="s">
        <v>1514</v>
      </c>
      <c r="C958" s="5">
        <v>2</v>
      </c>
      <c r="D958" s="15">
        <v>36667517</v>
      </c>
      <c r="E958" s="1" t="s">
        <v>2504</v>
      </c>
      <c r="F958" s="18">
        <v>6999871</v>
      </c>
      <c r="G958" s="9">
        <v>45735</v>
      </c>
      <c r="H958" s="1" t="s">
        <v>1522</v>
      </c>
      <c r="I958" s="12" t="s">
        <v>2507</v>
      </c>
      <c r="J958" s="6">
        <v>593353</v>
      </c>
      <c r="K958" s="3">
        <v>15593353</v>
      </c>
    </row>
    <row r="959" spans="1:11" x14ac:dyDescent="0.25">
      <c r="A959" s="1" t="s">
        <v>2142</v>
      </c>
      <c r="B959" s="1" t="s">
        <v>1514</v>
      </c>
      <c r="C959" s="5">
        <v>1</v>
      </c>
      <c r="D959" s="14">
        <v>37902679</v>
      </c>
      <c r="E959" s="1" t="s">
        <v>1515</v>
      </c>
      <c r="F959" s="17">
        <v>67624</v>
      </c>
      <c r="G959" s="8">
        <v>45669</v>
      </c>
      <c r="H959" s="1" t="s">
        <v>1543</v>
      </c>
      <c r="I959" s="11" t="s">
        <v>1521</v>
      </c>
      <c r="J959" s="6">
        <v>744529</v>
      </c>
      <c r="K959" s="3">
        <v>15744529</v>
      </c>
    </row>
    <row r="960" spans="1:11" x14ac:dyDescent="0.25">
      <c r="A960" s="1" t="s">
        <v>2143</v>
      </c>
      <c r="B960" s="1" t="s">
        <v>1534</v>
      </c>
      <c r="C960" s="5">
        <v>3</v>
      </c>
      <c r="D960" s="15">
        <v>36933556</v>
      </c>
      <c r="E960" s="1" t="s">
        <v>1515</v>
      </c>
      <c r="F960" s="18">
        <v>1970459</v>
      </c>
      <c r="G960" s="9">
        <v>45681</v>
      </c>
      <c r="H960" s="1" t="s">
        <v>1543</v>
      </c>
      <c r="I960" s="12" t="s">
        <v>2509</v>
      </c>
      <c r="J960" s="6">
        <v>699262</v>
      </c>
      <c r="K960" s="3">
        <v>15699262</v>
      </c>
    </row>
    <row r="961" spans="1:11" x14ac:dyDescent="0.25">
      <c r="A961" s="1" t="s">
        <v>2144</v>
      </c>
      <c r="B961" s="1" t="s">
        <v>1527</v>
      </c>
      <c r="C961" s="5">
        <v>1</v>
      </c>
      <c r="D961" s="14">
        <v>46507518</v>
      </c>
      <c r="E961" s="1" t="s">
        <v>1538</v>
      </c>
      <c r="F961" s="17">
        <v>2024445</v>
      </c>
      <c r="G961" s="8">
        <v>45637</v>
      </c>
      <c r="H961" s="1" t="s">
        <v>2508</v>
      </c>
      <c r="I961" s="11" t="s">
        <v>2507</v>
      </c>
      <c r="J961" s="6">
        <v>889661</v>
      </c>
      <c r="K961" s="3">
        <v>15889661</v>
      </c>
    </row>
    <row r="962" spans="1:11" x14ac:dyDescent="0.25">
      <c r="A962" s="1" t="s">
        <v>2856</v>
      </c>
      <c r="B962" s="1" t="s">
        <v>1545</v>
      </c>
      <c r="C962" s="5">
        <v>1</v>
      </c>
      <c r="D962" s="15">
        <v>6301592</v>
      </c>
      <c r="E962" s="1" t="s">
        <v>1538</v>
      </c>
      <c r="F962" s="18">
        <v>706068</v>
      </c>
      <c r="G962" s="9">
        <v>45833</v>
      </c>
      <c r="H962" s="1" t="s">
        <v>2510</v>
      </c>
      <c r="I962" s="12" t="s">
        <v>2507</v>
      </c>
      <c r="J962" s="6">
        <v>11191</v>
      </c>
      <c r="K962" s="3">
        <v>1511191</v>
      </c>
    </row>
    <row r="963" spans="1:11" x14ac:dyDescent="0.25">
      <c r="A963" s="1" t="s">
        <v>2145</v>
      </c>
      <c r="B963" s="1" t="s">
        <v>1514</v>
      </c>
      <c r="C963" s="5">
        <v>2</v>
      </c>
      <c r="D963" s="14">
        <v>20352896</v>
      </c>
      <c r="E963" s="1" t="s">
        <v>1515</v>
      </c>
      <c r="F963" s="17">
        <v>321894</v>
      </c>
      <c r="G963" s="8">
        <v>45516</v>
      </c>
      <c r="H963" s="1" t="s">
        <v>2512</v>
      </c>
      <c r="I963" s="11" t="s">
        <v>1521</v>
      </c>
      <c r="J963" s="6">
        <v>40062</v>
      </c>
      <c r="K963" s="3">
        <v>1540062</v>
      </c>
    </row>
    <row r="964" spans="1:11" x14ac:dyDescent="0.25">
      <c r="A964" s="1" t="s">
        <v>2146</v>
      </c>
      <c r="B964" s="1" t="s">
        <v>1517</v>
      </c>
      <c r="C964" s="5">
        <v>5</v>
      </c>
      <c r="D964" s="15">
        <v>14224286</v>
      </c>
      <c r="E964" s="1" t="s">
        <v>1538</v>
      </c>
      <c r="F964" s="18">
        <v>90233</v>
      </c>
      <c r="G964" s="9">
        <v>45539</v>
      </c>
      <c r="H964" s="1" t="s">
        <v>1513</v>
      </c>
      <c r="I964" s="12" t="s">
        <v>1512</v>
      </c>
      <c r="J964" s="6">
        <v>266439</v>
      </c>
      <c r="K964" s="3">
        <v>15266439</v>
      </c>
    </row>
    <row r="965" spans="1:11" x14ac:dyDescent="0.25">
      <c r="A965" s="1" t="s">
        <v>2147</v>
      </c>
      <c r="B965" s="1" t="s">
        <v>1545</v>
      </c>
      <c r="C965" s="5">
        <v>2</v>
      </c>
      <c r="D965" s="14">
        <v>6428637</v>
      </c>
      <c r="E965" s="1" t="s">
        <v>1515</v>
      </c>
      <c r="F965" s="17">
        <v>17122</v>
      </c>
      <c r="G965" s="8">
        <v>45591</v>
      </c>
      <c r="H965" s="1" t="s">
        <v>1516</v>
      </c>
      <c r="I965" s="11" t="s">
        <v>1518</v>
      </c>
      <c r="J965" s="6">
        <v>125148</v>
      </c>
      <c r="K965" s="3">
        <v>15125148</v>
      </c>
    </row>
    <row r="966" spans="1:11" x14ac:dyDescent="0.25">
      <c r="A966" s="1" t="s">
        <v>2857</v>
      </c>
      <c r="B966" s="1" t="s">
        <v>1534</v>
      </c>
      <c r="C966" s="5">
        <v>2</v>
      </c>
      <c r="D966" s="15">
        <v>18987259</v>
      </c>
      <c r="E966" s="1" t="s">
        <v>1538</v>
      </c>
      <c r="F966" s="18">
        <v>1697439</v>
      </c>
      <c r="G966" s="9">
        <v>45679</v>
      </c>
      <c r="H966" s="1" t="s">
        <v>2508</v>
      </c>
      <c r="I966" s="12" t="s">
        <v>1518</v>
      </c>
      <c r="J966" s="6">
        <v>345796</v>
      </c>
      <c r="K966" s="3">
        <v>15345796</v>
      </c>
    </row>
    <row r="967" spans="1:11" x14ac:dyDescent="0.25">
      <c r="A967" s="1" t="s">
        <v>2148</v>
      </c>
      <c r="B967" s="1" t="s">
        <v>1517</v>
      </c>
      <c r="C967" s="5">
        <v>2</v>
      </c>
      <c r="D967" s="14">
        <v>31520421</v>
      </c>
      <c r="E967" s="1" t="s">
        <v>1515</v>
      </c>
      <c r="F967" s="17">
        <v>5781904</v>
      </c>
      <c r="G967" s="8">
        <v>45855</v>
      </c>
      <c r="H967" s="1" t="s">
        <v>1543</v>
      </c>
      <c r="I967" s="11" t="s">
        <v>2509</v>
      </c>
      <c r="J967" s="6">
        <v>51477</v>
      </c>
      <c r="K967" s="3">
        <v>1551477</v>
      </c>
    </row>
    <row r="968" spans="1:11" x14ac:dyDescent="0.25">
      <c r="A968" s="1" t="s">
        <v>2149</v>
      </c>
      <c r="B968" s="1" t="s">
        <v>1545</v>
      </c>
      <c r="C968" s="5">
        <v>3</v>
      </c>
      <c r="D968" s="15">
        <v>43215485</v>
      </c>
      <c r="E968" s="1" t="s">
        <v>1538</v>
      </c>
      <c r="F968" s="18">
        <v>2224128</v>
      </c>
      <c r="G968" s="9">
        <v>45807</v>
      </c>
      <c r="H968" s="1" t="s">
        <v>2515</v>
      </c>
      <c r="I968" s="12" t="s">
        <v>2507</v>
      </c>
      <c r="J968" s="6">
        <v>819827</v>
      </c>
      <c r="K968" s="3">
        <v>15819827</v>
      </c>
    </row>
    <row r="969" spans="1:11" x14ac:dyDescent="0.25">
      <c r="A969" s="1" t="s">
        <v>2150</v>
      </c>
      <c r="B969" s="1" t="s">
        <v>1545</v>
      </c>
      <c r="C969" s="5">
        <v>3</v>
      </c>
      <c r="D969" s="14">
        <v>4938153</v>
      </c>
      <c r="E969" s="1" t="s">
        <v>1538</v>
      </c>
      <c r="F969" s="17">
        <v>4852614</v>
      </c>
      <c r="G969" s="8">
        <v>45612</v>
      </c>
      <c r="H969" s="1" t="s">
        <v>2508</v>
      </c>
      <c r="I969" s="11" t="s">
        <v>1512</v>
      </c>
      <c r="J969" s="6">
        <v>890578</v>
      </c>
      <c r="K969" s="3">
        <v>15890578</v>
      </c>
    </row>
    <row r="970" spans="1:11" x14ac:dyDescent="0.25">
      <c r="A970" s="1" t="s">
        <v>2858</v>
      </c>
      <c r="B970" s="1" t="s">
        <v>1517</v>
      </c>
      <c r="C970" s="5">
        <v>1</v>
      </c>
      <c r="D970" s="15">
        <v>36638502</v>
      </c>
      <c r="E970" s="1" t="s">
        <v>2504</v>
      </c>
      <c r="F970" s="18">
        <v>3240981</v>
      </c>
      <c r="G970" s="9">
        <v>45812</v>
      </c>
      <c r="H970" s="1" t="s">
        <v>2519</v>
      </c>
      <c r="I970" s="12" t="s">
        <v>1521</v>
      </c>
      <c r="J970" s="6">
        <v>66795</v>
      </c>
      <c r="K970" s="3">
        <v>1566795</v>
      </c>
    </row>
    <row r="971" spans="1:11" x14ac:dyDescent="0.25">
      <c r="A971" s="1" t="s">
        <v>2151</v>
      </c>
      <c r="B971" s="1" t="s">
        <v>1536</v>
      </c>
      <c r="C971" s="5">
        <v>3</v>
      </c>
      <c r="D971" s="14">
        <v>47619544</v>
      </c>
      <c r="E971" s="1" t="s">
        <v>2504</v>
      </c>
      <c r="F971" s="17">
        <v>5088615</v>
      </c>
      <c r="G971" s="8">
        <v>45668</v>
      </c>
      <c r="H971" s="1" t="s">
        <v>1513</v>
      </c>
      <c r="I971" s="11" t="s">
        <v>1521</v>
      </c>
      <c r="J971" s="6">
        <v>850619</v>
      </c>
      <c r="K971" s="3">
        <v>15850619</v>
      </c>
    </row>
    <row r="972" spans="1:11" x14ac:dyDescent="0.25">
      <c r="A972" s="1" t="s">
        <v>2859</v>
      </c>
      <c r="B972" s="1" t="s">
        <v>1532</v>
      </c>
      <c r="C972" s="5">
        <v>1</v>
      </c>
      <c r="D972" s="15">
        <v>28484039</v>
      </c>
      <c r="E972" s="1" t="s">
        <v>1515</v>
      </c>
      <c r="F972" s="18">
        <v>5480082</v>
      </c>
      <c r="G972" s="9">
        <v>45784</v>
      </c>
      <c r="H972" s="1" t="s">
        <v>2515</v>
      </c>
      <c r="I972" s="12" t="s">
        <v>1512</v>
      </c>
      <c r="J972" s="6">
        <v>460079</v>
      </c>
      <c r="K972" s="3">
        <v>15460079</v>
      </c>
    </row>
    <row r="973" spans="1:11" x14ac:dyDescent="0.25">
      <c r="A973" s="1" t="s">
        <v>2860</v>
      </c>
      <c r="B973" s="1" t="s">
        <v>1534</v>
      </c>
      <c r="C973" s="5">
        <v>3</v>
      </c>
      <c r="D973" s="14">
        <v>1488453</v>
      </c>
      <c r="E973" s="1" t="s">
        <v>1515</v>
      </c>
      <c r="F973" s="17">
        <v>294078</v>
      </c>
      <c r="G973" s="8">
        <v>45639</v>
      </c>
      <c r="H973" s="1" t="s">
        <v>2508</v>
      </c>
      <c r="I973" s="11" t="s">
        <v>1512</v>
      </c>
      <c r="J973" s="6">
        <v>23888</v>
      </c>
      <c r="K973" s="3">
        <v>15023888</v>
      </c>
    </row>
    <row r="974" spans="1:11" x14ac:dyDescent="0.25">
      <c r="A974" s="1" t="s">
        <v>2152</v>
      </c>
      <c r="B974" s="1" t="s">
        <v>1540</v>
      </c>
      <c r="C974" s="5">
        <v>5</v>
      </c>
      <c r="D974" s="15">
        <v>37993124</v>
      </c>
      <c r="E974" s="1" t="s">
        <v>1538</v>
      </c>
      <c r="F974" s="18">
        <v>1358181</v>
      </c>
      <c r="G974" s="9">
        <v>45636</v>
      </c>
      <c r="H974" s="1" t="s">
        <v>1513</v>
      </c>
      <c r="I974" s="12" t="s">
        <v>1521</v>
      </c>
      <c r="J974" s="6">
        <v>732699</v>
      </c>
      <c r="K974" s="3">
        <v>15732699</v>
      </c>
    </row>
    <row r="975" spans="1:11" x14ac:dyDescent="0.25">
      <c r="A975" s="1" t="s">
        <v>2861</v>
      </c>
      <c r="B975" s="1" t="s">
        <v>1523</v>
      </c>
      <c r="C975" s="5">
        <v>3</v>
      </c>
      <c r="D975" s="14">
        <v>41646326</v>
      </c>
      <c r="E975" s="1" t="s">
        <v>2504</v>
      </c>
      <c r="F975" s="17">
        <v>7496827</v>
      </c>
      <c r="G975" s="8">
        <v>45786</v>
      </c>
      <c r="H975" s="1" t="s">
        <v>1516</v>
      </c>
      <c r="I975" s="11" t="s">
        <v>1518</v>
      </c>
      <c r="J975" s="6">
        <v>68299</v>
      </c>
      <c r="K975" s="3">
        <v>1568299</v>
      </c>
    </row>
    <row r="976" spans="1:11" x14ac:dyDescent="0.25">
      <c r="A976" s="1" t="s">
        <v>2862</v>
      </c>
      <c r="B976" s="1" t="s">
        <v>1534</v>
      </c>
      <c r="C976" s="5">
        <v>2</v>
      </c>
      <c r="D976" s="15">
        <v>3187792</v>
      </c>
      <c r="E976" s="1" t="s">
        <v>1538</v>
      </c>
      <c r="F976" s="18">
        <v>1839562</v>
      </c>
      <c r="G976" s="9">
        <v>45626</v>
      </c>
      <c r="H976" s="1" t="s">
        <v>1543</v>
      </c>
      <c r="I976" s="12" t="s">
        <v>2511</v>
      </c>
      <c r="J976" s="6">
        <v>600767</v>
      </c>
      <c r="K976" s="3">
        <v>15600767</v>
      </c>
    </row>
    <row r="977" spans="1:11" x14ac:dyDescent="0.25">
      <c r="A977" s="1" t="s">
        <v>2153</v>
      </c>
      <c r="B977" s="1" t="s">
        <v>1514</v>
      </c>
      <c r="C977" s="5">
        <v>1</v>
      </c>
      <c r="D977" s="14">
        <v>6049053</v>
      </c>
      <c r="E977" s="1" t="s">
        <v>1515</v>
      </c>
      <c r="F977" s="17">
        <v>1091623</v>
      </c>
      <c r="G977" s="8">
        <v>45531</v>
      </c>
      <c r="H977" s="1" t="s">
        <v>1519</v>
      </c>
      <c r="I977" s="11" t="s">
        <v>2511</v>
      </c>
      <c r="J977" s="6">
        <v>99149</v>
      </c>
      <c r="K977" s="3">
        <v>15099149</v>
      </c>
    </row>
    <row r="978" spans="1:11" x14ac:dyDescent="0.25">
      <c r="A978" s="1" t="s">
        <v>2154</v>
      </c>
      <c r="B978" s="1" t="s">
        <v>1517</v>
      </c>
      <c r="C978" s="5">
        <v>5</v>
      </c>
      <c r="D978" s="15">
        <v>3051845</v>
      </c>
      <c r="E978" s="1" t="s">
        <v>1515</v>
      </c>
      <c r="F978" s="18">
        <v>240827</v>
      </c>
      <c r="G978" s="9">
        <v>45830</v>
      </c>
      <c r="H978" s="1" t="s">
        <v>2512</v>
      </c>
      <c r="I978" s="12" t="s">
        <v>1521</v>
      </c>
      <c r="J978" s="6">
        <v>605552</v>
      </c>
      <c r="K978" s="3">
        <v>15605552</v>
      </c>
    </row>
    <row r="979" spans="1:11" x14ac:dyDescent="0.25">
      <c r="A979" s="1" t="s">
        <v>2863</v>
      </c>
      <c r="B979" s="1" t="s">
        <v>1525</v>
      </c>
      <c r="C979" s="5">
        <v>2</v>
      </c>
      <c r="D979" s="14">
        <v>6727957</v>
      </c>
      <c r="E979" s="1" t="s">
        <v>2504</v>
      </c>
      <c r="F979" s="17">
        <v>745191</v>
      </c>
      <c r="G979" s="8">
        <v>45834</v>
      </c>
      <c r="H979" s="1" t="s">
        <v>2510</v>
      </c>
      <c r="I979" s="11" t="s">
        <v>2507</v>
      </c>
      <c r="J979" s="6">
        <v>119655</v>
      </c>
      <c r="K979" s="3">
        <v>15119655</v>
      </c>
    </row>
    <row r="980" spans="1:11" x14ac:dyDescent="0.25">
      <c r="A980" s="1" t="s">
        <v>2864</v>
      </c>
      <c r="B980" s="1" t="s">
        <v>1523</v>
      </c>
      <c r="C980" s="5">
        <v>1</v>
      </c>
      <c r="D980" s="15">
        <v>27108739</v>
      </c>
      <c r="E980" s="1" t="s">
        <v>1538</v>
      </c>
      <c r="F980" s="18">
        <v>1174742</v>
      </c>
      <c r="G980" s="9">
        <v>45819</v>
      </c>
      <c r="H980" s="1" t="s">
        <v>2519</v>
      </c>
      <c r="I980" s="12" t="s">
        <v>2507</v>
      </c>
      <c r="J980" s="6">
        <v>51868</v>
      </c>
      <c r="K980" s="3">
        <v>1551868</v>
      </c>
    </row>
    <row r="981" spans="1:11" x14ac:dyDescent="0.25">
      <c r="A981" s="1" t="s">
        <v>2155</v>
      </c>
      <c r="B981" s="1" t="s">
        <v>1514</v>
      </c>
      <c r="C981" s="5">
        <v>4</v>
      </c>
      <c r="D981" s="14">
        <v>7395751</v>
      </c>
      <c r="E981" s="1" t="s">
        <v>1538</v>
      </c>
      <c r="F981" s="17">
        <v>47752</v>
      </c>
      <c r="G981" s="8">
        <v>45717</v>
      </c>
      <c r="H981" s="1" t="s">
        <v>2508</v>
      </c>
      <c r="I981" s="11" t="s">
        <v>1512</v>
      </c>
      <c r="J981" s="6">
        <v>138365</v>
      </c>
      <c r="K981" s="3">
        <v>15138365</v>
      </c>
    </row>
    <row r="982" spans="1:11" x14ac:dyDescent="0.25">
      <c r="A982" s="1" t="s">
        <v>2865</v>
      </c>
      <c r="B982" s="1" t="s">
        <v>1534</v>
      </c>
      <c r="C982" s="5">
        <v>1</v>
      </c>
      <c r="D982" s="15">
        <v>10206511</v>
      </c>
      <c r="E982" s="1" t="s">
        <v>1515</v>
      </c>
      <c r="F982" s="18">
        <v>116114</v>
      </c>
      <c r="G982" s="9">
        <v>45528</v>
      </c>
      <c r="H982" s="1" t="s">
        <v>1513</v>
      </c>
      <c r="I982" s="12" t="s">
        <v>1518</v>
      </c>
      <c r="J982" s="6">
        <v>180907</v>
      </c>
      <c r="K982" s="3">
        <v>15180907</v>
      </c>
    </row>
    <row r="983" spans="1:11" x14ac:dyDescent="0.25">
      <c r="A983" s="1" t="s">
        <v>2866</v>
      </c>
      <c r="B983" s="1" t="s">
        <v>1523</v>
      </c>
      <c r="C983" s="5">
        <v>4</v>
      </c>
      <c r="D983" s="14">
        <v>212132</v>
      </c>
      <c r="E983" s="1" t="s">
        <v>2504</v>
      </c>
      <c r="F983" s="17">
        <v>175466</v>
      </c>
      <c r="G983" s="8">
        <v>45716</v>
      </c>
      <c r="H983" s="1" t="s">
        <v>1522</v>
      </c>
      <c r="I983" s="11" t="s">
        <v>1518</v>
      </c>
      <c r="J983" s="6">
        <v>38917</v>
      </c>
      <c r="K983" s="3">
        <v>15038917</v>
      </c>
    </row>
    <row r="984" spans="1:11" x14ac:dyDescent="0.25">
      <c r="A984" s="1" t="s">
        <v>2156</v>
      </c>
      <c r="B984" s="1" t="s">
        <v>1534</v>
      </c>
      <c r="C984" s="5">
        <v>4</v>
      </c>
      <c r="D984" s="15">
        <v>495265</v>
      </c>
      <c r="E984" s="1" t="s">
        <v>1538</v>
      </c>
      <c r="F984" s="18">
        <v>205594</v>
      </c>
      <c r="G984" s="9">
        <v>45650</v>
      </c>
      <c r="H984" s="1" t="s">
        <v>1522</v>
      </c>
      <c r="I984" s="12" t="s">
        <v>2511</v>
      </c>
      <c r="J984" s="6">
        <v>94941</v>
      </c>
      <c r="K984" s="3">
        <v>15094941</v>
      </c>
    </row>
    <row r="985" spans="1:11" x14ac:dyDescent="0.25">
      <c r="A985" s="1" t="s">
        <v>2867</v>
      </c>
      <c r="B985" s="1" t="s">
        <v>1534</v>
      </c>
      <c r="C985" s="5">
        <v>3</v>
      </c>
      <c r="D985" s="14">
        <v>31424952</v>
      </c>
      <c r="E985" s="1" t="s">
        <v>2504</v>
      </c>
      <c r="F985" s="17">
        <v>1032131</v>
      </c>
      <c r="G985" s="8">
        <v>45838</v>
      </c>
      <c r="H985" s="1" t="s">
        <v>1522</v>
      </c>
      <c r="I985" s="11" t="s">
        <v>1521</v>
      </c>
      <c r="J985" s="6">
        <v>607856</v>
      </c>
      <c r="K985" s="3">
        <v>15607856</v>
      </c>
    </row>
    <row r="986" spans="1:11" x14ac:dyDescent="0.25">
      <c r="A986" s="1" t="s">
        <v>2868</v>
      </c>
      <c r="B986" s="1" t="s">
        <v>1523</v>
      </c>
      <c r="C986" s="5">
        <v>1</v>
      </c>
      <c r="D986" s="15">
        <v>21650459</v>
      </c>
      <c r="E986" s="1" t="s">
        <v>2504</v>
      </c>
      <c r="F986" s="18">
        <v>93736</v>
      </c>
      <c r="G986" s="9">
        <v>45740</v>
      </c>
      <c r="H986" s="1" t="s">
        <v>1513</v>
      </c>
      <c r="I986" s="12" t="s">
        <v>1521</v>
      </c>
      <c r="J986" s="6">
        <v>431134</v>
      </c>
      <c r="K986" s="3">
        <v>15431134</v>
      </c>
    </row>
    <row r="987" spans="1:11" x14ac:dyDescent="0.25">
      <c r="A987" s="1" t="s">
        <v>2157</v>
      </c>
      <c r="B987" s="1" t="s">
        <v>1532</v>
      </c>
      <c r="C987" s="5">
        <v>3</v>
      </c>
      <c r="D987" s="14">
        <v>13600837</v>
      </c>
      <c r="E987" s="1" t="s">
        <v>2504</v>
      </c>
      <c r="F987" s="17">
        <v>1318182</v>
      </c>
      <c r="G987" s="8">
        <v>45707</v>
      </c>
      <c r="H987" s="1" t="s">
        <v>2512</v>
      </c>
      <c r="I987" s="11" t="s">
        <v>2511</v>
      </c>
      <c r="J987" s="6">
        <v>245653</v>
      </c>
      <c r="K987" s="3">
        <v>15245653</v>
      </c>
    </row>
    <row r="988" spans="1:11" x14ac:dyDescent="0.25">
      <c r="A988" s="1" t="s">
        <v>2158</v>
      </c>
      <c r="B988" s="1" t="s">
        <v>1523</v>
      </c>
      <c r="C988" s="5">
        <v>5</v>
      </c>
      <c r="D988" s="15">
        <v>17673345</v>
      </c>
      <c r="E988" s="1" t="s">
        <v>2504</v>
      </c>
      <c r="F988" s="18">
        <v>847019</v>
      </c>
      <c r="G988" s="9">
        <v>45637</v>
      </c>
      <c r="H988" s="1" t="s">
        <v>2512</v>
      </c>
      <c r="I988" s="12" t="s">
        <v>1518</v>
      </c>
      <c r="J988" s="6">
        <v>336527</v>
      </c>
      <c r="K988" s="3">
        <v>15336527</v>
      </c>
    </row>
    <row r="989" spans="1:11" x14ac:dyDescent="0.25">
      <c r="A989" s="1" t="s">
        <v>2869</v>
      </c>
      <c r="B989" s="1" t="s">
        <v>1534</v>
      </c>
      <c r="C989" s="5">
        <v>3</v>
      </c>
      <c r="D989" s="14">
        <v>8671162</v>
      </c>
      <c r="E989" s="1" t="s">
        <v>2504</v>
      </c>
      <c r="F989" s="17">
        <v>1629711</v>
      </c>
      <c r="G989" s="8">
        <v>45691</v>
      </c>
      <c r="H989" s="1" t="s">
        <v>2508</v>
      </c>
      <c r="I989" s="11" t="s">
        <v>2509</v>
      </c>
      <c r="J989" s="6">
        <v>140829</v>
      </c>
      <c r="K989" s="3">
        <v>15140829</v>
      </c>
    </row>
    <row r="990" spans="1:11" x14ac:dyDescent="0.25">
      <c r="A990" s="1" t="s">
        <v>2159</v>
      </c>
      <c r="B990" s="1" t="s">
        <v>1534</v>
      </c>
      <c r="C990" s="5">
        <v>5</v>
      </c>
      <c r="D990" s="15">
        <v>6597439</v>
      </c>
      <c r="E990" s="1" t="s">
        <v>1538</v>
      </c>
      <c r="F990" s="18">
        <v>1453777</v>
      </c>
      <c r="G990" s="9">
        <v>45826</v>
      </c>
      <c r="H990" s="1" t="s">
        <v>1513</v>
      </c>
      <c r="I990" s="12" t="s">
        <v>1518</v>
      </c>
      <c r="J990" s="6">
        <v>102873</v>
      </c>
      <c r="K990" s="3">
        <v>15102873</v>
      </c>
    </row>
    <row r="991" spans="1:11" x14ac:dyDescent="0.25">
      <c r="A991" s="1" t="s">
        <v>2160</v>
      </c>
      <c r="B991" s="1" t="s">
        <v>1514</v>
      </c>
      <c r="C991" s="5">
        <v>5</v>
      </c>
      <c r="D991" s="14">
        <v>47352832</v>
      </c>
      <c r="E991" s="1" t="s">
        <v>2504</v>
      </c>
      <c r="F991" s="17">
        <v>476080</v>
      </c>
      <c r="G991" s="8">
        <v>45567</v>
      </c>
      <c r="H991" s="1" t="s">
        <v>1513</v>
      </c>
      <c r="I991" s="11" t="s">
        <v>2509</v>
      </c>
      <c r="J991" s="6">
        <v>851841</v>
      </c>
      <c r="K991" s="3">
        <v>15851841</v>
      </c>
    </row>
    <row r="992" spans="1:11" x14ac:dyDescent="0.25">
      <c r="A992" s="1" t="s">
        <v>2870</v>
      </c>
      <c r="B992" s="1" t="s">
        <v>1527</v>
      </c>
      <c r="C992" s="5">
        <v>3</v>
      </c>
      <c r="D992" s="15">
        <v>25596945</v>
      </c>
      <c r="E992" s="1" t="s">
        <v>1515</v>
      </c>
      <c r="F992" s="18">
        <v>5091313</v>
      </c>
      <c r="G992" s="9">
        <v>45646</v>
      </c>
      <c r="H992" s="1" t="s">
        <v>1519</v>
      </c>
      <c r="I992" s="12" t="s">
        <v>2507</v>
      </c>
      <c r="J992" s="6">
        <v>410113</v>
      </c>
      <c r="K992" s="3">
        <v>15410113</v>
      </c>
    </row>
    <row r="993" spans="1:11" x14ac:dyDescent="0.25">
      <c r="A993" s="1" t="s">
        <v>2161</v>
      </c>
      <c r="B993" s="1" t="s">
        <v>1532</v>
      </c>
      <c r="C993" s="5">
        <v>2</v>
      </c>
      <c r="D993" s="14">
        <v>21907625</v>
      </c>
      <c r="E993" s="1" t="s">
        <v>2504</v>
      </c>
      <c r="F993" s="17">
        <v>1251843</v>
      </c>
      <c r="G993" s="8">
        <v>45600</v>
      </c>
      <c r="H993" s="1" t="s">
        <v>2512</v>
      </c>
      <c r="I993" s="11" t="s">
        <v>1512</v>
      </c>
      <c r="J993" s="6">
        <v>413116</v>
      </c>
      <c r="K993" s="3">
        <v>15413116</v>
      </c>
    </row>
    <row r="994" spans="1:11" x14ac:dyDescent="0.25">
      <c r="A994" s="1" t="s">
        <v>2871</v>
      </c>
      <c r="B994" s="1" t="s">
        <v>1523</v>
      </c>
      <c r="C994" s="5">
        <v>2</v>
      </c>
      <c r="D994" s="15">
        <v>30569066</v>
      </c>
      <c r="E994" s="1" t="s">
        <v>1538</v>
      </c>
      <c r="F994" s="18">
        <v>4885304</v>
      </c>
      <c r="G994" s="9">
        <v>45657</v>
      </c>
      <c r="H994" s="1" t="s">
        <v>2510</v>
      </c>
      <c r="I994" s="12" t="s">
        <v>1518</v>
      </c>
      <c r="J994" s="6">
        <v>513675</v>
      </c>
      <c r="K994" s="3">
        <v>15513675</v>
      </c>
    </row>
    <row r="995" spans="1:11" x14ac:dyDescent="0.25">
      <c r="A995" s="1" t="s">
        <v>2872</v>
      </c>
      <c r="B995" s="1" t="s">
        <v>1514</v>
      </c>
      <c r="C995" s="5">
        <v>5</v>
      </c>
      <c r="D995" s="14">
        <v>37835348</v>
      </c>
      <c r="E995" s="1" t="s">
        <v>1515</v>
      </c>
      <c r="F995" s="17">
        <v>484937</v>
      </c>
      <c r="G995" s="8">
        <v>45577</v>
      </c>
      <c r="H995" s="1" t="s">
        <v>2515</v>
      </c>
      <c r="I995" s="11" t="s">
        <v>1521</v>
      </c>
      <c r="J995" s="6">
        <v>65972</v>
      </c>
      <c r="K995" s="3">
        <v>1565972</v>
      </c>
    </row>
    <row r="996" spans="1:11" x14ac:dyDescent="0.25">
      <c r="A996" s="1" t="s">
        <v>2873</v>
      </c>
      <c r="B996" s="1" t="s">
        <v>1532</v>
      </c>
      <c r="C996" s="5">
        <v>5</v>
      </c>
      <c r="D996" s="15">
        <v>40164531</v>
      </c>
      <c r="E996" s="1" t="s">
        <v>1538</v>
      </c>
      <c r="F996" s="18">
        <v>948610</v>
      </c>
      <c r="G996" s="9">
        <v>45650</v>
      </c>
      <c r="H996" s="1" t="s">
        <v>2515</v>
      </c>
      <c r="I996" s="12" t="s">
        <v>2511</v>
      </c>
      <c r="J996" s="6">
        <v>613569</v>
      </c>
      <c r="K996" s="3">
        <v>15613569</v>
      </c>
    </row>
    <row r="997" spans="1:11" x14ac:dyDescent="0.25">
      <c r="A997" s="1" t="s">
        <v>2874</v>
      </c>
      <c r="B997" s="1" t="s">
        <v>1534</v>
      </c>
      <c r="C997" s="5">
        <v>2</v>
      </c>
      <c r="D997" s="14">
        <v>36910604</v>
      </c>
      <c r="E997" s="1" t="s">
        <v>2504</v>
      </c>
      <c r="F997" s="17">
        <v>8932944</v>
      </c>
      <c r="G997" s="8">
        <v>45791</v>
      </c>
      <c r="H997" s="1" t="s">
        <v>2510</v>
      </c>
      <c r="I997" s="11" t="s">
        <v>1512</v>
      </c>
      <c r="J997" s="6">
        <v>559553</v>
      </c>
      <c r="K997" s="3">
        <v>15559553</v>
      </c>
    </row>
    <row r="998" spans="1:11" x14ac:dyDescent="0.25">
      <c r="A998" s="1" t="s">
        <v>2162</v>
      </c>
      <c r="B998" s="1" t="s">
        <v>1536</v>
      </c>
      <c r="C998" s="5">
        <v>3</v>
      </c>
      <c r="D998" s="15">
        <v>12590013</v>
      </c>
      <c r="E998" s="1" t="s">
        <v>1515</v>
      </c>
      <c r="F998" s="18">
        <v>257263</v>
      </c>
      <c r="G998" s="9">
        <v>45532</v>
      </c>
      <c r="H998" s="1" t="s">
        <v>1513</v>
      </c>
      <c r="I998" s="12" t="s">
        <v>1521</v>
      </c>
      <c r="J998" s="6">
        <v>246655</v>
      </c>
      <c r="K998" s="3">
        <v>15246655</v>
      </c>
    </row>
    <row r="999" spans="1:11" x14ac:dyDescent="0.25">
      <c r="A999" s="1" t="s">
        <v>2163</v>
      </c>
      <c r="B999" s="1" t="s">
        <v>1517</v>
      </c>
      <c r="C999" s="5">
        <v>5</v>
      </c>
      <c r="D999" s="14">
        <v>33079821</v>
      </c>
      <c r="E999" s="1" t="s">
        <v>1538</v>
      </c>
      <c r="F999" s="17">
        <v>1194666</v>
      </c>
      <c r="G999" s="8">
        <v>45840</v>
      </c>
      <c r="H999" s="1" t="s">
        <v>2519</v>
      </c>
      <c r="I999" s="11" t="s">
        <v>2511</v>
      </c>
      <c r="J999" s="6">
        <v>637703</v>
      </c>
      <c r="K999" s="3">
        <v>15637703</v>
      </c>
    </row>
    <row r="1000" spans="1:11" x14ac:dyDescent="0.25">
      <c r="A1000" s="1" t="s">
        <v>2164</v>
      </c>
      <c r="B1000" s="1" t="s">
        <v>1534</v>
      </c>
      <c r="C1000" s="5">
        <v>4</v>
      </c>
      <c r="D1000" s="15">
        <v>28783277</v>
      </c>
      <c r="E1000" s="1" t="s">
        <v>1515</v>
      </c>
      <c r="F1000" s="18">
        <v>6286545</v>
      </c>
      <c r="G1000" s="9">
        <v>45827</v>
      </c>
      <c r="H1000" s="1" t="s">
        <v>2515</v>
      </c>
      <c r="I1000" s="12" t="s">
        <v>2509</v>
      </c>
      <c r="J1000" s="6">
        <v>449935</v>
      </c>
      <c r="K1000" s="3">
        <v>15449935</v>
      </c>
    </row>
    <row r="1001" spans="1:11" x14ac:dyDescent="0.25">
      <c r="A1001" s="1" t="s">
        <v>2165</v>
      </c>
      <c r="B1001" s="1" t="s">
        <v>1545</v>
      </c>
      <c r="C1001" s="5">
        <v>2</v>
      </c>
      <c r="D1001" s="14">
        <v>41339195</v>
      </c>
      <c r="E1001" s="1" t="s">
        <v>1515</v>
      </c>
      <c r="F1001" s="17">
        <v>9577492</v>
      </c>
      <c r="G1001" s="8">
        <v>45515</v>
      </c>
      <c r="H1001" s="1" t="s">
        <v>1513</v>
      </c>
      <c r="I1001" s="11" t="s">
        <v>2509</v>
      </c>
      <c r="J1001" s="6">
        <v>635234</v>
      </c>
      <c r="K1001" s="3">
        <v>15635234</v>
      </c>
    </row>
    <row r="1002" spans="1:11" x14ac:dyDescent="0.25">
      <c r="A1002" s="1" t="s">
        <v>2166</v>
      </c>
      <c r="B1002" s="1" t="s">
        <v>1534</v>
      </c>
      <c r="C1002" s="5">
        <v>3</v>
      </c>
      <c r="D1002" s="15">
        <v>26517563</v>
      </c>
      <c r="E1002" s="1" t="s">
        <v>1538</v>
      </c>
      <c r="F1002" s="18">
        <v>3003044</v>
      </c>
      <c r="G1002" s="9">
        <v>45839</v>
      </c>
      <c r="H1002" s="1" t="s">
        <v>1519</v>
      </c>
      <c r="I1002" s="12" t="s">
        <v>1512</v>
      </c>
      <c r="J1002" s="6">
        <v>47029</v>
      </c>
      <c r="K1002" s="3">
        <v>1547029</v>
      </c>
    </row>
    <row r="1003" spans="1:11" x14ac:dyDescent="0.25">
      <c r="A1003" s="1" t="s">
        <v>2167</v>
      </c>
      <c r="B1003" s="1" t="s">
        <v>1523</v>
      </c>
      <c r="C1003" s="5">
        <v>3</v>
      </c>
      <c r="D1003" s="14">
        <v>37874679</v>
      </c>
      <c r="E1003" s="1" t="s">
        <v>1538</v>
      </c>
      <c r="F1003" s="17">
        <v>7805451</v>
      </c>
      <c r="G1003" s="8">
        <v>45799</v>
      </c>
      <c r="H1003" s="1" t="s">
        <v>2512</v>
      </c>
      <c r="I1003" s="11" t="s">
        <v>2509</v>
      </c>
      <c r="J1003" s="6">
        <v>601385</v>
      </c>
      <c r="K1003" s="3">
        <v>15601385</v>
      </c>
    </row>
    <row r="1004" spans="1:11" x14ac:dyDescent="0.25">
      <c r="A1004" s="1" t="s">
        <v>2168</v>
      </c>
      <c r="B1004" s="1" t="s">
        <v>1525</v>
      </c>
      <c r="C1004" s="5">
        <v>1</v>
      </c>
      <c r="D1004" s="15">
        <v>27963797</v>
      </c>
      <c r="E1004" s="1" t="s">
        <v>2504</v>
      </c>
      <c r="F1004" s="18">
        <v>6834795</v>
      </c>
      <c r="G1004" s="9">
        <v>45861</v>
      </c>
      <c r="H1004" s="1" t="s">
        <v>2519</v>
      </c>
      <c r="I1004" s="12" t="s">
        <v>2511</v>
      </c>
      <c r="J1004" s="6">
        <v>42258</v>
      </c>
      <c r="K1004" s="3">
        <v>1542258</v>
      </c>
    </row>
    <row r="1005" spans="1:11" x14ac:dyDescent="0.25">
      <c r="A1005" s="1" t="s">
        <v>2875</v>
      </c>
      <c r="B1005" s="1" t="s">
        <v>1545</v>
      </c>
      <c r="C1005" s="5">
        <v>1</v>
      </c>
      <c r="D1005" s="14">
        <v>1173551</v>
      </c>
      <c r="E1005" s="1" t="s">
        <v>2504</v>
      </c>
      <c r="F1005" s="17">
        <v>1630028</v>
      </c>
      <c r="G1005" s="8">
        <v>45543</v>
      </c>
      <c r="H1005" s="1" t="s">
        <v>1513</v>
      </c>
      <c r="I1005" s="11" t="s">
        <v>1512</v>
      </c>
      <c r="J1005" s="6">
        <v>20211</v>
      </c>
      <c r="K1005" s="3">
        <v>1520211</v>
      </c>
    </row>
    <row r="1006" spans="1:11" x14ac:dyDescent="0.25">
      <c r="A1006" s="1" t="s">
        <v>2169</v>
      </c>
      <c r="B1006" s="1" t="s">
        <v>1545</v>
      </c>
      <c r="C1006" s="5">
        <v>1</v>
      </c>
      <c r="D1006" s="15">
        <v>38103202</v>
      </c>
      <c r="E1006" s="1" t="s">
        <v>2504</v>
      </c>
      <c r="F1006" s="18">
        <v>3747003</v>
      </c>
      <c r="G1006" s="9">
        <v>45826</v>
      </c>
      <c r="H1006" s="1" t="s">
        <v>2510</v>
      </c>
      <c r="I1006" s="12" t="s">
        <v>2511</v>
      </c>
      <c r="J1006" s="6">
        <v>687124</v>
      </c>
      <c r="K1006" s="3">
        <v>15687124</v>
      </c>
    </row>
    <row r="1007" spans="1:11" x14ac:dyDescent="0.25">
      <c r="A1007" s="1" t="s">
        <v>2876</v>
      </c>
      <c r="B1007" s="1" t="s">
        <v>1527</v>
      </c>
      <c r="C1007" s="5">
        <v>1</v>
      </c>
      <c r="D1007" s="14">
        <v>39559537</v>
      </c>
      <c r="E1007" s="1" t="s">
        <v>1538</v>
      </c>
      <c r="F1007" s="17">
        <v>5790692</v>
      </c>
      <c r="G1007" s="8">
        <v>45598</v>
      </c>
      <c r="H1007" s="1" t="s">
        <v>2510</v>
      </c>
      <c r="I1007" s="11" t="s">
        <v>1518</v>
      </c>
      <c r="J1007" s="6">
        <v>675377</v>
      </c>
      <c r="K1007" s="3">
        <v>15675377</v>
      </c>
    </row>
    <row r="1008" spans="1:11" x14ac:dyDescent="0.25">
      <c r="A1008" s="1" t="s">
        <v>2170</v>
      </c>
      <c r="B1008" s="1" t="s">
        <v>1514</v>
      </c>
      <c r="C1008" s="5">
        <v>4</v>
      </c>
      <c r="D1008" s="15">
        <v>41511749</v>
      </c>
      <c r="E1008" s="1" t="s">
        <v>1538</v>
      </c>
      <c r="F1008" s="18">
        <v>5664085</v>
      </c>
      <c r="G1008" s="9">
        <v>45554</v>
      </c>
      <c r="H1008" s="1" t="s">
        <v>1516</v>
      </c>
      <c r="I1008" s="12" t="s">
        <v>2507</v>
      </c>
      <c r="J1008" s="6">
        <v>716953</v>
      </c>
      <c r="K1008" s="3">
        <v>15716953</v>
      </c>
    </row>
    <row r="1009" spans="1:11" x14ac:dyDescent="0.25">
      <c r="A1009" s="1" t="s">
        <v>2877</v>
      </c>
      <c r="B1009" s="1" t="s">
        <v>1532</v>
      </c>
      <c r="C1009" s="5">
        <v>4</v>
      </c>
      <c r="D1009" s="14">
        <v>14538999</v>
      </c>
      <c r="E1009" s="1" t="s">
        <v>2504</v>
      </c>
      <c r="F1009" s="17">
        <v>862395</v>
      </c>
      <c r="G1009" s="8">
        <v>45576</v>
      </c>
      <c r="H1009" s="1" t="s">
        <v>2510</v>
      </c>
      <c r="I1009" s="11" t="s">
        <v>1512</v>
      </c>
      <c r="J1009" s="6">
        <v>273532</v>
      </c>
      <c r="K1009" s="3">
        <v>15273532</v>
      </c>
    </row>
    <row r="1010" spans="1:11" x14ac:dyDescent="0.25">
      <c r="A1010" s="1" t="s">
        <v>2171</v>
      </c>
      <c r="B1010" s="1" t="s">
        <v>1514</v>
      </c>
      <c r="C1010" s="5">
        <v>3</v>
      </c>
      <c r="D1010" s="15">
        <v>20161386</v>
      </c>
      <c r="E1010" s="1" t="s">
        <v>1515</v>
      </c>
      <c r="F1010" s="18">
        <v>2393225</v>
      </c>
      <c r="G1010" s="9">
        <v>45708</v>
      </c>
      <c r="H1010" s="1" t="s">
        <v>1513</v>
      </c>
      <c r="I1010" s="12" t="s">
        <v>2507</v>
      </c>
      <c r="J1010" s="6">
        <v>355363</v>
      </c>
      <c r="K1010" s="3">
        <v>15355363</v>
      </c>
    </row>
    <row r="1011" spans="1:11" x14ac:dyDescent="0.25">
      <c r="A1011" s="1" t="s">
        <v>2172</v>
      </c>
      <c r="B1011" s="1" t="s">
        <v>1525</v>
      </c>
      <c r="C1011" s="5">
        <v>1</v>
      </c>
      <c r="D1011" s="14">
        <v>11344672</v>
      </c>
      <c r="E1011" s="1" t="s">
        <v>2504</v>
      </c>
      <c r="F1011" s="17">
        <v>990926</v>
      </c>
      <c r="G1011" s="8">
        <v>45791</v>
      </c>
      <c r="H1011" s="1" t="s">
        <v>1522</v>
      </c>
      <c r="I1011" s="11" t="s">
        <v>2511</v>
      </c>
      <c r="J1011" s="6">
        <v>207075</v>
      </c>
      <c r="K1011" s="3">
        <v>15207075</v>
      </c>
    </row>
    <row r="1012" spans="1:11" x14ac:dyDescent="0.25">
      <c r="A1012" s="1" t="s">
        <v>2878</v>
      </c>
      <c r="B1012" s="1" t="s">
        <v>1536</v>
      </c>
      <c r="C1012" s="5">
        <v>2</v>
      </c>
      <c r="D1012" s="15">
        <v>39371584</v>
      </c>
      <c r="E1012" s="1" t="s">
        <v>1538</v>
      </c>
      <c r="F1012" s="18">
        <v>1318425</v>
      </c>
      <c r="G1012" s="9">
        <v>45502</v>
      </c>
      <c r="H1012" s="1" t="s">
        <v>1513</v>
      </c>
      <c r="I1012" s="12" t="s">
        <v>2509</v>
      </c>
      <c r="J1012" s="6">
        <v>761063</v>
      </c>
      <c r="K1012" s="3">
        <v>15761063</v>
      </c>
    </row>
    <row r="1013" spans="1:11" x14ac:dyDescent="0.25">
      <c r="A1013" s="1" t="s">
        <v>2173</v>
      </c>
      <c r="B1013" s="1" t="s">
        <v>1527</v>
      </c>
      <c r="C1013" s="5">
        <v>1</v>
      </c>
      <c r="D1013" s="14">
        <v>41517025</v>
      </c>
      <c r="E1013" s="1" t="s">
        <v>1538</v>
      </c>
      <c r="F1013" s="17">
        <v>5947137</v>
      </c>
      <c r="G1013" s="8">
        <v>45563</v>
      </c>
      <c r="H1013" s="1" t="s">
        <v>2515</v>
      </c>
      <c r="I1013" s="11" t="s">
        <v>1518</v>
      </c>
      <c r="J1013" s="6">
        <v>711398</v>
      </c>
      <c r="K1013" s="3">
        <v>15711398</v>
      </c>
    </row>
    <row r="1014" spans="1:11" x14ac:dyDescent="0.25">
      <c r="A1014" s="1" t="s">
        <v>2174</v>
      </c>
      <c r="B1014" s="1" t="s">
        <v>1523</v>
      </c>
      <c r="C1014" s="5">
        <v>4</v>
      </c>
      <c r="D1014" s="15">
        <v>46548956</v>
      </c>
      <c r="E1014" s="1" t="s">
        <v>2504</v>
      </c>
      <c r="F1014" s="18">
        <v>9887742</v>
      </c>
      <c r="G1014" s="9">
        <v>45857</v>
      </c>
      <c r="H1014" s="1" t="s">
        <v>1513</v>
      </c>
      <c r="I1014" s="12" t="s">
        <v>1512</v>
      </c>
      <c r="J1014" s="6">
        <v>733224</v>
      </c>
      <c r="K1014" s="3">
        <v>15733224</v>
      </c>
    </row>
    <row r="1015" spans="1:11" x14ac:dyDescent="0.25">
      <c r="A1015" s="1" t="s">
        <v>2175</v>
      </c>
      <c r="B1015" s="1" t="s">
        <v>1517</v>
      </c>
      <c r="C1015" s="5">
        <v>5</v>
      </c>
      <c r="D1015" s="14">
        <v>8298377</v>
      </c>
      <c r="E1015" s="1" t="s">
        <v>1538</v>
      </c>
      <c r="F1015" s="17">
        <v>1115269</v>
      </c>
      <c r="G1015" s="8">
        <v>45557</v>
      </c>
      <c r="H1015" s="1" t="s">
        <v>2508</v>
      </c>
      <c r="I1015" s="11" t="s">
        <v>1518</v>
      </c>
      <c r="J1015" s="6">
        <v>143662</v>
      </c>
      <c r="K1015" s="3">
        <v>15143662</v>
      </c>
    </row>
    <row r="1016" spans="1:11" x14ac:dyDescent="0.25">
      <c r="A1016" s="1" t="s">
        <v>2879</v>
      </c>
      <c r="B1016" s="1" t="s">
        <v>1532</v>
      </c>
      <c r="C1016" s="5">
        <v>4</v>
      </c>
      <c r="D1016" s="15">
        <v>39842892</v>
      </c>
      <c r="E1016" s="1" t="s">
        <v>1538</v>
      </c>
      <c r="F1016" s="18">
        <v>7717353</v>
      </c>
      <c r="G1016" s="9">
        <v>45821</v>
      </c>
      <c r="H1016" s="1" t="s">
        <v>1519</v>
      </c>
      <c r="I1016" s="12" t="s">
        <v>2509</v>
      </c>
      <c r="J1016" s="6">
        <v>642511</v>
      </c>
      <c r="K1016" s="3">
        <v>15642511</v>
      </c>
    </row>
    <row r="1017" spans="1:11" x14ac:dyDescent="0.25">
      <c r="A1017" s="1" t="s">
        <v>2176</v>
      </c>
      <c r="B1017" s="1" t="s">
        <v>1523</v>
      </c>
      <c r="C1017" s="5">
        <v>4</v>
      </c>
      <c r="D1017" s="14">
        <v>10415993</v>
      </c>
      <c r="E1017" s="1" t="s">
        <v>1515</v>
      </c>
      <c r="F1017" s="17">
        <v>2068454</v>
      </c>
      <c r="G1017" s="8">
        <v>45502</v>
      </c>
      <c r="H1017" s="1" t="s">
        <v>1516</v>
      </c>
      <c r="I1017" s="11" t="s">
        <v>1518</v>
      </c>
      <c r="J1017" s="6">
        <v>166951</v>
      </c>
      <c r="K1017" s="3">
        <v>15166951</v>
      </c>
    </row>
    <row r="1018" spans="1:11" x14ac:dyDescent="0.25">
      <c r="A1018" s="1" t="s">
        <v>2177</v>
      </c>
      <c r="B1018" s="1" t="s">
        <v>1534</v>
      </c>
      <c r="C1018" s="5">
        <v>5</v>
      </c>
      <c r="D1018" s="15">
        <v>3116660</v>
      </c>
      <c r="E1018" s="1" t="s">
        <v>1538</v>
      </c>
      <c r="F1018" s="18">
        <v>500352</v>
      </c>
      <c r="G1018" s="9">
        <v>45636</v>
      </c>
      <c r="H1018" s="1" t="s">
        <v>2515</v>
      </c>
      <c r="I1018" s="12" t="s">
        <v>2509</v>
      </c>
      <c r="J1018" s="6">
        <v>613325</v>
      </c>
      <c r="K1018" s="3">
        <v>15613325</v>
      </c>
    </row>
    <row r="1019" spans="1:11" x14ac:dyDescent="0.25">
      <c r="A1019" s="1" t="s">
        <v>2178</v>
      </c>
      <c r="B1019" s="1" t="s">
        <v>1540</v>
      </c>
      <c r="C1019" s="5">
        <v>2</v>
      </c>
      <c r="D1019" s="14">
        <v>14175565</v>
      </c>
      <c r="E1019" s="1" t="s">
        <v>1538</v>
      </c>
      <c r="F1019" s="17">
        <v>2883171</v>
      </c>
      <c r="G1019" s="8">
        <v>45753</v>
      </c>
      <c r="H1019" s="1" t="s">
        <v>1519</v>
      </c>
      <c r="I1019" s="11" t="s">
        <v>2511</v>
      </c>
      <c r="J1019" s="6">
        <v>225848</v>
      </c>
      <c r="K1019" s="3">
        <v>15225848</v>
      </c>
    </row>
    <row r="1020" spans="1:11" x14ac:dyDescent="0.25">
      <c r="A1020" s="1" t="s">
        <v>2179</v>
      </c>
      <c r="B1020" s="1" t="s">
        <v>1523</v>
      </c>
      <c r="C1020" s="5">
        <v>3</v>
      </c>
      <c r="D1020" s="15">
        <v>33258242</v>
      </c>
      <c r="E1020" s="1" t="s">
        <v>1515</v>
      </c>
      <c r="F1020" s="18">
        <v>4789573</v>
      </c>
      <c r="G1020" s="9">
        <v>45649</v>
      </c>
      <c r="H1020" s="1" t="s">
        <v>2512</v>
      </c>
      <c r="I1020" s="12" t="s">
        <v>2509</v>
      </c>
      <c r="J1020" s="6">
        <v>569373</v>
      </c>
      <c r="K1020" s="3">
        <v>15569373</v>
      </c>
    </row>
    <row r="1021" spans="1:11" x14ac:dyDescent="0.25">
      <c r="A1021" s="1" t="s">
        <v>2880</v>
      </c>
      <c r="B1021" s="1" t="s">
        <v>1545</v>
      </c>
      <c r="C1021" s="5">
        <v>4</v>
      </c>
      <c r="D1021" s="14">
        <v>9098939</v>
      </c>
      <c r="E1021" s="1" t="s">
        <v>2504</v>
      </c>
      <c r="F1021" s="17">
        <v>55293</v>
      </c>
      <c r="G1021" s="8">
        <v>45745</v>
      </c>
      <c r="H1021" s="1" t="s">
        <v>2512</v>
      </c>
      <c r="I1021" s="11" t="s">
        <v>1518</v>
      </c>
      <c r="J1021" s="6">
        <v>17092</v>
      </c>
      <c r="K1021" s="3">
        <v>1517092</v>
      </c>
    </row>
    <row r="1022" spans="1:11" x14ac:dyDescent="0.25">
      <c r="A1022" s="1" t="s">
        <v>2881</v>
      </c>
      <c r="B1022" s="1" t="s">
        <v>1545</v>
      </c>
      <c r="C1022" s="5">
        <v>2</v>
      </c>
      <c r="D1022" s="15">
        <v>33048458</v>
      </c>
      <c r="E1022" s="1" t="s">
        <v>1515</v>
      </c>
      <c r="F1022" s="18">
        <v>7287254</v>
      </c>
      <c r="G1022" s="9">
        <v>45575</v>
      </c>
      <c r="H1022" s="1" t="s">
        <v>2515</v>
      </c>
      <c r="I1022" s="12" t="s">
        <v>2509</v>
      </c>
      <c r="J1022" s="6">
        <v>515224</v>
      </c>
      <c r="K1022" s="3">
        <v>15515224</v>
      </c>
    </row>
    <row r="1023" spans="1:11" x14ac:dyDescent="0.25">
      <c r="A1023" s="1" t="s">
        <v>2882</v>
      </c>
      <c r="B1023" s="1" t="s">
        <v>1523</v>
      </c>
      <c r="C1023" s="5">
        <v>2</v>
      </c>
      <c r="D1023" s="14">
        <v>1100808</v>
      </c>
      <c r="E1023" s="1" t="s">
        <v>2504</v>
      </c>
      <c r="F1023" s="17">
        <v>2677151</v>
      </c>
      <c r="G1023" s="8">
        <v>45581</v>
      </c>
      <c r="H1023" s="1" t="s">
        <v>1543</v>
      </c>
      <c r="I1023" s="11" t="s">
        <v>1518</v>
      </c>
      <c r="J1023" s="6">
        <v>166619</v>
      </c>
      <c r="K1023" s="3">
        <v>15166619</v>
      </c>
    </row>
    <row r="1024" spans="1:11" x14ac:dyDescent="0.25">
      <c r="A1024" s="1" t="s">
        <v>2180</v>
      </c>
      <c r="B1024" s="1" t="s">
        <v>1545</v>
      </c>
      <c r="C1024" s="5">
        <v>3</v>
      </c>
      <c r="D1024" s="15">
        <v>47133116</v>
      </c>
      <c r="E1024" s="1" t="s">
        <v>2504</v>
      </c>
      <c r="F1024" s="18">
        <v>10887287</v>
      </c>
      <c r="G1024" s="9">
        <v>45597</v>
      </c>
      <c r="H1024" s="1" t="s">
        <v>1513</v>
      </c>
      <c r="I1024" s="12" t="s">
        <v>1521</v>
      </c>
      <c r="J1024" s="6">
        <v>724917</v>
      </c>
      <c r="K1024" s="3">
        <v>15724917</v>
      </c>
    </row>
    <row r="1025" spans="1:11" x14ac:dyDescent="0.25">
      <c r="A1025" s="1" t="s">
        <v>2181</v>
      </c>
      <c r="B1025" s="1" t="s">
        <v>1540</v>
      </c>
      <c r="C1025" s="5">
        <v>4</v>
      </c>
      <c r="D1025" s="14">
        <v>44709981</v>
      </c>
      <c r="E1025" s="1" t="s">
        <v>1515</v>
      </c>
      <c r="F1025" s="17">
        <v>8139434</v>
      </c>
      <c r="G1025" s="8">
        <v>45502</v>
      </c>
      <c r="H1025" s="1" t="s">
        <v>1516</v>
      </c>
      <c r="I1025" s="11" t="s">
        <v>2509</v>
      </c>
      <c r="J1025" s="6">
        <v>731411</v>
      </c>
      <c r="K1025" s="3">
        <v>15731411</v>
      </c>
    </row>
    <row r="1026" spans="1:11" x14ac:dyDescent="0.25">
      <c r="A1026" s="1" t="s">
        <v>2883</v>
      </c>
      <c r="B1026" s="1" t="s">
        <v>1514</v>
      </c>
      <c r="C1026" s="5">
        <v>3</v>
      </c>
      <c r="D1026" s="15">
        <v>33461796</v>
      </c>
      <c r="E1026" s="1" t="s">
        <v>1515</v>
      </c>
      <c r="F1026" s="18">
        <v>3055526</v>
      </c>
      <c r="G1026" s="9">
        <v>45664</v>
      </c>
      <c r="H1026" s="1" t="s">
        <v>2515</v>
      </c>
      <c r="I1026" s="12" t="s">
        <v>1512</v>
      </c>
      <c r="J1026" s="6">
        <v>608125</v>
      </c>
      <c r="K1026" s="3">
        <v>15608125</v>
      </c>
    </row>
    <row r="1027" spans="1:11" x14ac:dyDescent="0.25">
      <c r="A1027" s="1" t="s">
        <v>2182</v>
      </c>
      <c r="B1027" s="1" t="s">
        <v>1525</v>
      </c>
      <c r="C1027" s="5">
        <v>2</v>
      </c>
      <c r="D1027" s="14">
        <v>10159989</v>
      </c>
      <c r="E1027" s="1" t="s">
        <v>1538</v>
      </c>
      <c r="F1027" s="17">
        <v>116818</v>
      </c>
      <c r="G1027" s="8">
        <v>45499</v>
      </c>
      <c r="H1027" s="1" t="s">
        <v>2519</v>
      </c>
      <c r="I1027" s="11" t="s">
        <v>1521</v>
      </c>
      <c r="J1027" s="6">
        <v>179836</v>
      </c>
      <c r="K1027" s="3">
        <v>15179836</v>
      </c>
    </row>
    <row r="1028" spans="1:11" x14ac:dyDescent="0.25">
      <c r="A1028" s="1" t="s">
        <v>2884</v>
      </c>
      <c r="B1028" s="1" t="s">
        <v>1523</v>
      </c>
      <c r="C1028" s="5">
        <v>2</v>
      </c>
      <c r="D1028" s="15">
        <v>46681385</v>
      </c>
      <c r="E1028" s="1" t="s">
        <v>1538</v>
      </c>
      <c r="F1028" s="18">
        <v>3869568</v>
      </c>
      <c r="G1028" s="9">
        <v>45762</v>
      </c>
      <c r="H1028" s="1" t="s">
        <v>2512</v>
      </c>
      <c r="I1028" s="12" t="s">
        <v>2509</v>
      </c>
      <c r="J1028" s="6">
        <v>856236</v>
      </c>
      <c r="K1028" s="3">
        <v>15856236</v>
      </c>
    </row>
    <row r="1029" spans="1:11" x14ac:dyDescent="0.25">
      <c r="A1029" s="1" t="s">
        <v>2183</v>
      </c>
      <c r="B1029" s="1" t="s">
        <v>1523</v>
      </c>
      <c r="C1029" s="5">
        <v>1</v>
      </c>
      <c r="D1029" s="14">
        <v>21814188</v>
      </c>
      <c r="E1029" s="1" t="s">
        <v>1515</v>
      </c>
      <c r="F1029" s="17">
        <v>3231048</v>
      </c>
      <c r="G1029" s="8">
        <v>45604</v>
      </c>
      <c r="H1029" s="1" t="s">
        <v>2508</v>
      </c>
      <c r="I1029" s="11" t="s">
        <v>2511</v>
      </c>
      <c r="J1029" s="6">
        <v>371663</v>
      </c>
      <c r="K1029" s="3">
        <v>15371663</v>
      </c>
    </row>
    <row r="1030" spans="1:11" x14ac:dyDescent="0.25">
      <c r="A1030" s="1" t="s">
        <v>2885</v>
      </c>
      <c r="B1030" s="1" t="s">
        <v>1523</v>
      </c>
      <c r="C1030" s="5">
        <v>1</v>
      </c>
      <c r="D1030" s="15">
        <v>17205775</v>
      </c>
      <c r="E1030" s="1" t="s">
        <v>1515</v>
      </c>
      <c r="F1030" s="18">
        <v>317244</v>
      </c>
      <c r="G1030" s="9">
        <v>45626</v>
      </c>
      <c r="H1030" s="1" t="s">
        <v>1522</v>
      </c>
      <c r="I1030" s="12" t="s">
        <v>1518</v>
      </c>
      <c r="J1030" s="6">
        <v>337771</v>
      </c>
      <c r="K1030" s="3">
        <v>15337771</v>
      </c>
    </row>
    <row r="1031" spans="1:11" x14ac:dyDescent="0.25">
      <c r="A1031" s="1" t="s">
        <v>2184</v>
      </c>
      <c r="B1031" s="1" t="s">
        <v>1527</v>
      </c>
      <c r="C1031" s="5">
        <v>1</v>
      </c>
      <c r="D1031" s="14">
        <v>20264974</v>
      </c>
      <c r="E1031" s="1" t="s">
        <v>2504</v>
      </c>
      <c r="F1031" s="17">
        <v>3687663</v>
      </c>
      <c r="G1031" s="8">
        <v>45508</v>
      </c>
      <c r="H1031" s="1" t="s">
        <v>1522</v>
      </c>
      <c r="I1031" s="11" t="s">
        <v>1521</v>
      </c>
      <c r="J1031" s="6">
        <v>331546</v>
      </c>
      <c r="K1031" s="3">
        <v>15331546</v>
      </c>
    </row>
    <row r="1032" spans="1:11" x14ac:dyDescent="0.25">
      <c r="A1032" s="1" t="s">
        <v>2185</v>
      </c>
      <c r="B1032" s="1" t="s">
        <v>1532</v>
      </c>
      <c r="C1032" s="5">
        <v>3</v>
      </c>
      <c r="D1032" s="15">
        <v>1908284</v>
      </c>
      <c r="E1032" s="1" t="s">
        <v>1538</v>
      </c>
      <c r="F1032" s="18">
        <v>3651237</v>
      </c>
      <c r="G1032" s="9">
        <v>45859</v>
      </c>
      <c r="H1032" s="1" t="s">
        <v>1513</v>
      </c>
      <c r="I1032" s="12" t="s">
        <v>2507</v>
      </c>
      <c r="J1032" s="6">
        <v>308632</v>
      </c>
      <c r="K1032" s="3">
        <v>15308632</v>
      </c>
    </row>
    <row r="1033" spans="1:11" x14ac:dyDescent="0.25">
      <c r="A1033" s="1" t="s">
        <v>2886</v>
      </c>
      <c r="B1033" s="1" t="s">
        <v>1523</v>
      </c>
      <c r="C1033" s="5">
        <v>5</v>
      </c>
      <c r="D1033" s="14">
        <v>37001912</v>
      </c>
      <c r="E1033" s="1" t="s">
        <v>1515</v>
      </c>
      <c r="F1033" s="17">
        <v>8606929</v>
      </c>
      <c r="G1033" s="8">
        <v>45829</v>
      </c>
      <c r="H1033" s="1" t="s">
        <v>1522</v>
      </c>
      <c r="I1033" s="11" t="s">
        <v>1512</v>
      </c>
      <c r="J1033" s="6">
        <v>56790</v>
      </c>
      <c r="K1033" s="3">
        <v>1556790</v>
      </c>
    </row>
    <row r="1034" spans="1:11" x14ac:dyDescent="0.25">
      <c r="A1034" s="1" t="s">
        <v>2186</v>
      </c>
      <c r="B1034" s="1" t="s">
        <v>1527</v>
      </c>
      <c r="C1034" s="5">
        <v>3</v>
      </c>
      <c r="D1034" s="15">
        <v>25479579</v>
      </c>
      <c r="E1034" s="1" t="s">
        <v>2504</v>
      </c>
      <c r="F1034" s="18">
        <v>2178497</v>
      </c>
      <c r="G1034" s="9">
        <v>45553</v>
      </c>
      <c r="H1034" s="1" t="s">
        <v>1543</v>
      </c>
      <c r="I1034" s="12" t="s">
        <v>1518</v>
      </c>
      <c r="J1034" s="6">
        <v>466022</v>
      </c>
      <c r="K1034" s="3">
        <v>15466022</v>
      </c>
    </row>
    <row r="1035" spans="1:11" x14ac:dyDescent="0.25">
      <c r="A1035" s="1" t="s">
        <v>2187</v>
      </c>
      <c r="B1035" s="1" t="s">
        <v>1532</v>
      </c>
      <c r="C1035" s="5">
        <v>1</v>
      </c>
      <c r="D1035" s="14">
        <v>45608375</v>
      </c>
      <c r="E1035" s="1" t="s">
        <v>2504</v>
      </c>
      <c r="F1035" s="17">
        <v>273242</v>
      </c>
      <c r="G1035" s="8">
        <v>45759</v>
      </c>
      <c r="H1035" s="1" t="s">
        <v>2519</v>
      </c>
      <c r="I1035" s="11" t="s">
        <v>1512</v>
      </c>
      <c r="J1035" s="6">
        <v>857519</v>
      </c>
      <c r="K1035" s="3">
        <v>15857519</v>
      </c>
    </row>
    <row r="1036" spans="1:11" x14ac:dyDescent="0.25">
      <c r="A1036" s="1" t="s">
        <v>2887</v>
      </c>
      <c r="B1036" s="1" t="s">
        <v>1536</v>
      </c>
      <c r="C1036" s="5">
        <v>1</v>
      </c>
      <c r="D1036" s="15">
        <v>32194845</v>
      </c>
      <c r="E1036" s="1" t="s">
        <v>1515</v>
      </c>
      <c r="F1036" s="18">
        <v>1361518</v>
      </c>
      <c r="G1036" s="9">
        <v>45849</v>
      </c>
      <c r="H1036" s="1" t="s">
        <v>1516</v>
      </c>
      <c r="I1036" s="12" t="s">
        <v>1521</v>
      </c>
      <c r="J1036" s="6">
        <v>616667</v>
      </c>
      <c r="K1036" s="3">
        <v>15616667</v>
      </c>
    </row>
    <row r="1037" spans="1:11" x14ac:dyDescent="0.25">
      <c r="A1037" s="1" t="s">
        <v>2888</v>
      </c>
      <c r="B1037" s="1" t="s">
        <v>1540</v>
      </c>
      <c r="C1037" s="5">
        <v>4</v>
      </c>
      <c r="D1037" s="14">
        <v>3517821</v>
      </c>
      <c r="E1037" s="1" t="s">
        <v>1538</v>
      </c>
      <c r="F1037" s="17">
        <v>2791155</v>
      </c>
      <c r="G1037" s="8">
        <v>45728</v>
      </c>
      <c r="H1037" s="1" t="s">
        <v>1519</v>
      </c>
      <c r="I1037" s="11" t="s">
        <v>1518</v>
      </c>
      <c r="J1037" s="6">
        <v>647741</v>
      </c>
      <c r="K1037" s="3">
        <v>15647741</v>
      </c>
    </row>
    <row r="1038" spans="1:11" x14ac:dyDescent="0.25">
      <c r="A1038" s="1" t="s">
        <v>2188</v>
      </c>
      <c r="B1038" s="1" t="s">
        <v>1540</v>
      </c>
      <c r="C1038" s="5">
        <v>4</v>
      </c>
      <c r="D1038" s="15">
        <v>35069239</v>
      </c>
      <c r="E1038" s="1" t="s">
        <v>1515</v>
      </c>
      <c r="F1038" s="18">
        <v>904331</v>
      </c>
      <c r="G1038" s="9">
        <v>45610</v>
      </c>
      <c r="H1038" s="1" t="s">
        <v>2512</v>
      </c>
      <c r="I1038" s="12" t="s">
        <v>2511</v>
      </c>
      <c r="J1038" s="6">
        <v>683298</v>
      </c>
      <c r="K1038" s="3">
        <v>15683298</v>
      </c>
    </row>
    <row r="1039" spans="1:11" x14ac:dyDescent="0.25">
      <c r="A1039" s="1" t="s">
        <v>2189</v>
      </c>
      <c r="B1039" s="1" t="s">
        <v>1532</v>
      </c>
      <c r="C1039" s="5">
        <v>3</v>
      </c>
      <c r="D1039" s="14">
        <v>18745692</v>
      </c>
      <c r="E1039" s="1" t="s">
        <v>1538</v>
      </c>
      <c r="F1039" s="17">
        <v>4176492</v>
      </c>
      <c r="G1039" s="8">
        <v>45603</v>
      </c>
      <c r="H1039" s="1" t="s">
        <v>2515</v>
      </c>
      <c r="I1039" s="11" t="s">
        <v>1518</v>
      </c>
      <c r="J1039" s="6">
        <v>291384</v>
      </c>
      <c r="K1039" s="3">
        <v>15291384</v>
      </c>
    </row>
    <row r="1040" spans="1:11" x14ac:dyDescent="0.25">
      <c r="A1040" s="1" t="s">
        <v>2889</v>
      </c>
      <c r="B1040" s="1" t="s">
        <v>1532</v>
      </c>
      <c r="C1040" s="5">
        <v>4</v>
      </c>
      <c r="D1040" s="15">
        <v>16324686</v>
      </c>
      <c r="E1040" s="1" t="s">
        <v>2504</v>
      </c>
      <c r="F1040" s="18">
        <v>2077595</v>
      </c>
      <c r="G1040" s="9">
        <v>45847</v>
      </c>
      <c r="H1040" s="1" t="s">
        <v>2512</v>
      </c>
      <c r="I1040" s="12" t="s">
        <v>1518</v>
      </c>
      <c r="J1040" s="6">
        <v>284942</v>
      </c>
      <c r="K1040" s="3">
        <v>15284942</v>
      </c>
    </row>
    <row r="1041" spans="1:11" x14ac:dyDescent="0.25">
      <c r="A1041" s="1" t="s">
        <v>2190</v>
      </c>
      <c r="B1041" s="1" t="s">
        <v>1532</v>
      </c>
      <c r="C1041" s="5">
        <v>4</v>
      </c>
      <c r="D1041" s="14">
        <v>48642534</v>
      </c>
      <c r="E1041" s="1" t="s">
        <v>1538</v>
      </c>
      <c r="F1041" s="17">
        <v>8645762</v>
      </c>
      <c r="G1041" s="8">
        <v>45795</v>
      </c>
      <c r="H1041" s="1" t="s">
        <v>2510</v>
      </c>
      <c r="I1041" s="11" t="s">
        <v>2509</v>
      </c>
      <c r="J1041" s="6">
        <v>799935</v>
      </c>
      <c r="K1041" s="3">
        <v>15799935</v>
      </c>
    </row>
    <row r="1042" spans="1:11" x14ac:dyDescent="0.25">
      <c r="A1042" s="1" t="s">
        <v>2890</v>
      </c>
      <c r="B1042" s="1" t="s">
        <v>1534</v>
      </c>
      <c r="C1042" s="5">
        <v>5</v>
      </c>
      <c r="D1042" s="15">
        <v>13249922</v>
      </c>
      <c r="E1042" s="1" t="s">
        <v>1538</v>
      </c>
      <c r="F1042" s="18">
        <v>2896935</v>
      </c>
      <c r="G1042" s="9">
        <v>45515</v>
      </c>
      <c r="H1042" s="1" t="s">
        <v>1519</v>
      </c>
      <c r="I1042" s="12" t="s">
        <v>2507</v>
      </c>
      <c r="J1042" s="6">
        <v>20706</v>
      </c>
      <c r="K1042" s="3">
        <v>1520706</v>
      </c>
    </row>
    <row r="1043" spans="1:11" x14ac:dyDescent="0.25">
      <c r="A1043" s="1" t="s">
        <v>2191</v>
      </c>
      <c r="B1043" s="1" t="s">
        <v>1545</v>
      </c>
      <c r="C1043" s="5">
        <v>5</v>
      </c>
      <c r="D1043" s="14">
        <v>21158241</v>
      </c>
      <c r="E1043" s="1" t="s">
        <v>1515</v>
      </c>
      <c r="F1043" s="17">
        <v>1161302</v>
      </c>
      <c r="G1043" s="8">
        <v>45705</v>
      </c>
      <c r="H1043" s="1" t="s">
        <v>1516</v>
      </c>
      <c r="I1043" s="11" t="s">
        <v>1518</v>
      </c>
      <c r="J1043" s="6">
        <v>399939</v>
      </c>
      <c r="K1043" s="3">
        <v>15399939</v>
      </c>
    </row>
    <row r="1044" spans="1:11" x14ac:dyDescent="0.25">
      <c r="A1044" s="1" t="s">
        <v>2192</v>
      </c>
      <c r="B1044" s="1" t="s">
        <v>1517</v>
      </c>
      <c r="C1044" s="5">
        <v>5</v>
      </c>
      <c r="D1044" s="15">
        <v>22576625</v>
      </c>
      <c r="E1044" s="1" t="s">
        <v>2504</v>
      </c>
      <c r="F1044" s="18">
        <v>561707</v>
      </c>
      <c r="G1044" s="9">
        <v>45811</v>
      </c>
      <c r="H1044" s="1" t="s">
        <v>1519</v>
      </c>
      <c r="I1044" s="12" t="s">
        <v>1512</v>
      </c>
      <c r="J1044" s="6">
        <v>339191</v>
      </c>
      <c r="K1044" s="3">
        <v>15339191</v>
      </c>
    </row>
    <row r="1045" spans="1:11" x14ac:dyDescent="0.25">
      <c r="A1045" s="1" t="s">
        <v>2193</v>
      </c>
      <c r="B1045" s="1" t="s">
        <v>1540</v>
      </c>
      <c r="C1045" s="5">
        <v>3</v>
      </c>
      <c r="D1045" s="14">
        <v>2183028</v>
      </c>
      <c r="E1045" s="1" t="s">
        <v>1538</v>
      </c>
      <c r="F1045" s="17">
        <v>3952679</v>
      </c>
      <c r="G1045" s="8">
        <v>45726</v>
      </c>
      <c r="H1045" s="1" t="s">
        <v>1519</v>
      </c>
      <c r="I1045" s="11" t="s">
        <v>2507</v>
      </c>
      <c r="J1045" s="6">
        <v>357552</v>
      </c>
      <c r="K1045" s="3">
        <v>15357552</v>
      </c>
    </row>
    <row r="1046" spans="1:11" x14ac:dyDescent="0.25">
      <c r="A1046" s="1" t="s">
        <v>2194</v>
      </c>
      <c r="B1046" s="1" t="s">
        <v>1523</v>
      </c>
      <c r="C1046" s="5">
        <v>2</v>
      </c>
      <c r="D1046" s="15">
        <v>47626921</v>
      </c>
      <c r="E1046" s="1" t="s">
        <v>2504</v>
      </c>
      <c r="F1046" s="18">
        <v>1570789</v>
      </c>
      <c r="G1046" s="9">
        <v>45836</v>
      </c>
      <c r="H1046" s="1" t="s">
        <v>2519</v>
      </c>
      <c r="I1046" s="12" t="s">
        <v>2511</v>
      </c>
      <c r="J1046" s="6">
        <v>921123</v>
      </c>
      <c r="K1046" s="3">
        <v>15921123</v>
      </c>
    </row>
    <row r="1047" spans="1:11" x14ac:dyDescent="0.25">
      <c r="A1047" s="1" t="s">
        <v>2195</v>
      </c>
      <c r="B1047" s="1" t="s">
        <v>1540</v>
      </c>
      <c r="C1047" s="5">
        <v>1</v>
      </c>
      <c r="D1047" s="14">
        <v>21696696</v>
      </c>
      <c r="E1047" s="1" t="s">
        <v>1515</v>
      </c>
      <c r="F1047" s="17">
        <v>1675885</v>
      </c>
      <c r="G1047" s="8">
        <v>45531</v>
      </c>
      <c r="H1047" s="1" t="s">
        <v>2512</v>
      </c>
      <c r="I1047" s="11" t="s">
        <v>1518</v>
      </c>
      <c r="J1047" s="6">
        <v>400416</v>
      </c>
      <c r="K1047" s="3">
        <v>15400416</v>
      </c>
    </row>
    <row r="1048" spans="1:11" x14ac:dyDescent="0.25">
      <c r="A1048" s="1" t="s">
        <v>2196</v>
      </c>
      <c r="B1048" s="1" t="s">
        <v>1527</v>
      </c>
      <c r="C1048" s="5">
        <v>5</v>
      </c>
      <c r="D1048" s="15">
        <v>15467026</v>
      </c>
      <c r="E1048" s="1" t="s">
        <v>2504</v>
      </c>
      <c r="F1048" s="18">
        <v>2222491</v>
      </c>
      <c r="G1048" s="9">
        <v>45597</v>
      </c>
      <c r="H1048" s="1" t="s">
        <v>1543</v>
      </c>
      <c r="I1048" s="12" t="s">
        <v>2511</v>
      </c>
      <c r="J1048" s="6">
        <v>264891</v>
      </c>
      <c r="K1048" s="3">
        <v>15264891</v>
      </c>
    </row>
    <row r="1049" spans="1:11" x14ac:dyDescent="0.25">
      <c r="A1049" s="1" t="s">
        <v>2197</v>
      </c>
      <c r="B1049" s="1" t="s">
        <v>1525</v>
      </c>
      <c r="C1049" s="5">
        <v>2</v>
      </c>
      <c r="D1049" s="14">
        <v>46077136</v>
      </c>
      <c r="E1049" s="1" t="s">
        <v>1515</v>
      </c>
      <c r="F1049" s="17">
        <v>3060128</v>
      </c>
      <c r="G1049" s="8">
        <v>45510</v>
      </c>
      <c r="H1049" s="1" t="s">
        <v>2510</v>
      </c>
      <c r="I1049" s="11" t="s">
        <v>1521</v>
      </c>
      <c r="J1049" s="6">
        <v>86034</v>
      </c>
      <c r="K1049" s="3">
        <v>1586034</v>
      </c>
    </row>
    <row r="1050" spans="1:11" x14ac:dyDescent="0.25">
      <c r="A1050" s="1" t="s">
        <v>2891</v>
      </c>
      <c r="B1050" s="1" t="s">
        <v>1536</v>
      </c>
      <c r="C1050" s="5">
        <v>2</v>
      </c>
      <c r="D1050" s="15">
        <v>8199268</v>
      </c>
      <c r="E1050" s="1" t="s">
        <v>1538</v>
      </c>
      <c r="F1050" s="18">
        <v>184488</v>
      </c>
      <c r="G1050" s="9">
        <v>45579</v>
      </c>
      <c r="H1050" s="1" t="s">
        <v>1543</v>
      </c>
      <c r="I1050" s="12" t="s">
        <v>1512</v>
      </c>
      <c r="J1050" s="6">
        <v>127088</v>
      </c>
      <c r="K1050" s="3">
        <v>15127088</v>
      </c>
    </row>
    <row r="1051" spans="1:11" x14ac:dyDescent="0.25">
      <c r="A1051" s="1" t="s">
        <v>2892</v>
      </c>
      <c r="B1051" s="1" t="s">
        <v>1514</v>
      </c>
      <c r="C1051" s="5">
        <v>3</v>
      </c>
      <c r="D1051" s="14">
        <v>25102559</v>
      </c>
      <c r="E1051" s="1" t="s">
        <v>1515</v>
      </c>
      <c r="F1051" s="17">
        <v>998407</v>
      </c>
      <c r="G1051" s="8">
        <v>45657</v>
      </c>
      <c r="H1051" s="1" t="s">
        <v>1522</v>
      </c>
      <c r="I1051" s="11" t="s">
        <v>1518</v>
      </c>
      <c r="J1051" s="6">
        <v>482083</v>
      </c>
      <c r="K1051" s="3">
        <v>15482083</v>
      </c>
    </row>
    <row r="1052" spans="1:11" x14ac:dyDescent="0.25">
      <c r="A1052" s="1" t="s">
        <v>2893</v>
      </c>
      <c r="B1052" s="1" t="s">
        <v>1525</v>
      </c>
      <c r="C1052" s="5">
        <v>1</v>
      </c>
      <c r="D1052" s="15">
        <v>10896126</v>
      </c>
      <c r="E1052" s="1" t="s">
        <v>2504</v>
      </c>
      <c r="F1052" s="18">
        <v>2575062</v>
      </c>
      <c r="G1052" s="9">
        <v>45541</v>
      </c>
      <c r="H1052" s="1" t="s">
        <v>1513</v>
      </c>
      <c r="I1052" s="12" t="s">
        <v>2507</v>
      </c>
      <c r="J1052" s="6">
        <v>166421</v>
      </c>
      <c r="K1052" s="3">
        <v>15166421</v>
      </c>
    </row>
    <row r="1053" spans="1:11" x14ac:dyDescent="0.25">
      <c r="A1053" s="1" t="s">
        <v>2198</v>
      </c>
      <c r="B1053" s="1" t="s">
        <v>1534</v>
      </c>
      <c r="C1053" s="5">
        <v>5</v>
      </c>
      <c r="D1053" s="14">
        <v>13977514</v>
      </c>
      <c r="E1053" s="1" t="s">
        <v>1538</v>
      </c>
      <c r="F1053" s="17">
        <v>992681</v>
      </c>
      <c r="G1053" s="8">
        <v>45724</v>
      </c>
      <c r="H1053" s="1" t="s">
        <v>1522</v>
      </c>
      <c r="I1053" s="11" t="s">
        <v>1518</v>
      </c>
      <c r="J1053" s="6">
        <v>259697</v>
      </c>
      <c r="K1053" s="3">
        <v>15259697</v>
      </c>
    </row>
    <row r="1054" spans="1:11" x14ac:dyDescent="0.25">
      <c r="A1054" s="1" t="s">
        <v>2199</v>
      </c>
      <c r="B1054" s="1" t="s">
        <v>1523</v>
      </c>
      <c r="C1054" s="5">
        <v>5</v>
      </c>
      <c r="D1054" s="15">
        <v>23732197</v>
      </c>
      <c r="E1054" s="1" t="s">
        <v>2504</v>
      </c>
      <c r="F1054" s="18">
        <v>2470714</v>
      </c>
      <c r="G1054" s="9">
        <v>45594</v>
      </c>
      <c r="H1054" s="1" t="s">
        <v>1513</v>
      </c>
      <c r="I1054" s="12" t="s">
        <v>2509</v>
      </c>
      <c r="J1054" s="6">
        <v>42523</v>
      </c>
      <c r="K1054" s="3">
        <v>1542523</v>
      </c>
    </row>
    <row r="1055" spans="1:11" x14ac:dyDescent="0.25">
      <c r="A1055" s="1" t="s">
        <v>2200</v>
      </c>
      <c r="B1055" s="1" t="s">
        <v>1545</v>
      </c>
      <c r="C1055" s="5">
        <v>1</v>
      </c>
      <c r="D1055" s="14">
        <v>45148208</v>
      </c>
      <c r="E1055" s="1" t="s">
        <v>1538</v>
      </c>
      <c r="F1055" s="17">
        <v>5357422</v>
      </c>
      <c r="G1055" s="8">
        <v>45699</v>
      </c>
      <c r="H1055" s="1" t="s">
        <v>2512</v>
      </c>
      <c r="I1055" s="11" t="s">
        <v>1518</v>
      </c>
      <c r="J1055" s="6">
        <v>795816</v>
      </c>
      <c r="K1055" s="3">
        <v>15795816</v>
      </c>
    </row>
    <row r="1056" spans="1:11" x14ac:dyDescent="0.25">
      <c r="A1056" s="1" t="s">
        <v>2201</v>
      </c>
      <c r="B1056" s="1" t="s">
        <v>1532</v>
      </c>
      <c r="C1056" s="5">
        <v>1</v>
      </c>
      <c r="D1056" s="15">
        <v>11068624</v>
      </c>
      <c r="E1056" s="1" t="s">
        <v>1515</v>
      </c>
      <c r="F1056" s="18">
        <v>1900711</v>
      </c>
      <c r="G1056" s="9">
        <v>45807</v>
      </c>
      <c r="H1056" s="1" t="s">
        <v>1522</v>
      </c>
      <c r="I1056" s="12" t="s">
        <v>1521</v>
      </c>
      <c r="J1056" s="6">
        <v>183358</v>
      </c>
      <c r="K1056" s="3">
        <v>15183358</v>
      </c>
    </row>
    <row r="1057" spans="1:11" x14ac:dyDescent="0.25">
      <c r="A1057" s="1" t="s">
        <v>2202</v>
      </c>
      <c r="B1057" s="1" t="s">
        <v>1545</v>
      </c>
      <c r="C1057" s="5">
        <v>4</v>
      </c>
      <c r="D1057" s="14">
        <v>3947306</v>
      </c>
      <c r="E1057" s="1" t="s">
        <v>2504</v>
      </c>
      <c r="F1057" s="17">
        <v>4234012</v>
      </c>
      <c r="G1057" s="8">
        <v>45578</v>
      </c>
      <c r="H1057" s="1" t="s">
        <v>1543</v>
      </c>
      <c r="I1057" s="11" t="s">
        <v>1512</v>
      </c>
      <c r="J1057" s="6">
        <v>704781</v>
      </c>
      <c r="K1057" s="3">
        <v>15704781</v>
      </c>
    </row>
    <row r="1058" spans="1:11" x14ac:dyDescent="0.25">
      <c r="A1058" s="1" t="s">
        <v>2203</v>
      </c>
      <c r="B1058" s="1" t="s">
        <v>1523</v>
      </c>
      <c r="C1058" s="5">
        <v>2</v>
      </c>
      <c r="D1058" s="15">
        <v>22539119</v>
      </c>
      <c r="E1058" s="1" t="s">
        <v>1515</v>
      </c>
      <c r="F1058" s="18">
        <v>4833252</v>
      </c>
      <c r="G1058" s="9">
        <v>45612</v>
      </c>
      <c r="H1058" s="1" t="s">
        <v>1522</v>
      </c>
      <c r="I1058" s="12" t="s">
        <v>2507</v>
      </c>
      <c r="J1058" s="6">
        <v>354117</v>
      </c>
      <c r="K1058" s="3">
        <v>15354117</v>
      </c>
    </row>
    <row r="1059" spans="1:11" x14ac:dyDescent="0.25">
      <c r="A1059" s="1" t="s">
        <v>2204</v>
      </c>
      <c r="B1059" s="1" t="s">
        <v>1532</v>
      </c>
      <c r="C1059" s="5">
        <v>2</v>
      </c>
      <c r="D1059" s="14">
        <v>49750895</v>
      </c>
      <c r="E1059" s="1" t="s">
        <v>1538</v>
      </c>
      <c r="F1059" s="17">
        <v>521033</v>
      </c>
      <c r="G1059" s="8">
        <v>45655</v>
      </c>
      <c r="H1059" s="1" t="s">
        <v>2512</v>
      </c>
      <c r="I1059" s="11" t="s">
        <v>2509</v>
      </c>
      <c r="J1059" s="6">
        <v>984597</v>
      </c>
      <c r="K1059" s="3">
        <v>15984597</v>
      </c>
    </row>
    <row r="1060" spans="1:11" x14ac:dyDescent="0.25">
      <c r="A1060" s="1" t="s">
        <v>2205</v>
      </c>
      <c r="B1060" s="1" t="s">
        <v>1517</v>
      </c>
      <c r="C1060" s="5">
        <v>3</v>
      </c>
      <c r="D1060" s="15">
        <v>17536883</v>
      </c>
      <c r="E1060" s="1" t="s">
        <v>1515</v>
      </c>
      <c r="F1060" s="18">
        <v>1756004</v>
      </c>
      <c r="G1060" s="9">
        <v>45767</v>
      </c>
      <c r="H1060" s="1" t="s">
        <v>2508</v>
      </c>
      <c r="I1060" s="12" t="s">
        <v>1518</v>
      </c>
      <c r="J1060" s="6">
        <v>315618</v>
      </c>
      <c r="K1060" s="3">
        <v>15315618</v>
      </c>
    </row>
    <row r="1061" spans="1:11" x14ac:dyDescent="0.25">
      <c r="A1061" s="1" t="s">
        <v>2894</v>
      </c>
      <c r="B1061" s="1" t="s">
        <v>1527</v>
      </c>
      <c r="C1061" s="5">
        <v>2</v>
      </c>
      <c r="D1061" s="14">
        <v>21703686</v>
      </c>
      <c r="E1061" s="1" t="s">
        <v>1538</v>
      </c>
      <c r="F1061" s="17">
        <v>3011814</v>
      </c>
      <c r="G1061" s="8">
        <v>45820</v>
      </c>
      <c r="H1061" s="1" t="s">
        <v>2508</v>
      </c>
      <c r="I1061" s="11" t="s">
        <v>2507</v>
      </c>
      <c r="J1061" s="6">
        <v>373837</v>
      </c>
      <c r="K1061" s="3">
        <v>15373837</v>
      </c>
    </row>
    <row r="1062" spans="1:11" x14ac:dyDescent="0.25">
      <c r="A1062" s="1" t="s">
        <v>2206</v>
      </c>
      <c r="B1062" s="1" t="s">
        <v>1527</v>
      </c>
      <c r="C1062" s="5">
        <v>5</v>
      </c>
      <c r="D1062" s="15">
        <v>17685127</v>
      </c>
      <c r="E1062" s="1" t="s">
        <v>1538</v>
      </c>
      <c r="F1062" s="18">
        <v>1599084</v>
      </c>
      <c r="G1062" s="9">
        <v>45637</v>
      </c>
      <c r="H1062" s="1" t="s">
        <v>1519</v>
      </c>
      <c r="I1062" s="12" t="s">
        <v>1518</v>
      </c>
      <c r="J1062" s="6">
        <v>321721</v>
      </c>
      <c r="K1062" s="3">
        <v>15321721</v>
      </c>
    </row>
    <row r="1063" spans="1:11" x14ac:dyDescent="0.25">
      <c r="A1063" s="1" t="s">
        <v>2207</v>
      </c>
      <c r="B1063" s="1" t="s">
        <v>1545</v>
      </c>
      <c r="C1063" s="5">
        <v>3</v>
      </c>
      <c r="D1063" s="14">
        <v>32159558</v>
      </c>
      <c r="E1063" s="1" t="s">
        <v>1538</v>
      </c>
      <c r="F1063" s="17">
        <v>1533614</v>
      </c>
      <c r="G1063" s="8">
        <v>45549</v>
      </c>
      <c r="H1063" s="1" t="s">
        <v>2512</v>
      </c>
      <c r="I1063" s="11" t="s">
        <v>1512</v>
      </c>
      <c r="J1063" s="6">
        <v>612519</v>
      </c>
      <c r="K1063" s="3">
        <v>15612519</v>
      </c>
    </row>
    <row r="1064" spans="1:11" x14ac:dyDescent="0.25">
      <c r="A1064" s="1" t="s">
        <v>2208</v>
      </c>
      <c r="B1064" s="1" t="s">
        <v>1514</v>
      </c>
      <c r="C1064" s="5">
        <v>5</v>
      </c>
      <c r="D1064" s="15">
        <v>2646496</v>
      </c>
      <c r="E1064" s="1" t="s">
        <v>1538</v>
      </c>
      <c r="F1064" s="18">
        <v>5953752</v>
      </c>
      <c r="G1064" s="9">
        <v>45851</v>
      </c>
      <c r="H1064" s="1" t="s">
        <v>2510</v>
      </c>
      <c r="I1064" s="12" t="s">
        <v>1512</v>
      </c>
      <c r="J1064" s="6">
        <v>410224</v>
      </c>
      <c r="K1064" s="3">
        <v>15410224</v>
      </c>
    </row>
    <row r="1065" spans="1:11" x14ac:dyDescent="0.25">
      <c r="A1065" s="1" t="s">
        <v>2209</v>
      </c>
      <c r="B1065" s="1" t="s">
        <v>1532</v>
      </c>
      <c r="C1065" s="5">
        <v>2</v>
      </c>
      <c r="D1065" s="14">
        <v>2829132</v>
      </c>
      <c r="E1065" s="1" t="s">
        <v>1538</v>
      </c>
      <c r="F1065" s="17">
        <v>287188</v>
      </c>
      <c r="G1065" s="8">
        <v>45686</v>
      </c>
      <c r="H1065" s="1" t="s">
        <v>2515</v>
      </c>
      <c r="I1065" s="11" t="s">
        <v>1512</v>
      </c>
      <c r="J1065" s="6">
        <v>50839</v>
      </c>
      <c r="K1065" s="3">
        <v>15050839</v>
      </c>
    </row>
    <row r="1066" spans="1:11" x14ac:dyDescent="0.25">
      <c r="A1066" s="1" t="s">
        <v>2895</v>
      </c>
      <c r="B1066" s="1" t="s">
        <v>1523</v>
      </c>
      <c r="C1066" s="5">
        <v>5</v>
      </c>
      <c r="D1066" s="15">
        <v>38935587</v>
      </c>
      <c r="E1066" s="1" t="s">
        <v>1515</v>
      </c>
      <c r="F1066" s="18">
        <v>9610755</v>
      </c>
      <c r="G1066" s="9">
        <v>45789</v>
      </c>
      <c r="H1066" s="1" t="s">
        <v>2512</v>
      </c>
      <c r="I1066" s="12" t="s">
        <v>2511</v>
      </c>
      <c r="J1066" s="6">
        <v>586497</v>
      </c>
      <c r="K1066" s="3">
        <v>15586497</v>
      </c>
    </row>
    <row r="1067" spans="1:11" x14ac:dyDescent="0.25">
      <c r="A1067" s="1" t="s">
        <v>2210</v>
      </c>
      <c r="B1067" s="1" t="s">
        <v>1534</v>
      </c>
      <c r="C1067" s="5">
        <v>4</v>
      </c>
      <c r="D1067" s="14">
        <v>31029302</v>
      </c>
      <c r="E1067" s="1" t="s">
        <v>2504</v>
      </c>
      <c r="F1067" s="17">
        <v>6854295</v>
      </c>
      <c r="G1067" s="8">
        <v>45651</v>
      </c>
      <c r="H1067" s="1" t="s">
        <v>1516</v>
      </c>
      <c r="I1067" s="11" t="s">
        <v>2511</v>
      </c>
      <c r="J1067" s="6">
        <v>48350</v>
      </c>
      <c r="K1067" s="3">
        <v>1548350</v>
      </c>
    </row>
    <row r="1068" spans="1:11" x14ac:dyDescent="0.25">
      <c r="A1068" s="1" t="s">
        <v>2211</v>
      </c>
      <c r="B1068" s="1" t="s">
        <v>1540</v>
      </c>
      <c r="C1068" s="5">
        <v>1</v>
      </c>
      <c r="D1068" s="15">
        <v>8241738</v>
      </c>
      <c r="E1068" s="1" t="s">
        <v>1538</v>
      </c>
      <c r="F1068" s="18">
        <v>1371362</v>
      </c>
      <c r="G1068" s="9">
        <v>45572</v>
      </c>
      <c r="H1068" s="1" t="s">
        <v>2515</v>
      </c>
      <c r="I1068" s="12" t="s">
        <v>1518</v>
      </c>
      <c r="J1068" s="6">
        <v>137408</v>
      </c>
      <c r="K1068" s="3">
        <v>15137408</v>
      </c>
    </row>
    <row r="1069" spans="1:11" x14ac:dyDescent="0.25">
      <c r="A1069" s="1" t="s">
        <v>2212</v>
      </c>
      <c r="B1069" s="1" t="s">
        <v>1545</v>
      </c>
      <c r="C1069" s="5">
        <v>5</v>
      </c>
      <c r="D1069" s="14">
        <v>29653022</v>
      </c>
      <c r="E1069" s="1" t="s">
        <v>1538</v>
      </c>
      <c r="F1069" s="17">
        <v>477879</v>
      </c>
      <c r="G1069" s="8">
        <v>45713</v>
      </c>
      <c r="H1069" s="1" t="s">
        <v>1516</v>
      </c>
      <c r="I1069" s="11" t="s">
        <v>2511</v>
      </c>
      <c r="J1069" s="6">
        <v>497485</v>
      </c>
      <c r="K1069" s="3">
        <v>15497485</v>
      </c>
    </row>
    <row r="1070" spans="1:11" x14ac:dyDescent="0.25">
      <c r="A1070" s="1" t="s">
        <v>2213</v>
      </c>
      <c r="B1070" s="1" t="s">
        <v>1527</v>
      </c>
      <c r="C1070" s="5">
        <v>3</v>
      </c>
      <c r="D1070" s="15">
        <v>3005997</v>
      </c>
      <c r="E1070" s="1" t="s">
        <v>1515</v>
      </c>
      <c r="F1070" s="18">
        <v>2908954</v>
      </c>
      <c r="G1070" s="9">
        <v>45801</v>
      </c>
      <c r="H1070" s="1" t="s">
        <v>1543</v>
      </c>
      <c r="I1070" s="12" t="s">
        <v>2509</v>
      </c>
      <c r="J1070" s="6">
        <v>54302</v>
      </c>
      <c r="K1070" s="3">
        <v>1554302</v>
      </c>
    </row>
    <row r="1071" spans="1:11" x14ac:dyDescent="0.25">
      <c r="A1071" s="1" t="s">
        <v>2214</v>
      </c>
      <c r="B1071" s="1" t="s">
        <v>1536</v>
      </c>
      <c r="C1071" s="5">
        <v>1</v>
      </c>
      <c r="D1071" s="14">
        <v>21923382</v>
      </c>
      <c r="E1071" s="1" t="s">
        <v>2504</v>
      </c>
      <c r="F1071" s="17">
        <v>2007449</v>
      </c>
      <c r="G1071" s="8">
        <v>45598</v>
      </c>
      <c r="H1071" s="1" t="s">
        <v>1513</v>
      </c>
      <c r="I1071" s="11" t="s">
        <v>2509</v>
      </c>
      <c r="J1071" s="6">
        <v>398319</v>
      </c>
      <c r="K1071" s="3">
        <v>15398319</v>
      </c>
    </row>
    <row r="1072" spans="1:11" x14ac:dyDescent="0.25">
      <c r="A1072" s="1" t="s">
        <v>2896</v>
      </c>
      <c r="B1072" s="1" t="s">
        <v>1514</v>
      </c>
      <c r="C1072" s="5">
        <v>1</v>
      </c>
      <c r="D1072" s="15">
        <v>1819444</v>
      </c>
      <c r="E1072" s="1" t="s">
        <v>1538</v>
      </c>
      <c r="F1072" s="18">
        <v>1813051</v>
      </c>
      <c r="G1072" s="9">
        <v>45546</v>
      </c>
      <c r="H1072" s="1" t="s">
        <v>1543</v>
      </c>
      <c r="I1072" s="12" t="s">
        <v>2507</v>
      </c>
      <c r="J1072" s="6">
        <v>327628</v>
      </c>
      <c r="K1072" s="3">
        <v>15327628</v>
      </c>
    </row>
    <row r="1073" spans="1:11" x14ac:dyDescent="0.25">
      <c r="A1073" s="1" t="s">
        <v>2215</v>
      </c>
      <c r="B1073" s="1" t="s">
        <v>1534</v>
      </c>
      <c r="C1073" s="5">
        <v>4</v>
      </c>
      <c r="D1073" s="14">
        <v>7427612</v>
      </c>
      <c r="E1073" s="1" t="s">
        <v>2504</v>
      </c>
      <c r="F1073" s="17">
        <v>1851266</v>
      </c>
      <c r="G1073" s="8">
        <v>45826</v>
      </c>
      <c r="H1073" s="1" t="s">
        <v>1543</v>
      </c>
      <c r="I1073" s="11" t="s">
        <v>2507</v>
      </c>
      <c r="J1073" s="6">
        <v>111527</v>
      </c>
      <c r="K1073" s="3">
        <v>15111527</v>
      </c>
    </row>
    <row r="1074" spans="1:11" x14ac:dyDescent="0.25">
      <c r="A1074" s="1" t="s">
        <v>2216</v>
      </c>
      <c r="B1074" s="1" t="s">
        <v>1534</v>
      </c>
      <c r="C1074" s="5">
        <v>4</v>
      </c>
      <c r="D1074" s="15">
        <v>14077312</v>
      </c>
      <c r="E1074" s="1" t="s">
        <v>2504</v>
      </c>
      <c r="F1074" s="18">
        <v>2126912</v>
      </c>
      <c r="G1074" s="9">
        <v>45767</v>
      </c>
      <c r="H1074" s="1" t="s">
        <v>2519</v>
      </c>
      <c r="I1074" s="12" t="s">
        <v>1512</v>
      </c>
      <c r="J1074" s="6">
        <v>239008</v>
      </c>
      <c r="K1074" s="3">
        <v>15239008</v>
      </c>
    </row>
    <row r="1075" spans="1:11" x14ac:dyDescent="0.25">
      <c r="A1075" s="1" t="s">
        <v>2217</v>
      </c>
      <c r="B1075" s="1" t="s">
        <v>1517</v>
      </c>
      <c r="C1075" s="5">
        <v>4</v>
      </c>
      <c r="D1075" s="14">
        <v>19609366</v>
      </c>
      <c r="E1075" s="1" t="s">
        <v>1515</v>
      </c>
      <c r="F1075" s="17">
        <v>83217</v>
      </c>
      <c r="G1075" s="8">
        <v>45600</v>
      </c>
      <c r="H1075" s="1" t="s">
        <v>1522</v>
      </c>
      <c r="I1075" s="11" t="s">
        <v>2509</v>
      </c>
      <c r="J1075" s="6">
        <v>375544</v>
      </c>
      <c r="K1075" s="3">
        <v>15375544</v>
      </c>
    </row>
    <row r="1076" spans="1:11" x14ac:dyDescent="0.25">
      <c r="A1076" s="1" t="s">
        <v>2218</v>
      </c>
      <c r="B1076" s="1" t="s">
        <v>1545</v>
      </c>
      <c r="C1076" s="5">
        <v>4</v>
      </c>
      <c r="D1076" s="15">
        <v>7429664</v>
      </c>
      <c r="E1076" s="1" t="s">
        <v>1538</v>
      </c>
      <c r="F1076" s="18">
        <v>217741</v>
      </c>
      <c r="G1076" s="9">
        <v>45690</v>
      </c>
      <c r="H1076" s="1" t="s">
        <v>1519</v>
      </c>
      <c r="I1076" s="12" t="s">
        <v>1518</v>
      </c>
      <c r="J1076" s="6">
        <v>144238</v>
      </c>
      <c r="K1076" s="3">
        <v>15144238</v>
      </c>
    </row>
    <row r="1077" spans="1:11" x14ac:dyDescent="0.25">
      <c r="A1077" s="1" t="s">
        <v>2219</v>
      </c>
      <c r="B1077" s="1" t="s">
        <v>1534</v>
      </c>
      <c r="C1077" s="5">
        <v>2</v>
      </c>
      <c r="D1077" s="14">
        <v>4006310</v>
      </c>
      <c r="E1077" s="1" t="s">
        <v>1515</v>
      </c>
      <c r="F1077" s="17">
        <v>432453</v>
      </c>
      <c r="G1077" s="8">
        <v>45705</v>
      </c>
      <c r="H1077" s="1" t="s">
        <v>2508</v>
      </c>
      <c r="I1077" s="11" t="s">
        <v>1521</v>
      </c>
      <c r="J1077" s="6">
        <v>792613</v>
      </c>
      <c r="K1077" s="3">
        <v>15792613</v>
      </c>
    </row>
    <row r="1078" spans="1:11" x14ac:dyDescent="0.25">
      <c r="A1078" s="1" t="s">
        <v>2220</v>
      </c>
      <c r="B1078" s="1" t="s">
        <v>1545</v>
      </c>
      <c r="C1078" s="5">
        <v>4</v>
      </c>
      <c r="D1078" s="15">
        <v>24338528</v>
      </c>
      <c r="E1078" s="1" t="s">
        <v>2504</v>
      </c>
      <c r="F1078" s="18">
        <v>1799761</v>
      </c>
      <c r="G1078" s="9">
        <v>45672</v>
      </c>
      <c r="H1078" s="1" t="s">
        <v>2512</v>
      </c>
      <c r="I1078" s="12" t="s">
        <v>1512</v>
      </c>
      <c r="J1078" s="6">
        <v>450775</v>
      </c>
      <c r="K1078" s="3">
        <v>15450775</v>
      </c>
    </row>
    <row r="1079" spans="1:11" x14ac:dyDescent="0.25">
      <c r="A1079" s="1" t="s">
        <v>2221</v>
      </c>
      <c r="B1079" s="1" t="s">
        <v>1540</v>
      </c>
      <c r="C1079" s="5">
        <v>5</v>
      </c>
      <c r="D1079" s="14">
        <v>28412279</v>
      </c>
      <c r="E1079" s="1" t="s">
        <v>1515</v>
      </c>
      <c r="F1079" s="17">
        <v>6607017</v>
      </c>
      <c r="G1079" s="8">
        <v>45537</v>
      </c>
      <c r="H1079" s="1" t="s">
        <v>2519</v>
      </c>
      <c r="I1079" s="11" t="s">
        <v>2507</v>
      </c>
      <c r="J1079" s="6">
        <v>436105</v>
      </c>
      <c r="K1079" s="3">
        <v>15436105</v>
      </c>
    </row>
    <row r="1080" spans="1:11" x14ac:dyDescent="0.25">
      <c r="A1080" s="1" t="s">
        <v>2222</v>
      </c>
      <c r="B1080" s="1" t="s">
        <v>1536</v>
      </c>
      <c r="C1080" s="5">
        <v>3</v>
      </c>
      <c r="D1080" s="15">
        <v>43483871</v>
      </c>
      <c r="E1080" s="1" t="s">
        <v>1538</v>
      </c>
      <c r="F1080" s="18">
        <v>6077237</v>
      </c>
      <c r="G1080" s="9">
        <v>45695</v>
      </c>
      <c r="H1080" s="1" t="s">
        <v>2508</v>
      </c>
      <c r="I1080" s="12" t="s">
        <v>2511</v>
      </c>
      <c r="J1080" s="6">
        <v>748133</v>
      </c>
      <c r="K1080" s="3">
        <v>15748133</v>
      </c>
    </row>
    <row r="1081" spans="1:11" x14ac:dyDescent="0.25">
      <c r="A1081" s="1" t="s">
        <v>2897</v>
      </c>
      <c r="B1081" s="1" t="s">
        <v>1540</v>
      </c>
      <c r="C1081" s="5">
        <v>2</v>
      </c>
      <c r="D1081" s="14">
        <v>23780725</v>
      </c>
      <c r="E1081" s="1" t="s">
        <v>1538</v>
      </c>
      <c r="F1081" s="17">
        <v>2613161</v>
      </c>
      <c r="G1081" s="8">
        <v>45737</v>
      </c>
      <c r="H1081" s="1" t="s">
        <v>2512</v>
      </c>
      <c r="I1081" s="11" t="s">
        <v>2511</v>
      </c>
      <c r="J1081" s="6">
        <v>423351</v>
      </c>
      <c r="K1081" s="3">
        <v>15423351</v>
      </c>
    </row>
    <row r="1082" spans="1:11" x14ac:dyDescent="0.25">
      <c r="A1082" s="1" t="s">
        <v>2898</v>
      </c>
      <c r="B1082" s="1" t="s">
        <v>1545</v>
      </c>
      <c r="C1082" s="5">
        <v>3</v>
      </c>
      <c r="D1082" s="15">
        <v>27530684</v>
      </c>
      <c r="E1082" s="1" t="s">
        <v>2504</v>
      </c>
      <c r="F1082" s="18">
        <v>5838076</v>
      </c>
      <c r="G1082" s="9">
        <v>45793</v>
      </c>
      <c r="H1082" s="1" t="s">
        <v>2519</v>
      </c>
      <c r="I1082" s="12" t="s">
        <v>1518</v>
      </c>
      <c r="J1082" s="6">
        <v>433852</v>
      </c>
      <c r="K1082" s="3">
        <v>15433852</v>
      </c>
    </row>
    <row r="1083" spans="1:11" x14ac:dyDescent="0.25">
      <c r="A1083" s="1" t="s">
        <v>2223</v>
      </c>
      <c r="B1083" s="1" t="s">
        <v>1514</v>
      </c>
      <c r="C1083" s="5">
        <v>5</v>
      </c>
      <c r="D1083" s="14">
        <v>12862802</v>
      </c>
      <c r="E1083" s="1" t="s">
        <v>1515</v>
      </c>
      <c r="F1083" s="17">
        <v>749769</v>
      </c>
      <c r="G1083" s="8">
        <v>45720</v>
      </c>
      <c r="H1083" s="1" t="s">
        <v>1522</v>
      </c>
      <c r="I1083" s="11" t="s">
        <v>1521</v>
      </c>
      <c r="J1083" s="6">
        <v>242261</v>
      </c>
      <c r="K1083" s="3">
        <v>15242261</v>
      </c>
    </row>
    <row r="1084" spans="1:11" x14ac:dyDescent="0.25">
      <c r="A1084" s="1" t="s">
        <v>2224</v>
      </c>
      <c r="B1084" s="1" t="s">
        <v>1517</v>
      </c>
      <c r="C1084" s="5">
        <v>1</v>
      </c>
      <c r="D1084" s="15">
        <v>26806533</v>
      </c>
      <c r="E1084" s="1" t="s">
        <v>2504</v>
      </c>
      <c r="F1084" s="18">
        <v>4286037</v>
      </c>
      <c r="G1084" s="9">
        <v>45681</v>
      </c>
      <c r="H1084" s="1" t="s">
        <v>1522</v>
      </c>
      <c r="I1084" s="12" t="s">
        <v>2509</v>
      </c>
      <c r="J1084" s="6">
        <v>45041</v>
      </c>
      <c r="K1084" s="3">
        <v>1545041</v>
      </c>
    </row>
    <row r="1085" spans="1:11" x14ac:dyDescent="0.25">
      <c r="A1085" s="1" t="s">
        <v>2899</v>
      </c>
      <c r="B1085" s="1" t="s">
        <v>1534</v>
      </c>
      <c r="C1085" s="5">
        <v>2</v>
      </c>
      <c r="D1085" s="14">
        <v>9390841</v>
      </c>
      <c r="E1085" s="1" t="s">
        <v>1538</v>
      </c>
      <c r="F1085" s="17">
        <v>403227</v>
      </c>
      <c r="G1085" s="8">
        <v>45747</v>
      </c>
      <c r="H1085" s="1" t="s">
        <v>2510</v>
      </c>
      <c r="I1085" s="11" t="s">
        <v>2507</v>
      </c>
      <c r="J1085" s="6">
        <v>179752</v>
      </c>
      <c r="K1085" s="3">
        <v>15179752</v>
      </c>
    </row>
    <row r="1086" spans="1:11" x14ac:dyDescent="0.25">
      <c r="A1086" s="1" t="s">
        <v>2900</v>
      </c>
      <c r="B1086" s="1" t="s">
        <v>1534</v>
      </c>
      <c r="C1086" s="5">
        <v>3</v>
      </c>
      <c r="D1086" s="15">
        <v>42905252</v>
      </c>
      <c r="E1086" s="1" t="s">
        <v>2504</v>
      </c>
      <c r="F1086" s="18">
        <v>87020</v>
      </c>
      <c r="G1086" s="9">
        <v>45556</v>
      </c>
      <c r="H1086" s="1" t="s">
        <v>2515</v>
      </c>
      <c r="I1086" s="12" t="s">
        <v>1521</v>
      </c>
      <c r="J1086" s="6">
        <v>840701</v>
      </c>
      <c r="K1086" s="3">
        <v>15840701</v>
      </c>
    </row>
    <row r="1087" spans="1:11" x14ac:dyDescent="0.25">
      <c r="A1087" s="1" t="s">
        <v>2225</v>
      </c>
      <c r="B1087" s="1" t="s">
        <v>1534</v>
      </c>
      <c r="C1087" s="5">
        <v>4</v>
      </c>
      <c r="D1087" s="14">
        <v>42025033</v>
      </c>
      <c r="E1087" s="1" t="s">
        <v>1515</v>
      </c>
      <c r="F1087" s="17">
        <v>400384</v>
      </c>
      <c r="G1087" s="8">
        <v>45716</v>
      </c>
      <c r="H1087" s="1" t="s">
        <v>2515</v>
      </c>
      <c r="I1087" s="11" t="s">
        <v>1518</v>
      </c>
      <c r="J1087" s="6">
        <v>760424</v>
      </c>
      <c r="K1087" s="3">
        <v>15760424</v>
      </c>
    </row>
    <row r="1088" spans="1:11" x14ac:dyDescent="0.25">
      <c r="A1088" s="1" t="s">
        <v>2226</v>
      </c>
      <c r="B1088" s="1" t="s">
        <v>1545</v>
      </c>
      <c r="C1088" s="5">
        <v>1</v>
      </c>
      <c r="D1088" s="15">
        <v>18441162</v>
      </c>
      <c r="E1088" s="1" t="s">
        <v>1515</v>
      </c>
      <c r="F1088" s="18">
        <v>2643191</v>
      </c>
      <c r="G1088" s="9">
        <v>45792</v>
      </c>
      <c r="H1088" s="1" t="s">
        <v>2508</v>
      </c>
      <c r="I1088" s="12" t="s">
        <v>1512</v>
      </c>
      <c r="J1088" s="6">
        <v>315959</v>
      </c>
      <c r="K1088" s="3">
        <v>15315959</v>
      </c>
    </row>
    <row r="1089" spans="1:11" x14ac:dyDescent="0.25">
      <c r="A1089" s="1" t="s">
        <v>2901</v>
      </c>
      <c r="B1089" s="1" t="s">
        <v>1532</v>
      </c>
      <c r="C1089" s="5">
        <v>4</v>
      </c>
      <c r="D1089" s="14">
        <v>10052702</v>
      </c>
      <c r="E1089" s="1" t="s">
        <v>1515</v>
      </c>
      <c r="F1089" s="17">
        <v>127947</v>
      </c>
      <c r="G1089" s="8">
        <v>45641</v>
      </c>
      <c r="H1089" s="1" t="s">
        <v>2515</v>
      </c>
      <c r="I1089" s="11" t="s">
        <v>1518</v>
      </c>
      <c r="J1089" s="6">
        <v>175465</v>
      </c>
      <c r="K1089" s="3">
        <v>15175465</v>
      </c>
    </row>
    <row r="1090" spans="1:11" x14ac:dyDescent="0.25">
      <c r="A1090" s="1" t="s">
        <v>2902</v>
      </c>
      <c r="B1090" s="1" t="s">
        <v>1514</v>
      </c>
      <c r="C1090" s="5">
        <v>5</v>
      </c>
      <c r="D1090" s="15">
        <v>4086144</v>
      </c>
      <c r="E1090" s="1" t="s">
        <v>1538</v>
      </c>
      <c r="F1090" s="18">
        <v>3236737</v>
      </c>
      <c r="G1090" s="9">
        <v>45845</v>
      </c>
      <c r="H1090" s="1" t="s">
        <v>1519</v>
      </c>
      <c r="I1090" s="12" t="s">
        <v>1521</v>
      </c>
      <c r="J1090" s="6">
        <v>752494</v>
      </c>
      <c r="K1090" s="3">
        <v>15752494</v>
      </c>
    </row>
    <row r="1091" spans="1:11" x14ac:dyDescent="0.25">
      <c r="A1091" s="1" t="s">
        <v>2227</v>
      </c>
      <c r="B1091" s="1" t="s">
        <v>1545</v>
      </c>
      <c r="C1091" s="5">
        <v>5</v>
      </c>
      <c r="D1091" s="14">
        <v>11020452</v>
      </c>
      <c r="E1091" s="1" t="s">
        <v>2504</v>
      </c>
      <c r="F1091" s="17">
        <v>1533213</v>
      </c>
      <c r="G1091" s="8">
        <v>45704</v>
      </c>
      <c r="H1091" s="1" t="s">
        <v>2510</v>
      </c>
      <c r="I1091" s="11" t="s">
        <v>1521</v>
      </c>
      <c r="J1091" s="6">
        <v>189745</v>
      </c>
      <c r="K1091" s="3">
        <v>15189745</v>
      </c>
    </row>
    <row r="1092" spans="1:11" x14ac:dyDescent="0.25">
      <c r="A1092" s="1" t="s">
        <v>2903</v>
      </c>
      <c r="B1092" s="1" t="s">
        <v>1545</v>
      </c>
      <c r="C1092" s="5">
        <v>2</v>
      </c>
      <c r="D1092" s="15">
        <v>3856821</v>
      </c>
      <c r="E1092" s="1" t="s">
        <v>2504</v>
      </c>
      <c r="F1092" s="18">
        <v>583203</v>
      </c>
      <c r="G1092" s="9">
        <v>45831</v>
      </c>
      <c r="H1092" s="1" t="s">
        <v>2512</v>
      </c>
      <c r="I1092" s="12" t="s">
        <v>1518</v>
      </c>
      <c r="J1092" s="6">
        <v>65472</v>
      </c>
      <c r="K1092" s="3">
        <v>15065472</v>
      </c>
    </row>
    <row r="1093" spans="1:11" x14ac:dyDescent="0.25">
      <c r="A1093" s="1" t="s">
        <v>2228</v>
      </c>
      <c r="B1093" s="1" t="s">
        <v>1532</v>
      </c>
      <c r="C1093" s="5">
        <v>3</v>
      </c>
      <c r="D1093" s="14">
        <v>30404628</v>
      </c>
      <c r="E1093" s="1" t="s">
        <v>1538</v>
      </c>
      <c r="F1093" s="17">
        <v>46521</v>
      </c>
      <c r="G1093" s="8">
        <v>45564</v>
      </c>
      <c r="H1093" s="1" t="s">
        <v>2510</v>
      </c>
      <c r="I1093" s="11" t="s">
        <v>1512</v>
      </c>
      <c r="J1093" s="6">
        <v>598788</v>
      </c>
      <c r="K1093" s="3">
        <v>15598788</v>
      </c>
    </row>
    <row r="1094" spans="1:11" x14ac:dyDescent="0.25">
      <c r="A1094" s="1" t="s">
        <v>2904</v>
      </c>
      <c r="B1094" s="1" t="s">
        <v>1536</v>
      </c>
      <c r="C1094" s="5">
        <v>2</v>
      </c>
      <c r="D1094" s="15">
        <v>12226912</v>
      </c>
      <c r="E1094" s="1" t="s">
        <v>1515</v>
      </c>
      <c r="F1094" s="18">
        <v>2193745</v>
      </c>
      <c r="G1094" s="9">
        <v>45551</v>
      </c>
      <c r="H1094" s="1" t="s">
        <v>2515</v>
      </c>
      <c r="I1094" s="12" t="s">
        <v>2511</v>
      </c>
      <c r="J1094" s="6">
        <v>200663</v>
      </c>
      <c r="K1094" s="3">
        <v>15200663</v>
      </c>
    </row>
    <row r="1095" spans="1:11" x14ac:dyDescent="0.25">
      <c r="A1095" s="1" t="s">
        <v>2229</v>
      </c>
      <c r="B1095" s="1" t="s">
        <v>1532</v>
      </c>
      <c r="C1095" s="5">
        <v>3</v>
      </c>
      <c r="D1095" s="14">
        <v>1144735</v>
      </c>
      <c r="E1095" s="1" t="s">
        <v>1538</v>
      </c>
      <c r="F1095" s="17">
        <v>36648</v>
      </c>
      <c r="G1095" s="8">
        <v>45718</v>
      </c>
      <c r="H1095" s="1" t="s">
        <v>2519</v>
      </c>
      <c r="I1095" s="11" t="s">
        <v>1512</v>
      </c>
      <c r="J1095" s="6">
        <v>22162</v>
      </c>
      <c r="K1095" s="3">
        <v>15022162</v>
      </c>
    </row>
    <row r="1096" spans="1:11" x14ac:dyDescent="0.25">
      <c r="A1096" s="1" t="s">
        <v>2230</v>
      </c>
      <c r="B1096" s="1" t="s">
        <v>1525</v>
      </c>
      <c r="C1096" s="5">
        <v>4</v>
      </c>
      <c r="D1096" s="15">
        <v>48180832</v>
      </c>
      <c r="E1096" s="1" t="s">
        <v>2504</v>
      </c>
      <c r="F1096" s="18">
        <v>366561</v>
      </c>
      <c r="G1096" s="9">
        <v>45649</v>
      </c>
      <c r="H1096" s="1" t="s">
        <v>2515</v>
      </c>
      <c r="I1096" s="12" t="s">
        <v>1521</v>
      </c>
      <c r="J1096" s="6">
        <v>890304</v>
      </c>
      <c r="K1096" s="3">
        <v>15890304</v>
      </c>
    </row>
    <row r="1097" spans="1:11" x14ac:dyDescent="0.25">
      <c r="A1097" s="1" t="s">
        <v>2231</v>
      </c>
      <c r="B1097" s="1" t="s">
        <v>1534</v>
      </c>
      <c r="C1097" s="5">
        <v>4</v>
      </c>
      <c r="D1097" s="14">
        <v>19049772</v>
      </c>
      <c r="E1097" s="1" t="s">
        <v>1515</v>
      </c>
      <c r="F1097" s="17">
        <v>1724992</v>
      </c>
      <c r="G1097" s="8">
        <v>45769</v>
      </c>
      <c r="H1097" s="1" t="s">
        <v>1543</v>
      </c>
      <c r="I1097" s="11" t="s">
        <v>2511</v>
      </c>
      <c r="J1097" s="6">
        <v>346496</v>
      </c>
      <c r="K1097" s="3">
        <v>15346496</v>
      </c>
    </row>
    <row r="1098" spans="1:11" x14ac:dyDescent="0.25">
      <c r="A1098" s="1" t="s">
        <v>2232</v>
      </c>
      <c r="B1098" s="1" t="s">
        <v>1525</v>
      </c>
      <c r="C1098" s="5">
        <v>1</v>
      </c>
      <c r="D1098" s="15">
        <v>4623935</v>
      </c>
      <c r="E1098" s="1" t="s">
        <v>1538</v>
      </c>
      <c r="F1098" s="18">
        <v>841404</v>
      </c>
      <c r="G1098" s="9">
        <v>45674</v>
      </c>
      <c r="H1098" s="1" t="s">
        <v>2515</v>
      </c>
      <c r="I1098" s="12" t="s">
        <v>1512</v>
      </c>
      <c r="J1098" s="6">
        <v>756506</v>
      </c>
      <c r="K1098" s="3">
        <v>15756506</v>
      </c>
    </row>
    <row r="1099" spans="1:11" x14ac:dyDescent="0.25">
      <c r="A1099" s="1" t="s">
        <v>2233</v>
      </c>
      <c r="B1099" s="1" t="s">
        <v>1534</v>
      </c>
      <c r="C1099" s="5">
        <v>3</v>
      </c>
      <c r="D1099" s="14">
        <v>2293296</v>
      </c>
      <c r="E1099" s="1" t="s">
        <v>1538</v>
      </c>
      <c r="F1099" s="17">
        <v>493673</v>
      </c>
      <c r="G1099" s="8">
        <v>45608</v>
      </c>
      <c r="H1099" s="1" t="s">
        <v>2508</v>
      </c>
      <c r="I1099" s="11" t="s">
        <v>1518</v>
      </c>
      <c r="J1099" s="6">
        <v>35992</v>
      </c>
      <c r="K1099" s="3">
        <v>15035992</v>
      </c>
    </row>
    <row r="1100" spans="1:11" x14ac:dyDescent="0.25">
      <c r="A1100" s="1" t="s">
        <v>2234</v>
      </c>
      <c r="B1100" s="1" t="s">
        <v>1525</v>
      </c>
      <c r="C1100" s="5">
        <v>3</v>
      </c>
      <c r="D1100" s="15">
        <v>10664952</v>
      </c>
      <c r="E1100" s="1" t="s">
        <v>1538</v>
      </c>
      <c r="F1100" s="18">
        <v>265982</v>
      </c>
      <c r="G1100" s="9">
        <v>45584</v>
      </c>
      <c r="H1100" s="1" t="s">
        <v>2512</v>
      </c>
      <c r="I1100" s="12" t="s">
        <v>2511</v>
      </c>
      <c r="J1100" s="6">
        <v>207979</v>
      </c>
      <c r="K1100" s="3">
        <v>15207979</v>
      </c>
    </row>
    <row r="1101" spans="1:11" x14ac:dyDescent="0.25">
      <c r="A1101" s="1" t="s">
        <v>2905</v>
      </c>
      <c r="B1101" s="1" t="s">
        <v>1534</v>
      </c>
      <c r="C1101" s="5">
        <v>4</v>
      </c>
      <c r="D1101" s="14">
        <v>4809634</v>
      </c>
      <c r="E1101" s="1" t="s">
        <v>1515</v>
      </c>
      <c r="F1101" s="17">
        <v>7958548</v>
      </c>
      <c r="G1101" s="8">
        <v>45786</v>
      </c>
      <c r="H1101" s="1" t="s">
        <v>2510</v>
      </c>
      <c r="I1101" s="11" t="s">
        <v>2511</v>
      </c>
      <c r="J1101" s="6">
        <v>802756</v>
      </c>
      <c r="K1101" s="3">
        <v>15802756</v>
      </c>
    </row>
    <row r="1102" spans="1:11" x14ac:dyDescent="0.25">
      <c r="A1102" s="1" t="s">
        <v>2906</v>
      </c>
      <c r="B1102" s="1" t="s">
        <v>1527</v>
      </c>
      <c r="C1102" s="5">
        <v>3</v>
      </c>
      <c r="D1102" s="15">
        <v>14403794</v>
      </c>
      <c r="E1102" s="1" t="s">
        <v>1515</v>
      </c>
      <c r="F1102" s="18">
        <v>1617563</v>
      </c>
      <c r="G1102" s="9">
        <v>45857</v>
      </c>
      <c r="H1102" s="1" t="s">
        <v>1519</v>
      </c>
      <c r="I1102" s="12" t="s">
        <v>2507</v>
      </c>
      <c r="J1102" s="6">
        <v>255725</v>
      </c>
      <c r="K1102" s="3">
        <v>15255725</v>
      </c>
    </row>
    <row r="1103" spans="1:11" x14ac:dyDescent="0.25">
      <c r="A1103" s="1" t="s">
        <v>2907</v>
      </c>
      <c r="B1103" s="1" t="s">
        <v>1540</v>
      </c>
      <c r="C1103" s="5">
        <v>2</v>
      </c>
      <c r="D1103" s="14">
        <v>24244906</v>
      </c>
      <c r="E1103" s="1" t="s">
        <v>2504</v>
      </c>
      <c r="F1103" s="17">
        <v>1363273</v>
      </c>
      <c r="G1103" s="8">
        <v>45578</v>
      </c>
      <c r="H1103" s="1" t="s">
        <v>1516</v>
      </c>
      <c r="I1103" s="11" t="s">
        <v>2511</v>
      </c>
      <c r="J1103" s="6">
        <v>457633</v>
      </c>
      <c r="K1103" s="3">
        <v>15457633</v>
      </c>
    </row>
    <row r="1104" spans="1:11" x14ac:dyDescent="0.25">
      <c r="A1104" s="1" t="s">
        <v>2908</v>
      </c>
      <c r="B1104" s="1" t="s">
        <v>1540</v>
      </c>
      <c r="C1104" s="5">
        <v>3</v>
      </c>
      <c r="D1104" s="15">
        <v>5691301</v>
      </c>
      <c r="E1104" s="1" t="s">
        <v>2504</v>
      </c>
      <c r="F1104" s="18">
        <v>136081</v>
      </c>
      <c r="G1104" s="9">
        <v>45506</v>
      </c>
      <c r="H1104" s="1" t="s">
        <v>1519</v>
      </c>
      <c r="I1104" s="12" t="s">
        <v>2511</v>
      </c>
      <c r="J1104" s="6">
        <v>111104</v>
      </c>
      <c r="K1104" s="3">
        <v>15111104</v>
      </c>
    </row>
    <row r="1105" spans="1:11" x14ac:dyDescent="0.25">
      <c r="A1105" s="1" t="s">
        <v>2235</v>
      </c>
      <c r="B1105" s="1" t="s">
        <v>1523</v>
      </c>
      <c r="C1105" s="5">
        <v>2</v>
      </c>
      <c r="D1105" s="14">
        <v>30586026</v>
      </c>
      <c r="E1105" s="1" t="s">
        <v>1515</v>
      </c>
      <c r="F1105" s="17">
        <v>1735833</v>
      </c>
      <c r="G1105" s="8">
        <v>45697</v>
      </c>
      <c r="H1105" s="1" t="s">
        <v>2508</v>
      </c>
      <c r="I1105" s="11" t="s">
        <v>2509</v>
      </c>
      <c r="J1105" s="6">
        <v>577004</v>
      </c>
      <c r="K1105" s="3">
        <v>15577004</v>
      </c>
    </row>
    <row r="1106" spans="1:11" x14ac:dyDescent="0.25">
      <c r="A1106" s="1" t="s">
        <v>2236</v>
      </c>
      <c r="B1106" s="1" t="s">
        <v>1514</v>
      </c>
      <c r="C1106" s="5">
        <v>5</v>
      </c>
      <c r="D1106" s="15">
        <v>37775312</v>
      </c>
      <c r="E1106" s="1" t="s">
        <v>1515</v>
      </c>
      <c r="F1106" s="18">
        <v>9179046</v>
      </c>
      <c r="G1106" s="9">
        <v>45503</v>
      </c>
      <c r="H1106" s="1" t="s">
        <v>2519</v>
      </c>
      <c r="I1106" s="12" t="s">
        <v>2511</v>
      </c>
      <c r="J1106" s="6">
        <v>571925</v>
      </c>
      <c r="K1106" s="3">
        <v>15571925</v>
      </c>
    </row>
    <row r="1107" spans="1:11" x14ac:dyDescent="0.25">
      <c r="A1107" s="1" t="s">
        <v>2237</v>
      </c>
      <c r="B1107" s="1" t="s">
        <v>1517</v>
      </c>
      <c r="C1107" s="5">
        <v>4</v>
      </c>
      <c r="D1107" s="14">
        <v>40010398</v>
      </c>
      <c r="E1107" s="1" t="s">
        <v>1538</v>
      </c>
      <c r="F1107" s="17">
        <v>4556712</v>
      </c>
      <c r="G1107" s="8">
        <v>45767</v>
      </c>
      <c r="H1107" s="1" t="s">
        <v>2508</v>
      </c>
      <c r="I1107" s="11" t="s">
        <v>2511</v>
      </c>
      <c r="J1107" s="6">
        <v>709074</v>
      </c>
      <c r="K1107" s="3">
        <v>15709074</v>
      </c>
    </row>
    <row r="1108" spans="1:11" x14ac:dyDescent="0.25">
      <c r="A1108" s="1" t="s">
        <v>2909</v>
      </c>
      <c r="B1108" s="1" t="s">
        <v>1527</v>
      </c>
      <c r="C1108" s="5">
        <v>4</v>
      </c>
      <c r="D1108" s="15">
        <v>2927561</v>
      </c>
      <c r="E1108" s="1" t="s">
        <v>1538</v>
      </c>
      <c r="F1108" s="18">
        <v>289986</v>
      </c>
      <c r="G1108" s="9">
        <v>45833</v>
      </c>
      <c r="H1108" s="1" t="s">
        <v>2515</v>
      </c>
      <c r="I1108" s="12" t="s">
        <v>1518</v>
      </c>
      <c r="J1108" s="6">
        <v>579712</v>
      </c>
      <c r="K1108" s="3">
        <v>15579712</v>
      </c>
    </row>
    <row r="1109" spans="1:11" x14ac:dyDescent="0.25">
      <c r="A1109" s="1" t="s">
        <v>2910</v>
      </c>
      <c r="B1109" s="1" t="s">
        <v>1532</v>
      </c>
      <c r="C1109" s="5">
        <v>5</v>
      </c>
      <c r="D1109" s="14">
        <v>11831852</v>
      </c>
      <c r="E1109" s="1" t="s">
        <v>1538</v>
      </c>
      <c r="F1109" s="17">
        <v>570416</v>
      </c>
      <c r="G1109" s="8">
        <v>45782</v>
      </c>
      <c r="H1109" s="1" t="s">
        <v>2510</v>
      </c>
      <c r="I1109" s="11" t="s">
        <v>1518</v>
      </c>
      <c r="J1109" s="6">
        <v>225229</v>
      </c>
      <c r="K1109" s="3">
        <v>15225229</v>
      </c>
    </row>
    <row r="1110" spans="1:11" x14ac:dyDescent="0.25">
      <c r="A1110" s="1" t="s">
        <v>2911</v>
      </c>
      <c r="B1110" s="1" t="s">
        <v>1536</v>
      </c>
      <c r="C1110" s="5">
        <v>4</v>
      </c>
      <c r="D1110" s="15">
        <v>38473526</v>
      </c>
      <c r="E1110" s="1" t="s">
        <v>2504</v>
      </c>
      <c r="F1110" s="18">
        <v>9542586</v>
      </c>
      <c r="G1110" s="9">
        <v>45736</v>
      </c>
      <c r="H1110" s="1" t="s">
        <v>1513</v>
      </c>
      <c r="I1110" s="12" t="s">
        <v>1512</v>
      </c>
      <c r="J1110" s="6">
        <v>578619</v>
      </c>
      <c r="K1110" s="3">
        <v>15578619</v>
      </c>
    </row>
    <row r="1111" spans="1:11" x14ac:dyDescent="0.25">
      <c r="A1111" s="1" t="s">
        <v>2912</v>
      </c>
      <c r="B1111" s="1" t="s">
        <v>1534</v>
      </c>
      <c r="C1111" s="5">
        <v>1</v>
      </c>
      <c r="D1111" s="14">
        <v>16471304</v>
      </c>
      <c r="E1111" s="1" t="s">
        <v>1515</v>
      </c>
      <c r="F1111" s="17">
        <v>1655716</v>
      </c>
      <c r="G1111" s="8">
        <v>45736</v>
      </c>
      <c r="H1111" s="1" t="s">
        <v>1543</v>
      </c>
      <c r="I1111" s="11" t="s">
        <v>2509</v>
      </c>
      <c r="J1111" s="6">
        <v>296312</v>
      </c>
      <c r="K1111" s="3">
        <v>15296312</v>
      </c>
    </row>
    <row r="1112" spans="1:11" x14ac:dyDescent="0.25">
      <c r="A1112" s="1" t="s">
        <v>2238</v>
      </c>
      <c r="B1112" s="1" t="s">
        <v>1545</v>
      </c>
      <c r="C1112" s="5">
        <v>5</v>
      </c>
      <c r="D1112" s="15">
        <v>36873708</v>
      </c>
      <c r="E1112" s="1" t="s">
        <v>1538</v>
      </c>
      <c r="F1112" s="18">
        <v>603890</v>
      </c>
      <c r="G1112" s="9">
        <v>45648</v>
      </c>
      <c r="H1112" s="1" t="s">
        <v>2510</v>
      </c>
      <c r="I1112" s="12" t="s">
        <v>1521</v>
      </c>
      <c r="J1112" s="6">
        <v>616696</v>
      </c>
      <c r="K1112" s="3">
        <v>15616696</v>
      </c>
    </row>
    <row r="1113" spans="1:11" x14ac:dyDescent="0.25">
      <c r="A1113" s="1" t="s">
        <v>2239</v>
      </c>
      <c r="B1113" s="1" t="s">
        <v>1525</v>
      </c>
      <c r="C1113" s="5">
        <v>1</v>
      </c>
      <c r="D1113" s="14">
        <v>18092795</v>
      </c>
      <c r="E1113" s="1" t="s">
        <v>1515</v>
      </c>
      <c r="F1113" s="17">
        <v>4365617</v>
      </c>
      <c r="G1113" s="8">
        <v>45583</v>
      </c>
      <c r="H1113" s="1" t="s">
        <v>1513</v>
      </c>
      <c r="I1113" s="11" t="s">
        <v>2511</v>
      </c>
      <c r="J1113" s="6">
        <v>274544</v>
      </c>
      <c r="K1113" s="3">
        <v>15274544</v>
      </c>
    </row>
    <row r="1114" spans="1:11" x14ac:dyDescent="0.25">
      <c r="A1114" s="1" t="s">
        <v>2240</v>
      </c>
      <c r="B1114" s="1" t="s">
        <v>1545</v>
      </c>
      <c r="C1114" s="5">
        <v>4</v>
      </c>
      <c r="D1114" s="15">
        <v>24133945</v>
      </c>
      <c r="E1114" s="1" t="s">
        <v>1538</v>
      </c>
      <c r="F1114" s="18">
        <v>3414235</v>
      </c>
      <c r="G1114" s="9">
        <v>45608</v>
      </c>
      <c r="H1114" s="1" t="s">
        <v>2510</v>
      </c>
      <c r="I1114" s="12" t="s">
        <v>2509</v>
      </c>
      <c r="J1114" s="6">
        <v>414394</v>
      </c>
      <c r="K1114" s="3">
        <v>15414394</v>
      </c>
    </row>
    <row r="1115" spans="1:11" x14ac:dyDescent="0.25">
      <c r="A1115" s="1" t="s">
        <v>2241</v>
      </c>
      <c r="B1115" s="1" t="s">
        <v>1536</v>
      </c>
      <c r="C1115" s="5">
        <v>1</v>
      </c>
      <c r="D1115" s="14">
        <v>3335239</v>
      </c>
      <c r="E1115" s="1" t="s">
        <v>2504</v>
      </c>
      <c r="F1115" s="17">
        <v>315487</v>
      </c>
      <c r="G1115" s="8">
        <v>45842</v>
      </c>
      <c r="H1115" s="1" t="s">
        <v>1519</v>
      </c>
      <c r="I1115" s="11" t="s">
        <v>1518</v>
      </c>
      <c r="J1115" s="6">
        <v>60395</v>
      </c>
      <c r="K1115" s="3">
        <v>15060395</v>
      </c>
    </row>
    <row r="1116" spans="1:11" x14ac:dyDescent="0.25">
      <c r="A1116" s="1" t="s">
        <v>2242</v>
      </c>
      <c r="B1116" s="1" t="s">
        <v>1523</v>
      </c>
      <c r="C1116" s="5">
        <v>3</v>
      </c>
      <c r="D1116" s="15">
        <v>18065956</v>
      </c>
      <c r="E1116" s="1" t="s">
        <v>1538</v>
      </c>
      <c r="F1116" s="18">
        <v>4457418</v>
      </c>
      <c r="G1116" s="9">
        <v>45731</v>
      </c>
      <c r="H1116" s="1" t="s">
        <v>2508</v>
      </c>
      <c r="I1116" s="12" t="s">
        <v>2511</v>
      </c>
      <c r="J1116" s="6">
        <v>272171</v>
      </c>
      <c r="K1116" s="3">
        <v>15272171</v>
      </c>
    </row>
    <row r="1117" spans="1:11" x14ac:dyDescent="0.25">
      <c r="A1117" s="1" t="s">
        <v>2243</v>
      </c>
      <c r="B1117" s="1" t="s">
        <v>1534</v>
      </c>
      <c r="C1117" s="5">
        <v>5</v>
      </c>
      <c r="D1117" s="14">
        <v>32461277</v>
      </c>
      <c r="E1117" s="1" t="s">
        <v>1515</v>
      </c>
      <c r="F1117" s="17">
        <v>6570251</v>
      </c>
      <c r="G1117" s="8">
        <v>45590</v>
      </c>
      <c r="H1117" s="1" t="s">
        <v>2519</v>
      </c>
      <c r="I1117" s="11" t="s">
        <v>1512</v>
      </c>
      <c r="J1117" s="6">
        <v>517821</v>
      </c>
      <c r="K1117" s="3">
        <v>15517821</v>
      </c>
    </row>
    <row r="1118" spans="1:11" x14ac:dyDescent="0.25">
      <c r="A1118" s="1" t="s">
        <v>2913</v>
      </c>
      <c r="B1118" s="1" t="s">
        <v>1545</v>
      </c>
      <c r="C1118" s="5">
        <v>4</v>
      </c>
      <c r="D1118" s="15">
        <v>3677800</v>
      </c>
      <c r="E1118" s="1" t="s">
        <v>2504</v>
      </c>
      <c r="F1118" s="18">
        <v>4098471</v>
      </c>
      <c r="G1118" s="9">
        <v>45803</v>
      </c>
      <c r="H1118" s="1" t="s">
        <v>1543</v>
      </c>
      <c r="I1118" s="12" t="s">
        <v>1512</v>
      </c>
      <c r="J1118" s="6">
        <v>653591</v>
      </c>
      <c r="K1118" s="3">
        <v>15653591</v>
      </c>
    </row>
    <row r="1119" spans="1:11" x14ac:dyDescent="0.25">
      <c r="A1119" s="1" t="s">
        <v>2244</v>
      </c>
      <c r="B1119" s="1" t="s">
        <v>1523</v>
      </c>
      <c r="C1119" s="5">
        <v>1</v>
      </c>
      <c r="D1119" s="14">
        <v>42311603</v>
      </c>
      <c r="E1119" s="1" t="s">
        <v>2504</v>
      </c>
      <c r="F1119" s="17">
        <v>4723156</v>
      </c>
      <c r="G1119" s="8">
        <v>45596</v>
      </c>
      <c r="H1119" s="1" t="s">
        <v>2519</v>
      </c>
      <c r="I1119" s="11" t="s">
        <v>2507</v>
      </c>
      <c r="J1119" s="6">
        <v>751769</v>
      </c>
      <c r="K1119" s="3">
        <v>15751769</v>
      </c>
    </row>
    <row r="1120" spans="1:11" x14ac:dyDescent="0.25">
      <c r="A1120" s="1" t="s">
        <v>2245</v>
      </c>
      <c r="B1120" s="1" t="s">
        <v>1536</v>
      </c>
      <c r="C1120" s="5">
        <v>1</v>
      </c>
      <c r="D1120" s="15">
        <v>15744167</v>
      </c>
      <c r="E1120" s="1" t="s">
        <v>2504</v>
      </c>
      <c r="F1120" s="18">
        <v>483596</v>
      </c>
      <c r="G1120" s="9">
        <v>45795</v>
      </c>
      <c r="H1120" s="1" t="s">
        <v>1519</v>
      </c>
      <c r="I1120" s="12" t="s">
        <v>2507</v>
      </c>
      <c r="J1120" s="6">
        <v>305211</v>
      </c>
      <c r="K1120" s="3">
        <v>15305211</v>
      </c>
    </row>
    <row r="1121" spans="1:11" x14ac:dyDescent="0.25">
      <c r="A1121" s="1" t="s">
        <v>2914</v>
      </c>
      <c r="B1121" s="1" t="s">
        <v>1523</v>
      </c>
      <c r="C1121" s="5">
        <v>1</v>
      </c>
      <c r="D1121" s="14">
        <v>46289887</v>
      </c>
      <c r="E1121" s="1" t="s">
        <v>1538</v>
      </c>
      <c r="F1121" s="17">
        <v>5649283</v>
      </c>
      <c r="G1121" s="8">
        <v>45765</v>
      </c>
      <c r="H1121" s="1" t="s">
        <v>1519</v>
      </c>
      <c r="I1121" s="11" t="s">
        <v>1512</v>
      </c>
      <c r="J1121" s="6">
        <v>812812</v>
      </c>
      <c r="K1121" s="3">
        <v>15812812</v>
      </c>
    </row>
    <row r="1122" spans="1:11" x14ac:dyDescent="0.25">
      <c r="A1122" s="1" t="s">
        <v>2246</v>
      </c>
      <c r="B1122" s="1" t="s">
        <v>1540</v>
      </c>
      <c r="C1122" s="5">
        <v>1</v>
      </c>
      <c r="D1122" s="15">
        <v>38240826</v>
      </c>
      <c r="E1122" s="1" t="s">
        <v>2504</v>
      </c>
      <c r="F1122" s="18">
        <v>2747128</v>
      </c>
      <c r="G1122" s="9">
        <v>45746</v>
      </c>
      <c r="H1122" s="1" t="s">
        <v>2508</v>
      </c>
      <c r="I1122" s="12" t="s">
        <v>1521</v>
      </c>
      <c r="J1122" s="6">
        <v>709874</v>
      </c>
      <c r="K1122" s="3">
        <v>15709874</v>
      </c>
    </row>
    <row r="1123" spans="1:11" x14ac:dyDescent="0.25">
      <c r="A1123" s="1" t="s">
        <v>2915</v>
      </c>
      <c r="B1123" s="1" t="s">
        <v>1527</v>
      </c>
      <c r="C1123" s="5">
        <v>4</v>
      </c>
      <c r="D1123" s="14">
        <v>11172293</v>
      </c>
      <c r="E1123" s="1" t="s">
        <v>2504</v>
      </c>
      <c r="F1123" s="17">
        <v>607457</v>
      </c>
      <c r="G1123" s="8">
        <v>45645</v>
      </c>
      <c r="H1123" s="1" t="s">
        <v>1516</v>
      </c>
      <c r="I1123" s="11" t="s">
        <v>2507</v>
      </c>
      <c r="J1123" s="6">
        <v>211297</v>
      </c>
      <c r="K1123" s="3">
        <v>15211297</v>
      </c>
    </row>
    <row r="1124" spans="1:11" x14ac:dyDescent="0.25">
      <c r="A1124" s="1" t="s">
        <v>2247</v>
      </c>
      <c r="B1124" s="1" t="s">
        <v>1527</v>
      </c>
      <c r="C1124" s="5">
        <v>3</v>
      </c>
      <c r="D1124" s="15">
        <v>26893947</v>
      </c>
      <c r="E1124" s="1" t="s">
        <v>1538</v>
      </c>
      <c r="F1124" s="18">
        <v>2234264</v>
      </c>
      <c r="G1124" s="9">
        <v>45682</v>
      </c>
      <c r="H1124" s="1" t="s">
        <v>1543</v>
      </c>
      <c r="I1124" s="12" t="s">
        <v>2511</v>
      </c>
      <c r="J1124" s="6">
        <v>493194</v>
      </c>
      <c r="K1124" s="3">
        <v>15493194</v>
      </c>
    </row>
    <row r="1125" spans="1:11" x14ac:dyDescent="0.25">
      <c r="A1125" s="1" t="s">
        <v>2248</v>
      </c>
      <c r="B1125" s="1" t="s">
        <v>1545</v>
      </c>
      <c r="C1125" s="5">
        <v>5</v>
      </c>
      <c r="D1125" s="14">
        <v>32420377</v>
      </c>
      <c r="E1125" s="1" t="s">
        <v>1515</v>
      </c>
      <c r="F1125" s="17">
        <v>7686479</v>
      </c>
      <c r="G1125" s="8">
        <v>45600</v>
      </c>
      <c r="H1125" s="1" t="s">
        <v>2510</v>
      </c>
      <c r="I1125" s="11" t="s">
        <v>1521</v>
      </c>
      <c r="J1125" s="6">
        <v>494678</v>
      </c>
      <c r="K1125" s="3">
        <v>15494678</v>
      </c>
    </row>
    <row r="1126" spans="1:11" x14ac:dyDescent="0.25">
      <c r="A1126" s="1" t="s">
        <v>2249</v>
      </c>
      <c r="B1126" s="1" t="s">
        <v>1517</v>
      </c>
      <c r="C1126" s="5">
        <v>3</v>
      </c>
      <c r="D1126" s="15">
        <v>27799117</v>
      </c>
      <c r="E1126" s="1" t="s">
        <v>1538</v>
      </c>
      <c r="F1126" s="18">
        <v>3739839</v>
      </c>
      <c r="G1126" s="9">
        <v>45654</v>
      </c>
      <c r="H1126" s="1" t="s">
        <v>1543</v>
      </c>
      <c r="I1126" s="12" t="s">
        <v>2507</v>
      </c>
      <c r="J1126" s="6">
        <v>481186</v>
      </c>
      <c r="K1126" s="3">
        <v>15481186</v>
      </c>
    </row>
    <row r="1127" spans="1:11" x14ac:dyDescent="0.25">
      <c r="A1127" s="1" t="s">
        <v>2916</v>
      </c>
      <c r="B1127" s="1" t="s">
        <v>1532</v>
      </c>
      <c r="C1127" s="5">
        <v>5</v>
      </c>
      <c r="D1127" s="14">
        <v>5782187</v>
      </c>
      <c r="E1127" s="1" t="s">
        <v>1515</v>
      </c>
      <c r="F1127" s="17">
        <v>59326</v>
      </c>
      <c r="G1127" s="8">
        <v>45809</v>
      </c>
      <c r="H1127" s="1" t="s">
        <v>1513</v>
      </c>
      <c r="I1127" s="11" t="s">
        <v>2509</v>
      </c>
      <c r="J1127" s="6">
        <v>103779</v>
      </c>
      <c r="K1127" s="3">
        <v>15103779</v>
      </c>
    </row>
    <row r="1128" spans="1:11" x14ac:dyDescent="0.25">
      <c r="A1128" s="1" t="s">
        <v>2250</v>
      </c>
      <c r="B1128" s="1" t="s">
        <v>1517</v>
      </c>
      <c r="C1128" s="5">
        <v>4</v>
      </c>
      <c r="D1128" s="15">
        <v>37003516</v>
      </c>
      <c r="E1128" s="1" t="s">
        <v>1515</v>
      </c>
      <c r="F1128" s="18">
        <v>4499472</v>
      </c>
      <c r="G1128" s="9">
        <v>45588</v>
      </c>
      <c r="H1128" s="1" t="s">
        <v>2519</v>
      </c>
      <c r="I1128" s="12" t="s">
        <v>1518</v>
      </c>
      <c r="J1128" s="6">
        <v>650081</v>
      </c>
      <c r="K1128" s="3">
        <v>15650081</v>
      </c>
    </row>
    <row r="1129" spans="1:11" x14ac:dyDescent="0.25">
      <c r="A1129" s="1" t="s">
        <v>2917</v>
      </c>
      <c r="B1129" s="1" t="s">
        <v>1540</v>
      </c>
      <c r="C1129" s="5">
        <v>3</v>
      </c>
      <c r="D1129" s="14">
        <v>8655814</v>
      </c>
      <c r="E1129" s="1" t="s">
        <v>1515</v>
      </c>
      <c r="F1129" s="17">
        <v>923217</v>
      </c>
      <c r="G1129" s="8">
        <v>45861</v>
      </c>
      <c r="H1129" s="1" t="s">
        <v>1519</v>
      </c>
      <c r="I1129" s="11" t="s">
        <v>2511</v>
      </c>
      <c r="J1129" s="6">
        <v>154652</v>
      </c>
      <c r="K1129" s="3">
        <v>15154652</v>
      </c>
    </row>
    <row r="1130" spans="1:11" x14ac:dyDescent="0.25">
      <c r="A1130" s="1" t="s">
        <v>2251</v>
      </c>
      <c r="B1130" s="1" t="s">
        <v>1532</v>
      </c>
      <c r="C1130" s="5">
        <v>4</v>
      </c>
      <c r="D1130" s="15">
        <v>49581612</v>
      </c>
      <c r="E1130" s="1" t="s">
        <v>1515</v>
      </c>
      <c r="F1130" s="18">
        <v>11316764</v>
      </c>
      <c r="G1130" s="9">
        <v>45727</v>
      </c>
      <c r="H1130" s="1" t="s">
        <v>1519</v>
      </c>
      <c r="I1130" s="12" t="s">
        <v>2507</v>
      </c>
      <c r="J1130" s="6">
        <v>765297</v>
      </c>
      <c r="K1130" s="3">
        <v>15765297</v>
      </c>
    </row>
    <row r="1131" spans="1:11" x14ac:dyDescent="0.25">
      <c r="A1131" s="1" t="s">
        <v>2252</v>
      </c>
      <c r="B1131" s="1" t="s">
        <v>1540</v>
      </c>
      <c r="C1131" s="5">
        <v>2</v>
      </c>
      <c r="D1131" s="14">
        <v>13683027</v>
      </c>
      <c r="E1131" s="1" t="s">
        <v>1538</v>
      </c>
      <c r="F1131" s="17">
        <v>1129691</v>
      </c>
      <c r="G1131" s="8">
        <v>45680</v>
      </c>
      <c r="H1131" s="1" t="s">
        <v>2510</v>
      </c>
      <c r="I1131" s="11" t="s">
        <v>2511</v>
      </c>
      <c r="J1131" s="6">
        <v>251067</v>
      </c>
      <c r="K1131" s="3">
        <v>15251067</v>
      </c>
    </row>
    <row r="1132" spans="1:11" x14ac:dyDescent="0.25">
      <c r="A1132" s="1" t="s">
        <v>2918</v>
      </c>
      <c r="B1132" s="1" t="s">
        <v>1525</v>
      </c>
      <c r="C1132" s="5">
        <v>2</v>
      </c>
      <c r="D1132" s="15">
        <v>25812788</v>
      </c>
      <c r="E1132" s="1" t="s">
        <v>2504</v>
      </c>
      <c r="F1132" s="18">
        <v>4230218</v>
      </c>
      <c r="G1132" s="9">
        <v>45712</v>
      </c>
      <c r="H1132" s="1" t="s">
        <v>2512</v>
      </c>
      <c r="I1132" s="12" t="s">
        <v>2507</v>
      </c>
      <c r="J1132" s="6">
        <v>431651</v>
      </c>
      <c r="K1132" s="3">
        <v>15431651</v>
      </c>
    </row>
    <row r="1133" spans="1:11" x14ac:dyDescent="0.25">
      <c r="A1133" s="1" t="s">
        <v>2253</v>
      </c>
      <c r="B1133" s="1" t="s">
        <v>1532</v>
      </c>
      <c r="C1133" s="5">
        <v>3</v>
      </c>
      <c r="D1133" s="14">
        <v>21416568</v>
      </c>
      <c r="E1133" s="1" t="s">
        <v>2504</v>
      </c>
      <c r="F1133" s="17">
        <v>370377</v>
      </c>
      <c r="G1133" s="8">
        <v>45679</v>
      </c>
      <c r="H1133" s="1" t="s">
        <v>2508</v>
      </c>
      <c r="I1133" s="11" t="s">
        <v>2509</v>
      </c>
      <c r="J1133" s="6">
        <v>354256</v>
      </c>
      <c r="K1133" s="3">
        <v>15354256</v>
      </c>
    </row>
    <row r="1134" spans="1:11" x14ac:dyDescent="0.25">
      <c r="A1134" s="1" t="s">
        <v>2919</v>
      </c>
      <c r="B1134" s="1" t="s">
        <v>1536</v>
      </c>
      <c r="C1134" s="5">
        <v>5</v>
      </c>
      <c r="D1134" s="15">
        <v>33948311</v>
      </c>
      <c r="E1134" s="1" t="s">
        <v>1538</v>
      </c>
      <c r="F1134" s="18">
        <v>1920182</v>
      </c>
      <c r="G1134" s="9">
        <v>45848</v>
      </c>
      <c r="H1134" s="1" t="s">
        <v>2519</v>
      </c>
      <c r="I1134" s="12" t="s">
        <v>1521</v>
      </c>
      <c r="J1134" s="6">
        <v>640563</v>
      </c>
      <c r="K1134" s="3">
        <v>15640563</v>
      </c>
    </row>
    <row r="1135" spans="1:11" x14ac:dyDescent="0.25">
      <c r="A1135" s="1" t="s">
        <v>2254</v>
      </c>
      <c r="B1135" s="1" t="s">
        <v>1523</v>
      </c>
      <c r="C1135" s="5">
        <v>2</v>
      </c>
      <c r="D1135" s="14">
        <v>48177313</v>
      </c>
      <c r="E1135" s="1" t="s">
        <v>2504</v>
      </c>
      <c r="F1135" s="17">
        <v>2002987</v>
      </c>
      <c r="G1135" s="8">
        <v>45787</v>
      </c>
      <c r="H1135" s="1" t="s">
        <v>1516</v>
      </c>
      <c r="I1135" s="11" t="s">
        <v>1512</v>
      </c>
      <c r="J1135" s="6">
        <v>923487</v>
      </c>
      <c r="K1135" s="3">
        <v>15923487</v>
      </c>
    </row>
    <row r="1136" spans="1:11" x14ac:dyDescent="0.25">
      <c r="A1136" s="1" t="s">
        <v>2255</v>
      </c>
      <c r="B1136" s="1" t="s">
        <v>1514</v>
      </c>
      <c r="C1136" s="5">
        <v>5</v>
      </c>
      <c r="D1136" s="15">
        <v>32152833</v>
      </c>
      <c r="E1136" s="1" t="s">
        <v>1515</v>
      </c>
      <c r="F1136" s="18">
        <v>7367413</v>
      </c>
      <c r="G1136" s="9">
        <v>45533</v>
      </c>
      <c r="H1136" s="1" t="s">
        <v>1513</v>
      </c>
      <c r="I1136" s="12" t="s">
        <v>1521</v>
      </c>
      <c r="J1136" s="6">
        <v>495708</v>
      </c>
      <c r="K1136" s="3">
        <v>15495708</v>
      </c>
    </row>
    <row r="1137" spans="1:11" x14ac:dyDescent="0.25">
      <c r="A1137" s="1" t="s">
        <v>2256</v>
      </c>
      <c r="B1137" s="1" t="s">
        <v>1536</v>
      </c>
      <c r="C1137" s="5">
        <v>4</v>
      </c>
      <c r="D1137" s="14">
        <v>15569476</v>
      </c>
      <c r="E1137" s="1" t="s">
        <v>1538</v>
      </c>
      <c r="F1137" s="17">
        <v>17198</v>
      </c>
      <c r="G1137" s="8">
        <v>45627</v>
      </c>
      <c r="H1137" s="1" t="s">
        <v>1516</v>
      </c>
      <c r="I1137" s="11" t="s">
        <v>1512</v>
      </c>
      <c r="J1137" s="6">
        <v>30795</v>
      </c>
      <c r="K1137" s="3">
        <v>1530795</v>
      </c>
    </row>
    <row r="1138" spans="1:11" x14ac:dyDescent="0.25">
      <c r="A1138" s="1" t="s">
        <v>2257</v>
      </c>
      <c r="B1138" s="1" t="s">
        <v>1527</v>
      </c>
      <c r="C1138" s="5">
        <v>4</v>
      </c>
      <c r="D1138" s="15">
        <v>10741345</v>
      </c>
      <c r="E1138" s="1" t="s">
        <v>2504</v>
      </c>
      <c r="F1138" s="18">
        <v>14387</v>
      </c>
      <c r="G1138" s="9">
        <v>45708</v>
      </c>
      <c r="H1138" s="1" t="s">
        <v>2515</v>
      </c>
      <c r="I1138" s="12" t="s">
        <v>1518</v>
      </c>
      <c r="J1138" s="6">
        <v>211949</v>
      </c>
      <c r="K1138" s="3">
        <v>15211949</v>
      </c>
    </row>
    <row r="1139" spans="1:11" x14ac:dyDescent="0.25">
      <c r="A1139" s="1" t="s">
        <v>2258</v>
      </c>
      <c r="B1139" s="1" t="s">
        <v>1514</v>
      </c>
      <c r="C1139" s="5">
        <v>2</v>
      </c>
      <c r="D1139" s="14">
        <v>30825236</v>
      </c>
      <c r="E1139" s="1" t="s">
        <v>1538</v>
      </c>
      <c r="F1139" s="17">
        <v>5550617</v>
      </c>
      <c r="G1139" s="8">
        <v>45520</v>
      </c>
      <c r="H1139" s="1" t="s">
        <v>2519</v>
      </c>
      <c r="I1139" s="11" t="s">
        <v>2511</v>
      </c>
      <c r="J1139" s="6">
        <v>505492</v>
      </c>
      <c r="K1139" s="3">
        <v>15505492</v>
      </c>
    </row>
    <row r="1140" spans="1:11" x14ac:dyDescent="0.25">
      <c r="A1140" s="1" t="s">
        <v>2920</v>
      </c>
      <c r="B1140" s="1" t="s">
        <v>1534</v>
      </c>
      <c r="C1140" s="5">
        <v>5</v>
      </c>
      <c r="D1140" s="15">
        <v>147723</v>
      </c>
      <c r="E1140" s="1" t="s">
        <v>2504</v>
      </c>
      <c r="F1140" s="18">
        <v>3475</v>
      </c>
      <c r="G1140" s="9">
        <v>45644</v>
      </c>
      <c r="H1140" s="1" t="s">
        <v>2508</v>
      </c>
      <c r="I1140" s="12" t="s">
        <v>1518</v>
      </c>
      <c r="J1140" s="6">
        <v>29475</v>
      </c>
      <c r="K1140" s="3">
        <v>15029475</v>
      </c>
    </row>
    <row r="1141" spans="1:11" x14ac:dyDescent="0.25">
      <c r="A1141" s="1" t="s">
        <v>2921</v>
      </c>
      <c r="B1141" s="1" t="s">
        <v>1545</v>
      </c>
      <c r="C1141" s="5">
        <v>2</v>
      </c>
      <c r="D1141" s="14">
        <v>10686363</v>
      </c>
      <c r="E1141" s="1" t="s">
        <v>1538</v>
      </c>
      <c r="F1141" s="17">
        <v>2345991</v>
      </c>
      <c r="G1141" s="8">
        <v>45588</v>
      </c>
      <c r="H1141" s="1" t="s">
        <v>1516</v>
      </c>
      <c r="I1141" s="11" t="s">
        <v>2511</v>
      </c>
      <c r="J1141" s="6">
        <v>166807</v>
      </c>
      <c r="K1141" s="3">
        <v>15166807</v>
      </c>
    </row>
    <row r="1142" spans="1:11" x14ac:dyDescent="0.25">
      <c r="A1142" s="1" t="s">
        <v>2259</v>
      </c>
      <c r="B1142" s="1" t="s">
        <v>1534</v>
      </c>
      <c r="C1142" s="5">
        <v>4</v>
      </c>
      <c r="D1142" s="15">
        <v>24217716</v>
      </c>
      <c r="E1142" s="1" t="s">
        <v>2504</v>
      </c>
      <c r="F1142" s="18">
        <v>2408325</v>
      </c>
      <c r="G1142" s="9">
        <v>45677</v>
      </c>
      <c r="H1142" s="1" t="s">
        <v>1513</v>
      </c>
      <c r="I1142" s="12" t="s">
        <v>1521</v>
      </c>
      <c r="J1142" s="6">
        <v>436188</v>
      </c>
      <c r="K1142" s="3">
        <v>15436188</v>
      </c>
    </row>
    <row r="1143" spans="1:11" x14ac:dyDescent="0.25">
      <c r="A1143" s="1" t="s">
        <v>2922</v>
      </c>
      <c r="B1143" s="1" t="s">
        <v>1536</v>
      </c>
      <c r="C1143" s="5">
        <v>2</v>
      </c>
      <c r="D1143" s="14">
        <v>150058</v>
      </c>
      <c r="E1143" s="1" t="s">
        <v>1515</v>
      </c>
      <c r="F1143" s="17">
        <v>206261</v>
      </c>
      <c r="G1143" s="8">
        <v>45706</v>
      </c>
      <c r="H1143" s="1" t="s">
        <v>2508</v>
      </c>
      <c r="I1143" s="11" t="s">
        <v>2509</v>
      </c>
      <c r="J1143" s="6">
        <v>25886</v>
      </c>
      <c r="K1143" s="3">
        <v>15025886</v>
      </c>
    </row>
    <row r="1144" spans="1:11" x14ac:dyDescent="0.25">
      <c r="A1144" s="1" t="s">
        <v>2260</v>
      </c>
      <c r="B1144" s="1" t="s">
        <v>1532</v>
      </c>
      <c r="C1144" s="5">
        <v>4</v>
      </c>
      <c r="D1144" s="15">
        <v>16571966</v>
      </c>
      <c r="E1144" s="1" t="s">
        <v>2504</v>
      </c>
      <c r="F1144" s="18">
        <v>1664136</v>
      </c>
      <c r="G1144" s="9">
        <v>45669</v>
      </c>
      <c r="H1144" s="1" t="s">
        <v>2512</v>
      </c>
      <c r="I1144" s="12" t="s">
        <v>1512</v>
      </c>
      <c r="J1144" s="6">
        <v>298157</v>
      </c>
      <c r="K1144" s="3">
        <v>15298157</v>
      </c>
    </row>
    <row r="1145" spans="1:11" x14ac:dyDescent="0.25">
      <c r="A1145" s="1" t="s">
        <v>2261</v>
      </c>
      <c r="B1145" s="1" t="s">
        <v>1525</v>
      </c>
      <c r="C1145" s="5">
        <v>2</v>
      </c>
      <c r="D1145" s="14">
        <v>21515527</v>
      </c>
      <c r="E1145" s="1" t="s">
        <v>1538</v>
      </c>
      <c r="F1145" s="17">
        <v>2320894</v>
      </c>
      <c r="G1145" s="8">
        <v>45815</v>
      </c>
      <c r="H1145" s="1" t="s">
        <v>2508</v>
      </c>
      <c r="I1145" s="11" t="s">
        <v>2511</v>
      </c>
      <c r="J1145" s="6">
        <v>383893</v>
      </c>
      <c r="K1145" s="3">
        <v>15383893</v>
      </c>
    </row>
    <row r="1146" spans="1:11" x14ac:dyDescent="0.25">
      <c r="A1146" s="1" t="s">
        <v>2262</v>
      </c>
      <c r="B1146" s="1" t="s">
        <v>1514</v>
      </c>
      <c r="C1146" s="5">
        <v>4</v>
      </c>
      <c r="D1146" s="15">
        <v>20728229</v>
      </c>
      <c r="E1146" s="1" t="s">
        <v>1538</v>
      </c>
      <c r="F1146" s="18">
        <v>4966022</v>
      </c>
      <c r="G1146" s="9">
        <v>45511</v>
      </c>
      <c r="H1146" s="1" t="s">
        <v>2515</v>
      </c>
      <c r="I1146" s="12" t="s">
        <v>2509</v>
      </c>
      <c r="J1146" s="6">
        <v>315244</v>
      </c>
      <c r="K1146" s="3">
        <v>15315244</v>
      </c>
    </row>
    <row r="1147" spans="1:11" x14ac:dyDescent="0.25">
      <c r="A1147" s="1" t="s">
        <v>2263</v>
      </c>
      <c r="B1147" s="1" t="s">
        <v>1523</v>
      </c>
      <c r="C1147" s="5">
        <v>4</v>
      </c>
      <c r="D1147" s="14">
        <v>3859290</v>
      </c>
      <c r="E1147" s="1" t="s">
        <v>2504</v>
      </c>
      <c r="F1147" s="17">
        <v>7778352</v>
      </c>
      <c r="G1147" s="8">
        <v>45613</v>
      </c>
      <c r="H1147" s="1" t="s">
        <v>2510</v>
      </c>
      <c r="I1147" s="11" t="s">
        <v>2509</v>
      </c>
      <c r="J1147" s="6">
        <v>616291</v>
      </c>
      <c r="K1147" s="3">
        <v>15616291</v>
      </c>
    </row>
    <row r="1148" spans="1:11" x14ac:dyDescent="0.25">
      <c r="A1148" s="1" t="s">
        <v>2264</v>
      </c>
      <c r="B1148" s="1" t="s">
        <v>1536</v>
      </c>
      <c r="C1148" s="5">
        <v>3</v>
      </c>
      <c r="D1148" s="15">
        <v>47059467</v>
      </c>
      <c r="E1148" s="1" t="s">
        <v>2504</v>
      </c>
      <c r="F1148" s="18">
        <v>6955234</v>
      </c>
      <c r="G1148" s="9">
        <v>45743</v>
      </c>
      <c r="H1148" s="1" t="s">
        <v>2510</v>
      </c>
      <c r="I1148" s="12" t="s">
        <v>1521</v>
      </c>
      <c r="J1148" s="6">
        <v>802085</v>
      </c>
      <c r="K1148" s="3">
        <v>15802085</v>
      </c>
    </row>
    <row r="1149" spans="1:11" x14ac:dyDescent="0.25">
      <c r="A1149" s="1" t="s">
        <v>2923</v>
      </c>
      <c r="B1149" s="1" t="s">
        <v>1545</v>
      </c>
      <c r="C1149" s="5">
        <v>3</v>
      </c>
      <c r="D1149" s="14">
        <v>42252485</v>
      </c>
      <c r="E1149" s="1" t="s">
        <v>1538</v>
      </c>
      <c r="F1149" s="17">
        <v>2154595</v>
      </c>
      <c r="G1149" s="8">
        <v>45499</v>
      </c>
      <c r="H1149" s="1" t="s">
        <v>1513</v>
      </c>
      <c r="I1149" s="11" t="s">
        <v>2511</v>
      </c>
      <c r="J1149" s="6">
        <v>801958</v>
      </c>
      <c r="K1149" s="3">
        <v>15801958</v>
      </c>
    </row>
    <row r="1150" spans="1:11" x14ac:dyDescent="0.25">
      <c r="A1150" s="1" t="s">
        <v>2924</v>
      </c>
      <c r="B1150" s="1" t="s">
        <v>1527</v>
      </c>
      <c r="C1150" s="5">
        <v>4</v>
      </c>
      <c r="D1150" s="15">
        <v>13397142</v>
      </c>
      <c r="E1150" s="1" t="s">
        <v>1538</v>
      </c>
      <c r="F1150" s="18">
        <v>2614432</v>
      </c>
      <c r="G1150" s="9">
        <v>45755</v>
      </c>
      <c r="H1150" s="1" t="s">
        <v>2508</v>
      </c>
      <c r="I1150" s="12" t="s">
        <v>1518</v>
      </c>
      <c r="J1150" s="6">
        <v>215654</v>
      </c>
      <c r="K1150" s="3">
        <v>15215654</v>
      </c>
    </row>
    <row r="1151" spans="1:11" x14ac:dyDescent="0.25">
      <c r="A1151" s="1" t="s">
        <v>2265</v>
      </c>
      <c r="B1151" s="1" t="s">
        <v>1527</v>
      </c>
      <c r="C1151" s="5">
        <v>3</v>
      </c>
      <c r="D1151" s="14">
        <v>36460317</v>
      </c>
      <c r="E1151" s="1" t="s">
        <v>1538</v>
      </c>
      <c r="F1151" s="17">
        <v>2912821</v>
      </c>
      <c r="G1151" s="8">
        <v>45559</v>
      </c>
      <c r="H1151" s="1" t="s">
        <v>2519</v>
      </c>
      <c r="I1151" s="11" t="s">
        <v>2507</v>
      </c>
      <c r="J1151" s="6">
        <v>67095</v>
      </c>
      <c r="K1151" s="3">
        <v>1567095</v>
      </c>
    </row>
    <row r="1152" spans="1:11" x14ac:dyDescent="0.25">
      <c r="A1152" s="1" t="s">
        <v>2266</v>
      </c>
      <c r="B1152" s="1" t="s">
        <v>1523</v>
      </c>
      <c r="C1152" s="5">
        <v>2</v>
      </c>
      <c r="D1152" s="15">
        <v>48181043</v>
      </c>
      <c r="E1152" s="1" t="s">
        <v>1538</v>
      </c>
      <c r="F1152" s="18">
        <v>3740543</v>
      </c>
      <c r="G1152" s="9">
        <v>45800</v>
      </c>
      <c r="H1152" s="1" t="s">
        <v>2508</v>
      </c>
      <c r="I1152" s="12" t="s">
        <v>2507</v>
      </c>
      <c r="J1152" s="6">
        <v>88881</v>
      </c>
      <c r="K1152" s="3">
        <v>1588881</v>
      </c>
    </row>
    <row r="1153" spans="1:11" x14ac:dyDescent="0.25">
      <c r="A1153" s="1" t="s">
        <v>2267</v>
      </c>
      <c r="B1153" s="1" t="s">
        <v>1514</v>
      </c>
      <c r="C1153" s="5">
        <v>5</v>
      </c>
      <c r="D1153" s="14">
        <v>46804834</v>
      </c>
      <c r="E1153" s="1" t="s">
        <v>2504</v>
      </c>
      <c r="F1153" s="17">
        <v>3411271</v>
      </c>
      <c r="G1153" s="8">
        <v>45545</v>
      </c>
      <c r="H1153" s="1" t="s">
        <v>1516</v>
      </c>
      <c r="I1153" s="11" t="s">
        <v>1512</v>
      </c>
      <c r="J1153" s="6">
        <v>867871</v>
      </c>
      <c r="K1153" s="3">
        <v>15867871</v>
      </c>
    </row>
    <row r="1154" spans="1:11" x14ac:dyDescent="0.25">
      <c r="A1154" s="1" t="s">
        <v>2925</v>
      </c>
      <c r="B1154" s="1" t="s">
        <v>1545</v>
      </c>
      <c r="C1154" s="5">
        <v>3</v>
      </c>
      <c r="D1154" s="15">
        <v>25860987</v>
      </c>
      <c r="E1154" s="1" t="s">
        <v>1515</v>
      </c>
      <c r="F1154" s="18">
        <v>1247365</v>
      </c>
      <c r="G1154" s="9">
        <v>45841</v>
      </c>
      <c r="H1154" s="1" t="s">
        <v>2519</v>
      </c>
      <c r="I1154" s="12" t="s">
        <v>1521</v>
      </c>
      <c r="J1154" s="6">
        <v>492272</v>
      </c>
      <c r="K1154" s="3">
        <v>15492272</v>
      </c>
    </row>
    <row r="1155" spans="1:11" x14ac:dyDescent="0.25">
      <c r="A1155" s="1" t="s">
        <v>2268</v>
      </c>
      <c r="B1155" s="1" t="s">
        <v>1540</v>
      </c>
      <c r="C1155" s="5">
        <v>4</v>
      </c>
      <c r="D1155" s="14">
        <v>23399428</v>
      </c>
      <c r="E1155" s="1" t="s">
        <v>1515</v>
      </c>
      <c r="F1155" s="17">
        <v>601225</v>
      </c>
      <c r="G1155" s="8">
        <v>45670</v>
      </c>
      <c r="H1155" s="1" t="s">
        <v>2515</v>
      </c>
      <c r="I1155" s="11" t="s">
        <v>1518</v>
      </c>
      <c r="J1155" s="6">
        <v>455964</v>
      </c>
      <c r="K1155" s="3">
        <v>15455964</v>
      </c>
    </row>
    <row r="1156" spans="1:11" x14ac:dyDescent="0.25">
      <c r="A1156" s="1" t="s">
        <v>2926</v>
      </c>
      <c r="B1156" s="1" t="s">
        <v>1523</v>
      </c>
      <c r="C1156" s="5">
        <v>5</v>
      </c>
      <c r="D1156" s="15">
        <v>39321843</v>
      </c>
      <c r="E1156" s="1" t="s">
        <v>1538</v>
      </c>
      <c r="F1156" s="18">
        <v>847045</v>
      </c>
      <c r="G1156" s="9">
        <v>45544</v>
      </c>
      <c r="H1156" s="1" t="s">
        <v>2519</v>
      </c>
      <c r="I1156" s="12" t="s">
        <v>2511</v>
      </c>
      <c r="J1156" s="6">
        <v>617028</v>
      </c>
      <c r="K1156" s="3">
        <v>15617028</v>
      </c>
    </row>
    <row r="1157" spans="1:11" x14ac:dyDescent="0.25">
      <c r="A1157" s="1" t="s">
        <v>2927</v>
      </c>
      <c r="B1157" s="1" t="s">
        <v>1534</v>
      </c>
      <c r="C1157" s="5">
        <v>4</v>
      </c>
      <c r="D1157" s="14">
        <v>39468135</v>
      </c>
      <c r="E1157" s="1" t="s">
        <v>1515</v>
      </c>
      <c r="F1157" s="17">
        <v>3629968</v>
      </c>
      <c r="G1157" s="8">
        <v>45714</v>
      </c>
      <c r="H1157" s="1" t="s">
        <v>1519</v>
      </c>
      <c r="I1157" s="11" t="s">
        <v>1512</v>
      </c>
      <c r="J1157" s="6">
        <v>716763</v>
      </c>
      <c r="K1157" s="3">
        <v>15716763</v>
      </c>
    </row>
    <row r="1158" spans="1:11" x14ac:dyDescent="0.25">
      <c r="A1158" s="1" t="s">
        <v>2269</v>
      </c>
      <c r="B1158" s="1" t="s">
        <v>1540</v>
      </c>
      <c r="C1158" s="5">
        <v>3</v>
      </c>
      <c r="D1158" s="15">
        <v>4444287</v>
      </c>
      <c r="E1158" s="1" t="s">
        <v>1515</v>
      </c>
      <c r="F1158" s="18">
        <v>594294</v>
      </c>
      <c r="G1158" s="9">
        <v>45842</v>
      </c>
      <c r="H1158" s="1" t="s">
        <v>2515</v>
      </c>
      <c r="I1158" s="12" t="s">
        <v>1512</v>
      </c>
      <c r="J1158" s="6">
        <v>769999</v>
      </c>
      <c r="K1158" s="3">
        <v>15769999</v>
      </c>
    </row>
    <row r="1159" spans="1:11" x14ac:dyDescent="0.25">
      <c r="A1159" s="1" t="s">
        <v>2928</v>
      </c>
      <c r="B1159" s="1" t="s">
        <v>1523</v>
      </c>
      <c r="C1159" s="5">
        <v>4</v>
      </c>
      <c r="D1159" s="14">
        <v>33023841</v>
      </c>
      <c r="E1159" s="1" t="s">
        <v>1515</v>
      </c>
      <c r="F1159" s="17">
        <v>1203475</v>
      </c>
      <c r="G1159" s="8">
        <v>45590</v>
      </c>
      <c r="H1159" s="1" t="s">
        <v>2510</v>
      </c>
      <c r="I1159" s="11" t="s">
        <v>2511</v>
      </c>
      <c r="J1159" s="6">
        <v>636407</v>
      </c>
      <c r="K1159" s="3">
        <v>15636407</v>
      </c>
    </row>
    <row r="1160" spans="1:11" x14ac:dyDescent="0.25">
      <c r="A1160" s="1" t="s">
        <v>2270</v>
      </c>
      <c r="B1160" s="1" t="s">
        <v>1545</v>
      </c>
      <c r="C1160" s="5">
        <v>3</v>
      </c>
      <c r="D1160" s="15">
        <v>44158485</v>
      </c>
      <c r="E1160" s="1" t="s">
        <v>1515</v>
      </c>
      <c r="F1160" s="18">
        <v>3826156</v>
      </c>
      <c r="G1160" s="9">
        <v>45573</v>
      </c>
      <c r="H1160" s="1" t="s">
        <v>1522</v>
      </c>
      <c r="I1160" s="12" t="s">
        <v>1512</v>
      </c>
      <c r="J1160" s="6">
        <v>806647</v>
      </c>
      <c r="K1160" s="3">
        <v>15806647</v>
      </c>
    </row>
    <row r="1161" spans="1:11" x14ac:dyDescent="0.25">
      <c r="A1161" s="1" t="s">
        <v>2929</v>
      </c>
      <c r="B1161" s="1" t="s">
        <v>1536</v>
      </c>
      <c r="C1161" s="5">
        <v>1</v>
      </c>
      <c r="D1161" s="14">
        <v>682518</v>
      </c>
      <c r="E1161" s="1" t="s">
        <v>1538</v>
      </c>
      <c r="F1161" s="17">
        <v>567374</v>
      </c>
      <c r="G1161" s="8">
        <v>45510</v>
      </c>
      <c r="H1161" s="1" t="s">
        <v>1516</v>
      </c>
      <c r="I1161" s="11" t="s">
        <v>2509</v>
      </c>
      <c r="J1161" s="6">
        <v>125156</v>
      </c>
      <c r="K1161" s="3">
        <v>15125156</v>
      </c>
    </row>
    <row r="1162" spans="1:11" x14ac:dyDescent="0.25">
      <c r="A1162" s="1" t="s">
        <v>2930</v>
      </c>
      <c r="B1162" s="1" t="s">
        <v>1532</v>
      </c>
      <c r="C1162" s="5">
        <v>4</v>
      </c>
      <c r="D1162" s="15">
        <v>12958894</v>
      </c>
      <c r="E1162" s="1" t="s">
        <v>1538</v>
      </c>
      <c r="F1162" s="18">
        <v>278253</v>
      </c>
      <c r="G1162" s="9">
        <v>45674</v>
      </c>
      <c r="H1162" s="1" t="s">
        <v>2512</v>
      </c>
      <c r="I1162" s="12" t="s">
        <v>2507</v>
      </c>
      <c r="J1162" s="6">
        <v>203527</v>
      </c>
      <c r="K1162" s="3">
        <v>15203527</v>
      </c>
    </row>
    <row r="1163" spans="1:11" x14ac:dyDescent="0.25">
      <c r="A1163" s="1" t="s">
        <v>2931</v>
      </c>
      <c r="B1163" s="1" t="s">
        <v>1545</v>
      </c>
      <c r="C1163" s="5">
        <v>4</v>
      </c>
      <c r="D1163" s="14">
        <v>169056</v>
      </c>
      <c r="E1163" s="1" t="s">
        <v>1515</v>
      </c>
      <c r="F1163" s="17">
        <v>102424</v>
      </c>
      <c r="G1163" s="8">
        <v>45577</v>
      </c>
      <c r="H1163" s="1" t="s">
        <v>2510</v>
      </c>
      <c r="I1163" s="11" t="s">
        <v>1518</v>
      </c>
      <c r="J1163" s="6">
        <v>31763</v>
      </c>
      <c r="K1163" s="3">
        <v>15031763</v>
      </c>
    </row>
    <row r="1164" spans="1:11" x14ac:dyDescent="0.25">
      <c r="A1164" s="1" t="s">
        <v>2271</v>
      </c>
      <c r="B1164" s="1" t="s">
        <v>1523</v>
      </c>
      <c r="C1164" s="5">
        <v>3</v>
      </c>
      <c r="D1164" s="15">
        <v>7386215</v>
      </c>
      <c r="E1164" s="1" t="s">
        <v>1538</v>
      </c>
      <c r="F1164" s="18">
        <v>1453675</v>
      </c>
      <c r="G1164" s="9">
        <v>45743</v>
      </c>
      <c r="H1164" s="1" t="s">
        <v>1522</v>
      </c>
      <c r="I1164" s="12" t="s">
        <v>1521</v>
      </c>
      <c r="J1164" s="6">
        <v>118651</v>
      </c>
      <c r="K1164" s="3">
        <v>15118651</v>
      </c>
    </row>
    <row r="1165" spans="1:11" x14ac:dyDescent="0.25">
      <c r="A1165" s="1" t="s">
        <v>2272</v>
      </c>
      <c r="B1165" s="1" t="s">
        <v>1527</v>
      </c>
      <c r="C1165" s="5">
        <v>5</v>
      </c>
      <c r="D1165" s="14">
        <v>11948962</v>
      </c>
      <c r="E1165" s="1" t="s">
        <v>1538</v>
      </c>
      <c r="F1165" s="17">
        <v>1183939</v>
      </c>
      <c r="G1165" s="8">
        <v>45800</v>
      </c>
      <c r="H1165" s="1" t="s">
        <v>1513</v>
      </c>
      <c r="I1165" s="11" t="s">
        <v>2511</v>
      </c>
      <c r="J1165" s="6">
        <v>21530</v>
      </c>
      <c r="K1165" s="3">
        <v>1521530</v>
      </c>
    </row>
    <row r="1166" spans="1:11" x14ac:dyDescent="0.25">
      <c r="A1166" s="1" t="s">
        <v>2273</v>
      </c>
      <c r="B1166" s="1" t="s">
        <v>1534</v>
      </c>
      <c r="C1166" s="5">
        <v>3</v>
      </c>
      <c r="D1166" s="15">
        <v>36917485</v>
      </c>
      <c r="E1166" s="1" t="s">
        <v>1515</v>
      </c>
      <c r="F1166" s="18">
        <v>7289086</v>
      </c>
      <c r="G1166" s="9">
        <v>45819</v>
      </c>
      <c r="H1166" s="1" t="s">
        <v>1543</v>
      </c>
      <c r="I1166" s="12" t="s">
        <v>2509</v>
      </c>
      <c r="J1166" s="6">
        <v>592568</v>
      </c>
      <c r="K1166" s="3">
        <v>15592568</v>
      </c>
    </row>
    <row r="1167" spans="1:11" x14ac:dyDescent="0.25">
      <c r="A1167" s="1" t="s">
        <v>2932</v>
      </c>
      <c r="B1167" s="1" t="s">
        <v>1517</v>
      </c>
      <c r="C1167" s="5">
        <v>1</v>
      </c>
      <c r="D1167" s="14">
        <v>47865538</v>
      </c>
      <c r="E1167" s="1" t="s">
        <v>1538</v>
      </c>
      <c r="F1167" s="17">
        <v>4714355</v>
      </c>
      <c r="G1167" s="8">
        <v>45845</v>
      </c>
      <c r="H1167" s="1" t="s">
        <v>1519</v>
      </c>
      <c r="I1167" s="11" t="s">
        <v>2507</v>
      </c>
      <c r="J1167" s="6">
        <v>863024</v>
      </c>
      <c r="K1167" s="3">
        <v>15863024</v>
      </c>
    </row>
    <row r="1168" spans="1:11" x14ac:dyDescent="0.25">
      <c r="A1168" s="1" t="s">
        <v>2274</v>
      </c>
      <c r="B1168" s="1" t="s">
        <v>1545</v>
      </c>
      <c r="C1168" s="5">
        <v>4</v>
      </c>
      <c r="D1168" s="15">
        <v>20140208</v>
      </c>
      <c r="E1168" s="1" t="s">
        <v>1538</v>
      </c>
      <c r="F1168" s="18">
        <v>4565423</v>
      </c>
      <c r="G1168" s="9">
        <v>45757</v>
      </c>
      <c r="H1168" s="1" t="s">
        <v>1513</v>
      </c>
      <c r="I1168" s="12" t="s">
        <v>1518</v>
      </c>
      <c r="J1168" s="6">
        <v>311496</v>
      </c>
      <c r="K1168" s="3">
        <v>15311496</v>
      </c>
    </row>
    <row r="1169" spans="1:11" x14ac:dyDescent="0.25">
      <c r="A1169" s="1" t="s">
        <v>2275</v>
      </c>
      <c r="B1169" s="1" t="s">
        <v>1532</v>
      </c>
      <c r="C1169" s="5">
        <v>4</v>
      </c>
      <c r="D1169" s="14">
        <v>17925852</v>
      </c>
      <c r="E1169" s="1" t="s">
        <v>1515</v>
      </c>
      <c r="F1169" s="17">
        <v>679035</v>
      </c>
      <c r="G1169" s="8">
        <v>45645</v>
      </c>
      <c r="H1169" s="1" t="s">
        <v>2519</v>
      </c>
      <c r="I1169" s="11" t="s">
        <v>1512</v>
      </c>
      <c r="J1169" s="6">
        <v>344936</v>
      </c>
      <c r="K1169" s="3">
        <v>15344936</v>
      </c>
    </row>
    <row r="1170" spans="1:11" x14ac:dyDescent="0.25">
      <c r="A1170" s="1" t="s">
        <v>2276</v>
      </c>
      <c r="B1170" s="1" t="s">
        <v>1534</v>
      </c>
      <c r="C1170" s="5">
        <v>5</v>
      </c>
      <c r="D1170" s="15">
        <v>41338448</v>
      </c>
      <c r="E1170" s="1" t="s">
        <v>2504</v>
      </c>
      <c r="F1170" s="18">
        <v>1200165</v>
      </c>
      <c r="G1170" s="9">
        <v>45586</v>
      </c>
      <c r="H1170" s="1" t="s">
        <v>2519</v>
      </c>
      <c r="I1170" s="12" t="s">
        <v>2511</v>
      </c>
      <c r="J1170" s="6">
        <v>802766</v>
      </c>
      <c r="K1170" s="3">
        <v>15802766</v>
      </c>
    </row>
    <row r="1171" spans="1:11" x14ac:dyDescent="0.25">
      <c r="A1171" s="1" t="s">
        <v>2277</v>
      </c>
      <c r="B1171" s="1" t="s">
        <v>1534</v>
      </c>
      <c r="C1171" s="5">
        <v>4</v>
      </c>
      <c r="D1171" s="14">
        <v>3966387</v>
      </c>
      <c r="E1171" s="1" t="s">
        <v>1515</v>
      </c>
      <c r="F1171" s="17">
        <v>553475</v>
      </c>
      <c r="G1171" s="8">
        <v>45591</v>
      </c>
      <c r="H1171" s="1" t="s">
        <v>2519</v>
      </c>
      <c r="I1171" s="11" t="s">
        <v>2511</v>
      </c>
      <c r="J1171" s="6">
        <v>782208</v>
      </c>
      <c r="K1171" s="3">
        <v>15782208</v>
      </c>
    </row>
    <row r="1172" spans="1:11" x14ac:dyDescent="0.25">
      <c r="A1172" s="1" t="s">
        <v>2278</v>
      </c>
      <c r="B1172" s="1" t="s">
        <v>1545</v>
      </c>
      <c r="C1172" s="5">
        <v>2</v>
      </c>
      <c r="D1172" s="15">
        <v>5159511</v>
      </c>
      <c r="E1172" s="1" t="s">
        <v>1515</v>
      </c>
      <c r="F1172" s="18">
        <v>691173</v>
      </c>
      <c r="G1172" s="9">
        <v>45683</v>
      </c>
      <c r="H1172" s="1" t="s">
        <v>2515</v>
      </c>
      <c r="I1172" s="12" t="s">
        <v>2507</v>
      </c>
      <c r="J1172" s="6">
        <v>89367</v>
      </c>
      <c r="K1172" s="3">
        <v>15089367</v>
      </c>
    </row>
    <row r="1173" spans="1:11" x14ac:dyDescent="0.25">
      <c r="A1173" s="1" t="s">
        <v>2279</v>
      </c>
      <c r="B1173" s="1" t="s">
        <v>1536</v>
      </c>
      <c r="C1173" s="5">
        <v>2</v>
      </c>
      <c r="D1173" s="14">
        <v>24450568</v>
      </c>
      <c r="E1173" s="1" t="s">
        <v>2504</v>
      </c>
      <c r="F1173" s="17">
        <v>381388</v>
      </c>
      <c r="G1173" s="8">
        <v>45748</v>
      </c>
      <c r="H1173" s="1" t="s">
        <v>1522</v>
      </c>
      <c r="I1173" s="11" t="s">
        <v>2511</v>
      </c>
      <c r="J1173" s="6">
        <v>412734</v>
      </c>
      <c r="K1173" s="3">
        <v>15412734</v>
      </c>
    </row>
    <row r="1174" spans="1:11" x14ac:dyDescent="0.25">
      <c r="A1174" s="1" t="s">
        <v>2933</v>
      </c>
      <c r="B1174" s="1" t="s">
        <v>1532</v>
      </c>
      <c r="C1174" s="5">
        <v>1</v>
      </c>
      <c r="D1174" s="15">
        <v>8006865</v>
      </c>
      <c r="E1174" s="1" t="s">
        <v>1515</v>
      </c>
      <c r="F1174" s="18">
        <v>1371973</v>
      </c>
      <c r="G1174" s="9">
        <v>45517</v>
      </c>
      <c r="H1174" s="1" t="s">
        <v>1522</v>
      </c>
      <c r="I1174" s="12" t="s">
        <v>2507</v>
      </c>
      <c r="J1174" s="6">
        <v>132698</v>
      </c>
      <c r="K1174" s="3">
        <v>15132698</v>
      </c>
    </row>
    <row r="1175" spans="1:11" x14ac:dyDescent="0.25">
      <c r="A1175" s="1" t="s">
        <v>2280</v>
      </c>
      <c r="B1175" s="1" t="s">
        <v>1532</v>
      </c>
      <c r="C1175" s="5">
        <v>1</v>
      </c>
      <c r="D1175" s="14">
        <v>16060027</v>
      </c>
      <c r="E1175" s="1" t="s">
        <v>2504</v>
      </c>
      <c r="F1175" s="17">
        <v>269472</v>
      </c>
      <c r="G1175" s="8">
        <v>45817</v>
      </c>
      <c r="H1175" s="1" t="s">
        <v>1519</v>
      </c>
      <c r="I1175" s="11" t="s">
        <v>2509</v>
      </c>
      <c r="J1175" s="6">
        <v>315811</v>
      </c>
      <c r="K1175" s="3">
        <v>15315811</v>
      </c>
    </row>
    <row r="1176" spans="1:11" x14ac:dyDescent="0.25">
      <c r="A1176" s="1" t="s">
        <v>2281</v>
      </c>
      <c r="B1176" s="1" t="s">
        <v>1527</v>
      </c>
      <c r="C1176" s="5">
        <v>1</v>
      </c>
      <c r="D1176" s="15">
        <v>27999567</v>
      </c>
      <c r="E1176" s="1" t="s">
        <v>2504</v>
      </c>
      <c r="F1176" s="18">
        <v>909416</v>
      </c>
      <c r="G1176" s="9">
        <v>45721</v>
      </c>
      <c r="H1176" s="1" t="s">
        <v>2515</v>
      </c>
      <c r="I1176" s="12" t="s">
        <v>1521</v>
      </c>
      <c r="J1176" s="6">
        <v>541803</v>
      </c>
      <c r="K1176" s="3">
        <v>15541803</v>
      </c>
    </row>
    <row r="1177" spans="1:11" x14ac:dyDescent="0.25">
      <c r="A1177" s="1" t="s">
        <v>2282</v>
      </c>
      <c r="B1177" s="1" t="s">
        <v>1545</v>
      </c>
      <c r="C1177" s="5">
        <v>2</v>
      </c>
      <c r="D1177" s="14">
        <v>21490005</v>
      </c>
      <c r="E1177" s="1" t="s">
        <v>2504</v>
      </c>
      <c r="F1177" s="17">
        <v>2670069</v>
      </c>
      <c r="G1177" s="8">
        <v>45501</v>
      </c>
      <c r="H1177" s="1" t="s">
        <v>2519</v>
      </c>
      <c r="I1177" s="11" t="s">
        <v>2511</v>
      </c>
      <c r="J1177" s="6">
        <v>376399</v>
      </c>
      <c r="K1177" s="3">
        <v>15376399</v>
      </c>
    </row>
    <row r="1178" spans="1:11" x14ac:dyDescent="0.25">
      <c r="A1178" s="1" t="s">
        <v>2283</v>
      </c>
      <c r="B1178" s="1" t="s">
        <v>1525</v>
      </c>
      <c r="C1178" s="5">
        <v>5</v>
      </c>
      <c r="D1178" s="15">
        <v>5815471</v>
      </c>
      <c r="E1178" s="1" t="s">
        <v>1538</v>
      </c>
      <c r="F1178" s="18">
        <v>619391</v>
      </c>
      <c r="G1178" s="9">
        <v>45505</v>
      </c>
      <c r="H1178" s="1" t="s">
        <v>1522</v>
      </c>
      <c r="I1178" s="12" t="s">
        <v>2509</v>
      </c>
      <c r="J1178" s="6">
        <v>103922</v>
      </c>
      <c r="K1178" s="3">
        <v>15103922</v>
      </c>
    </row>
    <row r="1179" spans="1:11" x14ac:dyDescent="0.25">
      <c r="A1179" s="1" t="s">
        <v>2284</v>
      </c>
      <c r="B1179" s="1" t="s">
        <v>1536</v>
      </c>
      <c r="C1179" s="5">
        <v>5</v>
      </c>
      <c r="D1179" s="14">
        <v>45731048</v>
      </c>
      <c r="E1179" s="1" t="s">
        <v>1515</v>
      </c>
      <c r="F1179" s="17">
        <v>6860465</v>
      </c>
      <c r="G1179" s="8">
        <v>45648</v>
      </c>
      <c r="H1179" s="1" t="s">
        <v>2508</v>
      </c>
      <c r="I1179" s="11" t="s">
        <v>1518</v>
      </c>
      <c r="J1179" s="6">
        <v>777412</v>
      </c>
      <c r="K1179" s="3">
        <v>15777412</v>
      </c>
    </row>
    <row r="1180" spans="1:11" x14ac:dyDescent="0.25">
      <c r="A1180" s="1" t="s">
        <v>2285</v>
      </c>
      <c r="B1180" s="1" t="s">
        <v>1523</v>
      </c>
      <c r="C1180" s="5">
        <v>1</v>
      </c>
      <c r="D1180" s="15">
        <v>24930426</v>
      </c>
      <c r="E1180" s="1" t="s">
        <v>2504</v>
      </c>
      <c r="F1180" s="18">
        <v>3687192</v>
      </c>
      <c r="G1180" s="9">
        <v>45851</v>
      </c>
      <c r="H1180" s="1" t="s">
        <v>2515</v>
      </c>
      <c r="I1180" s="12" t="s">
        <v>2509</v>
      </c>
      <c r="J1180" s="6">
        <v>424865</v>
      </c>
      <c r="K1180" s="3">
        <v>15424865</v>
      </c>
    </row>
    <row r="1181" spans="1:11" x14ac:dyDescent="0.25">
      <c r="A1181" s="1" t="s">
        <v>2286</v>
      </c>
      <c r="B1181" s="1" t="s">
        <v>1527</v>
      </c>
      <c r="C1181" s="5">
        <v>1</v>
      </c>
      <c r="D1181" s="14">
        <v>19989303</v>
      </c>
      <c r="E1181" s="1" t="s">
        <v>1538</v>
      </c>
      <c r="F1181" s="17">
        <v>4439087</v>
      </c>
      <c r="G1181" s="8">
        <v>45726</v>
      </c>
      <c r="H1181" s="1" t="s">
        <v>1516</v>
      </c>
      <c r="I1181" s="11" t="s">
        <v>1521</v>
      </c>
      <c r="J1181" s="6">
        <v>311004</v>
      </c>
      <c r="K1181" s="3">
        <v>15311004</v>
      </c>
    </row>
    <row r="1182" spans="1:11" x14ac:dyDescent="0.25">
      <c r="A1182" s="1" t="s">
        <v>2934</v>
      </c>
      <c r="B1182" s="1" t="s">
        <v>1532</v>
      </c>
      <c r="C1182" s="5">
        <v>2</v>
      </c>
      <c r="D1182" s="15">
        <v>34539943</v>
      </c>
      <c r="E1182" s="1" t="s">
        <v>2504</v>
      </c>
      <c r="F1182" s="18">
        <v>7927013</v>
      </c>
      <c r="G1182" s="9">
        <v>45710</v>
      </c>
      <c r="H1182" s="1" t="s">
        <v>1516</v>
      </c>
      <c r="I1182" s="12" t="s">
        <v>2511</v>
      </c>
      <c r="J1182" s="6">
        <v>532259</v>
      </c>
      <c r="K1182" s="3">
        <v>15532259</v>
      </c>
    </row>
    <row r="1183" spans="1:11" x14ac:dyDescent="0.25">
      <c r="A1183" s="1" t="s">
        <v>2287</v>
      </c>
      <c r="B1183" s="1" t="s">
        <v>1527</v>
      </c>
      <c r="C1183" s="5">
        <v>4</v>
      </c>
      <c r="D1183" s="14">
        <v>40074349</v>
      </c>
      <c r="E1183" s="1" t="s">
        <v>2504</v>
      </c>
      <c r="F1183" s="17">
        <v>6839977</v>
      </c>
      <c r="G1183" s="8">
        <v>45679</v>
      </c>
      <c r="H1183" s="1" t="s">
        <v>1516</v>
      </c>
      <c r="I1183" s="11" t="s">
        <v>1521</v>
      </c>
      <c r="J1183" s="6">
        <v>664687</v>
      </c>
      <c r="K1183" s="3">
        <v>15664687</v>
      </c>
    </row>
    <row r="1184" spans="1:11" x14ac:dyDescent="0.25">
      <c r="A1184" s="1" t="s">
        <v>2288</v>
      </c>
      <c r="B1184" s="1" t="s">
        <v>1527</v>
      </c>
      <c r="C1184" s="5">
        <v>3</v>
      </c>
      <c r="D1184" s="15">
        <v>30121953</v>
      </c>
      <c r="E1184" s="1" t="s">
        <v>1538</v>
      </c>
      <c r="F1184" s="18">
        <v>202375</v>
      </c>
      <c r="G1184" s="9">
        <v>45811</v>
      </c>
      <c r="H1184" s="1" t="s">
        <v>1516</v>
      </c>
      <c r="I1184" s="12" t="s">
        <v>2509</v>
      </c>
      <c r="J1184" s="6">
        <v>561964</v>
      </c>
      <c r="K1184" s="3">
        <v>15561964</v>
      </c>
    </row>
    <row r="1185" spans="1:11" x14ac:dyDescent="0.25">
      <c r="A1185" s="1" t="s">
        <v>2935</v>
      </c>
      <c r="B1185" s="1" t="s">
        <v>1545</v>
      </c>
      <c r="C1185" s="5">
        <v>4</v>
      </c>
      <c r="D1185" s="14">
        <v>46623794</v>
      </c>
      <c r="E1185" s="1" t="s">
        <v>2504</v>
      </c>
      <c r="F1185" s="17">
        <v>598845</v>
      </c>
      <c r="G1185" s="8">
        <v>45844</v>
      </c>
      <c r="H1185" s="1" t="s">
        <v>2510</v>
      </c>
      <c r="I1185" s="11" t="s">
        <v>1518</v>
      </c>
      <c r="J1185" s="6">
        <v>812707</v>
      </c>
      <c r="K1185" s="3">
        <v>15812707</v>
      </c>
    </row>
    <row r="1186" spans="1:11" x14ac:dyDescent="0.25">
      <c r="A1186" s="1" t="s">
        <v>2289</v>
      </c>
      <c r="B1186" s="1" t="s">
        <v>1517</v>
      </c>
      <c r="C1186" s="5">
        <v>4</v>
      </c>
      <c r="D1186" s="15">
        <v>4497878</v>
      </c>
      <c r="E1186" s="1" t="s">
        <v>1538</v>
      </c>
      <c r="F1186" s="18">
        <v>1022303</v>
      </c>
      <c r="G1186" s="9">
        <v>45668</v>
      </c>
      <c r="H1186" s="1" t="s">
        <v>1522</v>
      </c>
      <c r="I1186" s="12" t="s">
        <v>1512</v>
      </c>
      <c r="J1186" s="6">
        <v>69512</v>
      </c>
      <c r="K1186" s="3">
        <v>15069512</v>
      </c>
    </row>
    <row r="1187" spans="1:11" x14ac:dyDescent="0.25">
      <c r="A1187" s="1" t="s">
        <v>2936</v>
      </c>
      <c r="B1187" s="1" t="s">
        <v>1525</v>
      </c>
      <c r="C1187" s="5">
        <v>4</v>
      </c>
      <c r="D1187" s="14">
        <v>48456957</v>
      </c>
      <c r="E1187" s="1" t="s">
        <v>1538</v>
      </c>
      <c r="F1187" s="17">
        <v>10092287</v>
      </c>
      <c r="G1187" s="8">
        <v>45683</v>
      </c>
      <c r="H1187" s="1" t="s">
        <v>2510</v>
      </c>
      <c r="I1187" s="11" t="s">
        <v>1521</v>
      </c>
      <c r="J1187" s="6">
        <v>767293</v>
      </c>
      <c r="K1187" s="3">
        <v>15767293</v>
      </c>
    </row>
    <row r="1188" spans="1:11" x14ac:dyDescent="0.25">
      <c r="A1188" s="1" t="s">
        <v>2290</v>
      </c>
      <c r="B1188" s="1" t="s">
        <v>1545</v>
      </c>
      <c r="C1188" s="5">
        <v>5</v>
      </c>
      <c r="D1188" s="15">
        <v>3155393</v>
      </c>
      <c r="E1188" s="1" t="s">
        <v>1515</v>
      </c>
      <c r="F1188" s="18">
        <v>150297</v>
      </c>
      <c r="G1188" s="9">
        <v>45570</v>
      </c>
      <c r="H1188" s="1" t="s">
        <v>2519</v>
      </c>
      <c r="I1188" s="12" t="s">
        <v>2511</v>
      </c>
      <c r="J1188" s="6">
        <v>60102</v>
      </c>
      <c r="K1188" s="3">
        <v>15060102</v>
      </c>
    </row>
    <row r="1189" spans="1:11" x14ac:dyDescent="0.25">
      <c r="A1189" s="1" t="s">
        <v>2937</v>
      </c>
      <c r="B1189" s="1" t="s">
        <v>1517</v>
      </c>
      <c r="C1189" s="5">
        <v>4</v>
      </c>
      <c r="D1189" s="14">
        <v>21025331</v>
      </c>
      <c r="E1189" s="1" t="s">
        <v>2504</v>
      </c>
      <c r="F1189" s="17">
        <v>5126102</v>
      </c>
      <c r="G1189" s="8">
        <v>45760</v>
      </c>
      <c r="H1189" s="1" t="s">
        <v>1513</v>
      </c>
      <c r="I1189" s="11" t="s">
        <v>1512</v>
      </c>
      <c r="J1189" s="6">
        <v>317985</v>
      </c>
      <c r="K1189" s="3">
        <v>15317985</v>
      </c>
    </row>
    <row r="1190" spans="1:11" x14ac:dyDescent="0.25">
      <c r="A1190" s="1" t="s">
        <v>2938</v>
      </c>
      <c r="B1190" s="1" t="s">
        <v>1532</v>
      </c>
      <c r="C1190" s="5">
        <v>3</v>
      </c>
      <c r="D1190" s="15">
        <v>48510191</v>
      </c>
      <c r="E1190" s="1" t="s">
        <v>1538</v>
      </c>
      <c r="F1190" s="18">
        <v>5912579</v>
      </c>
      <c r="G1190" s="9">
        <v>45777</v>
      </c>
      <c r="H1190" s="1" t="s">
        <v>2519</v>
      </c>
      <c r="I1190" s="12" t="s">
        <v>2507</v>
      </c>
      <c r="J1190" s="6">
        <v>851952</v>
      </c>
      <c r="K1190" s="3">
        <v>15851952</v>
      </c>
    </row>
    <row r="1191" spans="1:11" x14ac:dyDescent="0.25">
      <c r="A1191" s="1" t="s">
        <v>2291</v>
      </c>
      <c r="B1191" s="1" t="s">
        <v>1532</v>
      </c>
      <c r="C1191" s="5">
        <v>4</v>
      </c>
      <c r="D1191" s="14">
        <v>6139932</v>
      </c>
      <c r="E1191" s="1" t="s">
        <v>2504</v>
      </c>
      <c r="F1191" s="17">
        <v>1046592</v>
      </c>
      <c r="G1191" s="8">
        <v>45551</v>
      </c>
      <c r="H1191" s="1" t="s">
        <v>1519</v>
      </c>
      <c r="I1191" s="11" t="s">
        <v>1521</v>
      </c>
      <c r="J1191" s="6">
        <v>101867</v>
      </c>
      <c r="K1191" s="3">
        <v>15101867</v>
      </c>
    </row>
    <row r="1192" spans="1:11" x14ac:dyDescent="0.25">
      <c r="A1192" s="1" t="s">
        <v>2939</v>
      </c>
      <c r="B1192" s="1" t="s">
        <v>1536</v>
      </c>
      <c r="C1192" s="5">
        <v>4</v>
      </c>
      <c r="D1192" s="15">
        <v>1119333</v>
      </c>
      <c r="E1192" s="1" t="s">
        <v>1538</v>
      </c>
      <c r="F1192" s="18">
        <v>1588514</v>
      </c>
      <c r="G1192" s="9">
        <v>45703</v>
      </c>
      <c r="H1192" s="1" t="s">
        <v>1513</v>
      </c>
      <c r="I1192" s="12" t="s">
        <v>1512</v>
      </c>
      <c r="J1192" s="6">
        <v>192096</v>
      </c>
      <c r="K1192" s="3">
        <v>15192096</v>
      </c>
    </row>
    <row r="1193" spans="1:11" x14ac:dyDescent="0.25">
      <c r="A1193" s="1" t="s">
        <v>2292</v>
      </c>
      <c r="B1193" s="1" t="s">
        <v>1517</v>
      </c>
      <c r="C1193" s="5">
        <v>3</v>
      </c>
      <c r="D1193" s="14">
        <v>3194734</v>
      </c>
      <c r="E1193" s="1" t="s">
        <v>1538</v>
      </c>
      <c r="F1193" s="17">
        <v>6663003</v>
      </c>
      <c r="G1193" s="8">
        <v>45831</v>
      </c>
      <c r="H1193" s="1" t="s">
        <v>2512</v>
      </c>
      <c r="I1193" s="11" t="s">
        <v>2507</v>
      </c>
      <c r="J1193" s="6">
        <v>505687</v>
      </c>
      <c r="K1193" s="3">
        <v>15505687</v>
      </c>
    </row>
    <row r="1194" spans="1:11" x14ac:dyDescent="0.25">
      <c r="A1194" s="1" t="s">
        <v>2940</v>
      </c>
      <c r="B1194" s="1" t="s">
        <v>1523</v>
      </c>
      <c r="C1194" s="5">
        <v>1</v>
      </c>
      <c r="D1194" s="15">
        <v>15687981</v>
      </c>
      <c r="E1194" s="1" t="s">
        <v>1538</v>
      </c>
      <c r="F1194" s="18">
        <v>2346725</v>
      </c>
      <c r="G1194" s="9">
        <v>45586</v>
      </c>
      <c r="H1194" s="1" t="s">
        <v>1543</v>
      </c>
      <c r="I1194" s="12" t="s">
        <v>1521</v>
      </c>
      <c r="J1194" s="6">
        <v>266825</v>
      </c>
      <c r="K1194" s="3">
        <v>15266825</v>
      </c>
    </row>
    <row r="1195" spans="1:11" x14ac:dyDescent="0.25">
      <c r="A1195" s="1" t="s">
        <v>2293</v>
      </c>
      <c r="B1195" s="1" t="s">
        <v>1514</v>
      </c>
      <c r="C1195" s="5">
        <v>4</v>
      </c>
      <c r="D1195" s="14">
        <v>22827718</v>
      </c>
      <c r="E1195" s="1" t="s">
        <v>1515</v>
      </c>
      <c r="F1195" s="17">
        <v>5683765</v>
      </c>
      <c r="G1195" s="8">
        <v>45677</v>
      </c>
      <c r="H1195" s="1" t="s">
        <v>1516</v>
      </c>
      <c r="I1195" s="11" t="s">
        <v>2507</v>
      </c>
      <c r="J1195" s="6">
        <v>342879</v>
      </c>
      <c r="K1195" s="3">
        <v>15342879</v>
      </c>
    </row>
    <row r="1196" spans="1:11" x14ac:dyDescent="0.25">
      <c r="A1196" s="1" t="s">
        <v>2941</v>
      </c>
      <c r="B1196" s="1" t="s">
        <v>1536</v>
      </c>
      <c r="C1196" s="5">
        <v>1</v>
      </c>
      <c r="D1196" s="15">
        <v>35695811</v>
      </c>
      <c r="E1196" s="1" t="s">
        <v>1515</v>
      </c>
      <c r="F1196" s="18">
        <v>597165</v>
      </c>
      <c r="G1196" s="9">
        <v>45637</v>
      </c>
      <c r="H1196" s="1" t="s">
        <v>1513</v>
      </c>
      <c r="I1196" s="12" t="s">
        <v>2509</v>
      </c>
      <c r="J1196" s="6">
        <v>701973</v>
      </c>
      <c r="K1196" s="3">
        <v>15701973</v>
      </c>
    </row>
    <row r="1197" spans="1:11" x14ac:dyDescent="0.25">
      <c r="A1197" s="1" t="s">
        <v>2294</v>
      </c>
      <c r="B1197" s="1" t="s">
        <v>1532</v>
      </c>
      <c r="C1197" s="5">
        <v>1</v>
      </c>
      <c r="D1197" s="14">
        <v>29785378</v>
      </c>
      <c r="E1197" s="1" t="s">
        <v>1538</v>
      </c>
      <c r="F1197" s="17">
        <v>5420136</v>
      </c>
      <c r="G1197" s="8">
        <v>45503</v>
      </c>
      <c r="H1197" s="1" t="s">
        <v>2510</v>
      </c>
      <c r="I1197" s="11" t="s">
        <v>1521</v>
      </c>
      <c r="J1197" s="6">
        <v>487305</v>
      </c>
      <c r="K1197" s="3">
        <v>15487305</v>
      </c>
    </row>
    <row r="1198" spans="1:11" x14ac:dyDescent="0.25">
      <c r="A1198" s="1" t="s">
        <v>2942</v>
      </c>
      <c r="B1198" s="1" t="s">
        <v>1527</v>
      </c>
      <c r="C1198" s="5">
        <v>2</v>
      </c>
      <c r="D1198" s="15">
        <v>21964282</v>
      </c>
      <c r="E1198" s="1" t="s">
        <v>1538</v>
      </c>
      <c r="F1198" s="18">
        <v>935686</v>
      </c>
      <c r="G1198" s="9">
        <v>45853</v>
      </c>
      <c r="H1198" s="1" t="s">
        <v>2512</v>
      </c>
      <c r="I1198" s="12" t="s">
        <v>2507</v>
      </c>
      <c r="J1198" s="6">
        <v>420572</v>
      </c>
      <c r="K1198" s="3">
        <v>15420572</v>
      </c>
    </row>
    <row r="1199" spans="1:11" x14ac:dyDescent="0.25">
      <c r="A1199" s="1" t="s">
        <v>2295</v>
      </c>
      <c r="B1199" s="1" t="s">
        <v>1523</v>
      </c>
      <c r="C1199" s="5">
        <v>1</v>
      </c>
      <c r="D1199" s="14">
        <v>15747483</v>
      </c>
      <c r="E1199" s="1" t="s">
        <v>2504</v>
      </c>
      <c r="F1199" s="17">
        <v>179943</v>
      </c>
      <c r="G1199" s="8">
        <v>45700</v>
      </c>
      <c r="H1199" s="1" t="s">
        <v>1522</v>
      </c>
      <c r="I1199" s="11" t="s">
        <v>1512</v>
      </c>
      <c r="J1199" s="6">
        <v>311351</v>
      </c>
      <c r="K1199" s="3">
        <v>15311351</v>
      </c>
    </row>
    <row r="1200" spans="1:11" x14ac:dyDescent="0.25">
      <c r="A1200" s="1" t="s">
        <v>2943</v>
      </c>
      <c r="B1200" s="1" t="s">
        <v>1545</v>
      </c>
      <c r="C1200" s="5">
        <v>4</v>
      </c>
      <c r="D1200" s="15">
        <v>2119865</v>
      </c>
      <c r="E1200" s="1" t="s">
        <v>2504</v>
      </c>
      <c r="F1200" s="18">
        <v>2055896</v>
      </c>
      <c r="G1200" s="9">
        <v>45739</v>
      </c>
      <c r="H1200" s="1" t="s">
        <v>2510</v>
      </c>
      <c r="I1200" s="12" t="s">
        <v>2507</v>
      </c>
      <c r="J1200" s="6">
        <v>382855</v>
      </c>
      <c r="K1200" s="3">
        <v>15382855</v>
      </c>
    </row>
    <row r="1201" spans="1:11" x14ac:dyDescent="0.25">
      <c r="A1201" s="1" t="s">
        <v>2296</v>
      </c>
      <c r="B1201" s="1" t="s">
        <v>1527</v>
      </c>
      <c r="C1201" s="5">
        <v>1</v>
      </c>
      <c r="D1201" s="14">
        <v>6082739</v>
      </c>
      <c r="E1201" s="1" t="s">
        <v>2504</v>
      </c>
      <c r="F1201" s="17">
        <v>1150954</v>
      </c>
      <c r="G1201" s="8">
        <v>45576</v>
      </c>
      <c r="H1201" s="1" t="s">
        <v>1519</v>
      </c>
      <c r="I1201" s="11" t="s">
        <v>1512</v>
      </c>
      <c r="J1201" s="6">
        <v>98636</v>
      </c>
      <c r="K1201" s="3">
        <v>15098636</v>
      </c>
    </row>
    <row r="1202" spans="1:11" x14ac:dyDescent="0.25">
      <c r="A1202" s="1" t="s">
        <v>2944</v>
      </c>
      <c r="B1202" s="1" t="s">
        <v>1532</v>
      </c>
      <c r="C1202" s="5">
        <v>3</v>
      </c>
      <c r="D1202" s="15">
        <v>3312425</v>
      </c>
      <c r="E1202" s="1" t="s">
        <v>1515</v>
      </c>
      <c r="F1202" s="18">
        <v>7833773</v>
      </c>
      <c r="G1202" s="9">
        <v>45720</v>
      </c>
      <c r="H1202" s="1" t="s">
        <v>1519</v>
      </c>
      <c r="I1202" s="12" t="s">
        <v>1512</v>
      </c>
      <c r="J1202" s="6">
        <v>50581</v>
      </c>
      <c r="K1202" s="3">
        <v>1550581</v>
      </c>
    </row>
    <row r="1203" spans="1:11" x14ac:dyDescent="0.25">
      <c r="A1203" s="1" t="s">
        <v>2945</v>
      </c>
      <c r="B1203" s="1" t="s">
        <v>1523</v>
      </c>
      <c r="C1203" s="5">
        <v>5</v>
      </c>
      <c r="D1203" s="14">
        <v>14937947</v>
      </c>
      <c r="E1203" s="1" t="s">
        <v>1515</v>
      </c>
      <c r="F1203" s="17">
        <v>1648861</v>
      </c>
      <c r="G1203" s="8">
        <v>45624</v>
      </c>
      <c r="H1203" s="1" t="s">
        <v>2508</v>
      </c>
      <c r="I1203" s="11" t="s">
        <v>1518</v>
      </c>
      <c r="J1203" s="6">
        <v>265782</v>
      </c>
      <c r="K1203" s="3">
        <v>15265782</v>
      </c>
    </row>
    <row r="1204" spans="1:11" x14ac:dyDescent="0.25">
      <c r="A1204" s="1" t="s">
        <v>2297</v>
      </c>
      <c r="B1204" s="1" t="s">
        <v>1540</v>
      </c>
      <c r="C1204" s="5">
        <v>3</v>
      </c>
      <c r="D1204" s="15">
        <v>3384365</v>
      </c>
      <c r="E1204" s="1" t="s">
        <v>2504</v>
      </c>
      <c r="F1204" s="18">
        <v>10232</v>
      </c>
      <c r="G1204" s="9">
        <v>45707</v>
      </c>
      <c r="H1204" s="1" t="s">
        <v>1519</v>
      </c>
      <c r="I1204" s="12" t="s">
        <v>1512</v>
      </c>
      <c r="J1204" s="6">
        <v>65641</v>
      </c>
      <c r="K1204" s="3">
        <v>15065641</v>
      </c>
    </row>
    <row r="1205" spans="1:11" x14ac:dyDescent="0.25">
      <c r="A1205" s="1" t="s">
        <v>2298</v>
      </c>
      <c r="B1205" s="1" t="s">
        <v>1534</v>
      </c>
      <c r="C1205" s="5">
        <v>4</v>
      </c>
      <c r="D1205" s="14">
        <v>47079312</v>
      </c>
      <c r="E1205" s="1" t="s">
        <v>1538</v>
      </c>
      <c r="F1205" s="17">
        <v>4871941</v>
      </c>
      <c r="G1205" s="8">
        <v>45529</v>
      </c>
      <c r="H1205" s="1" t="s">
        <v>1522</v>
      </c>
      <c r="I1205" s="11" t="s">
        <v>2509</v>
      </c>
      <c r="J1205" s="6">
        <v>844147</v>
      </c>
      <c r="K1205" s="3">
        <v>15844147</v>
      </c>
    </row>
    <row r="1206" spans="1:11" x14ac:dyDescent="0.25">
      <c r="A1206" s="1" t="s">
        <v>2946</v>
      </c>
      <c r="B1206" s="1" t="s">
        <v>1523</v>
      </c>
      <c r="C1206" s="5">
        <v>1</v>
      </c>
      <c r="D1206" s="15">
        <v>30761342</v>
      </c>
      <c r="E1206" s="1" t="s">
        <v>1515</v>
      </c>
      <c r="F1206" s="18">
        <v>6785566</v>
      </c>
      <c r="G1206" s="9">
        <v>45525</v>
      </c>
      <c r="H1206" s="1" t="s">
        <v>2512</v>
      </c>
      <c r="I1206" s="12" t="s">
        <v>1512</v>
      </c>
      <c r="J1206" s="6">
        <v>479516</v>
      </c>
      <c r="K1206" s="3">
        <v>15479516</v>
      </c>
    </row>
    <row r="1207" spans="1:11" x14ac:dyDescent="0.25">
      <c r="A1207" s="1" t="s">
        <v>2299</v>
      </c>
      <c r="B1207" s="1" t="s">
        <v>1545</v>
      </c>
      <c r="C1207" s="5">
        <v>3</v>
      </c>
      <c r="D1207" s="14">
        <v>2262545</v>
      </c>
      <c r="E1207" s="1" t="s">
        <v>1515</v>
      </c>
      <c r="F1207" s="17">
        <v>116767</v>
      </c>
      <c r="G1207" s="8">
        <v>45633</v>
      </c>
      <c r="H1207" s="1" t="s">
        <v>1516</v>
      </c>
      <c r="I1207" s="11" t="s">
        <v>1521</v>
      </c>
      <c r="J1207" s="6">
        <v>42916</v>
      </c>
      <c r="K1207" s="3">
        <v>15042916</v>
      </c>
    </row>
    <row r="1208" spans="1:11" x14ac:dyDescent="0.25">
      <c r="A1208" s="1" t="s">
        <v>2300</v>
      </c>
      <c r="B1208" s="1" t="s">
        <v>1517</v>
      </c>
      <c r="C1208" s="5">
        <v>1</v>
      </c>
      <c r="D1208" s="15">
        <v>10477673</v>
      </c>
      <c r="E1208" s="1" t="s">
        <v>2504</v>
      </c>
      <c r="F1208" s="18">
        <v>1497846</v>
      </c>
      <c r="G1208" s="9">
        <v>45652</v>
      </c>
      <c r="H1208" s="1" t="s">
        <v>1519</v>
      </c>
      <c r="I1208" s="12" t="s">
        <v>1518</v>
      </c>
      <c r="J1208" s="6">
        <v>179597</v>
      </c>
      <c r="K1208" s="3">
        <v>15179597</v>
      </c>
    </row>
    <row r="1209" spans="1:11" x14ac:dyDescent="0.25">
      <c r="A1209" s="1" t="s">
        <v>2301</v>
      </c>
      <c r="B1209" s="1" t="s">
        <v>1517</v>
      </c>
      <c r="C1209" s="5">
        <v>4</v>
      </c>
      <c r="D1209" s="14">
        <v>29124415</v>
      </c>
      <c r="E1209" s="1" t="s">
        <v>1538</v>
      </c>
      <c r="F1209" s="17">
        <v>6520145</v>
      </c>
      <c r="G1209" s="8">
        <v>45796</v>
      </c>
      <c r="H1209" s="1" t="s">
        <v>1519</v>
      </c>
      <c r="I1209" s="11" t="s">
        <v>1512</v>
      </c>
      <c r="J1209" s="6">
        <v>452085</v>
      </c>
      <c r="K1209" s="3">
        <v>15452085</v>
      </c>
    </row>
    <row r="1210" spans="1:11" x14ac:dyDescent="0.25">
      <c r="A1210" s="1" t="s">
        <v>2302</v>
      </c>
      <c r="B1210" s="1" t="s">
        <v>1534</v>
      </c>
      <c r="C1210" s="5">
        <v>5</v>
      </c>
      <c r="D1210" s="15">
        <v>31839891</v>
      </c>
      <c r="E1210" s="1" t="s">
        <v>1538</v>
      </c>
      <c r="F1210" s="18">
        <v>3607462</v>
      </c>
      <c r="G1210" s="9">
        <v>45694</v>
      </c>
      <c r="H1210" s="1" t="s">
        <v>1522</v>
      </c>
      <c r="I1210" s="12" t="s">
        <v>2511</v>
      </c>
      <c r="J1210" s="6">
        <v>564649</v>
      </c>
      <c r="K1210" s="3">
        <v>15564649</v>
      </c>
    </row>
    <row r="1211" spans="1:11" x14ac:dyDescent="0.25">
      <c r="A1211" s="1" t="s">
        <v>2303</v>
      </c>
      <c r="B1211" s="1" t="s">
        <v>1534</v>
      </c>
      <c r="C1211" s="5">
        <v>2</v>
      </c>
      <c r="D1211" s="14">
        <v>5842087</v>
      </c>
      <c r="E1211" s="1" t="s">
        <v>2504</v>
      </c>
      <c r="F1211" s="17">
        <v>903463</v>
      </c>
      <c r="G1211" s="8">
        <v>45532</v>
      </c>
      <c r="H1211" s="1" t="s">
        <v>2510</v>
      </c>
      <c r="I1211" s="11" t="s">
        <v>1518</v>
      </c>
      <c r="J1211" s="6">
        <v>98772</v>
      </c>
      <c r="K1211" s="3">
        <v>15098772</v>
      </c>
    </row>
    <row r="1212" spans="1:11" x14ac:dyDescent="0.25">
      <c r="A1212" s="1" t="s">
        <v>2304</v>
      </c>
      <c r="B1212" s="1" t="s">
        <v>1514</v>
      </c>
      <c r="C1212" s="5">
        <v>3</v>
      </c>
      <c r="D1212" s="15">
        <v>43158555</v>
      </c>
      <c r="E1212" s="1" t="s">
        <v>2504</v>
      </c>
      <c r="F1212" s="18">
        <v>3837418</v>
      </c>
      <c r="G1212" s="9">
        <v>45826</v>
      </c>
      <c r="H1212" s="1" t="s">
        <v>1516</v>
      </c>
      <c r="I1212" s="12" t="s">
        <v>2509</v>
      </c>
      <c r="J1212" s="6">
        <v>786423</v>
      </c>
      <c r="K1212" s="3">
        <v>15786423</v>
      </c>
    </row>
    <row r="1213" spans="1:11" x14ac:dyDescent="0.25">
      <c r="A1213" s="1" t="s">
        <v>2305</v>
      </c>
      <c r="B1213" s="1" t="s">
        <v>1514</v>
      </c>
      <c r="C1213" s="5">
        <v>3</v>
      </c>
      <c r="D1213" s="14">
        <v>746899</v>
      </c>
      <c r="E1213" s="1" t="s">
        <v>1515</v>
      </c>
      <c r="F1213" s="17">
        <v>323363</v>
      </c>
      <c r="G1213" s="8">
        <v>45576</v>
      </c>
      <c r="H1213" s="1" t="s">
        <v>2508</v>
      </c>
      <c r="I1213" s="11" t="s">
        <v>2509</v>
      </c>
      <c r="J1213" s="6">
        <v>142913</v>
      </c>
      <c r="K1213" s="3">
        <v>15142913</v>
      </c>
    </row>
    <row r="1214" spans="1:11" x14ac:dyDescent="0.25">
      <c r="A1214" s="1" t="s">
        <v>2947</v>
      </c>
      <c r="B1214" s="1" t="s">
        <v>1525</v>
      </c>
      <c r="C1214" s="5">
        <v>5</v>
      </c>
      <c r="D1214" s="15">
        <v>33527486</v>
      </c>
      <c r="E1214" s="1" t="s">
        <v>2504</v>
      </c>
      <c r="F1214" s="18">
        <v>3542399</v>
      </c>
      <c r="G1214" s="9">
        <v>45833</v>
      </c>
      <c r="H1214" s="1" t="s">
        <v>1516</v>
      </c>
      <c r="I1214" s="12" t="s">
        <v>2509</v>
      </c>
      <c r="J1214" s="6">
        <v>599702</v>
      </c>
      <c r="K1214" s="3">
        <v>15599702</v>
      </c>
    </row>
    <row r="1215" spans="1:11" x14ac:dyDescent="0.25">
      <c r="A1215" s="1" t="s">
        <v>2306</v>
      </c>
      <c r="B1215" s="1" t="s">
        <v>1523</v>
      </c>
      <c r="C1215" s="5">
        <v>1</v>
      </c>
      <c r="D1215" s="14">
        <v>34840968</v>
      </c>
      <c r="E1215" s="1" t="s">
        <v>1538</v>
      </c>
      <c r="F1215" s="17">
        <v>5095631</v>
      </c>
      <c r="G1215" s="8">
        <v>45619</v>
      </c>
      <c r="H1215" s="1" t="s">
        <v>2510</v>
      </c>
      <c r="I1215" s="11" t="s">
        <v>2511</v>
      </c>
      <c r="J1215" s="6">
        <v>594907</v>
      </c>
      <c r="K1215" s="3">
        <v>15594907</v>
      </c>
    </row>
    <row r="1216" spans="1:11" x14ac:dyDescent="0.25">
      <c r="A1216" s="1" t="s">
        <v>2307</v>
      </c>
      <c r="B1216" s="1" t="s">
        <v>1536</v>
      </c>
      <c r="C1216" s="5">
        <v>5</v>
      </c>
      <c r="D1216" s="15">
        <v>35040992</v>
      </c>
      <c r="E1216" s="1" t="s">
        <v>1538</v>
      </c>
      <c r="F1216" s="18">
        <v>5763178</v>
      </c>
      <c r="G1216" s="9">
        <v>45639</v>
      </c>
      <c r="H1216" s="1" t="s">
        <v>1513</v>
      </c>
      <c r="I1216" s="12" t="s">
        <v>2507</v>
      </c>
      <c r="J1216" s="6">
        <v>585556</v>
      </c>
      <c r="K1216" s="3">
        <v>15585556</v>
      </c>
    </row>
    <row r="1217" spans="1:11" x14ac:dyDescent="0.25">
      <c r="A1217" s="1" t="s">
        <v>2308</v>
      </c>
      <c r="B1217" s="1" t="s">
        <v>1517</v>
      </c>
      <c r="C1217" s="5">
        <v>3</v>
      </c>
      <c r="D1217" s="14">
        <v>27774482</v>
      </c>
      <c r="E1217" s="1" t="s">
        <v>1538</v>
      </c>
      <c r="F1217" s="17">
        <v>249463</v>
      </c>
      <c r="G1217" s="8">
        <v>45825</v>
      </c>
      <c r="H1217" s="1" t="s">
        <v>1522</v>
      </c>
      <c r="I1217" s="11" t="s">
        <v>1512</v>
      </c>
      <c r="J1217" s="6">
        <v>505597</v>
      </c>
      <c r="K1217" s="3">
        <v>15505597</v>
      </c>
    </row>
    <row r="1218" spans="1:11" x14ac:dyDescent="0.25">
      <c r="A1218" s="1" t="s">
        <v>2309</v>
      </c>
      <c r="B1218" s="1" t="s">
        <v>1534</v>
      </c>
      <c r="C1218" s="5">
        <v>2</v>
      </c>
      <c r="D1218" s="15">
        <v>9954896</v>
      </c>
      <c r="E1218" s="1" t="s">
        <v>1538</v>
      </c>
      <c r="F1218" s="18">
        <v>653794</v>
      </c>
      <c r="G1218" s="9">
        <v>45802</v>
      </c>
      <c r="H1218" s="1" t="s">
        <v>1513</v>
      </c>
      <c r="I1218" s="12" t="s">
        <v>2511</v>
      </c>
      <c r="J1218" s="6">
        <v>186022</v>
      </c>
      <c r="K1218" s="3">
        <v>15186022</v>
      </c>
    </row>
    <row r="1219" spans="1:11" x14ac:dyDescent="0.25">
      <c r="A1219" s="1" t="s">
        <v>2948</v>
      </c>
      <c r="B1219" s="1" t="s">
        <v>1545</v>
      </c>
      <c r="C1219" s="5">
        <v>4</v>
      </c>
      <c r="D1219" s="14">
        <v>18876045</v>
      </c>
      <c r="E1219" s="1" t="s">
        <v>1538</v>
      </c>
      <c r="F1219" s="17">
        <v>1841704</v>
      </c>
      <c r="G1219" s="8">
        <v>45590</v>
      </c>
      <c r="H1219" s="1" t="s">
        <v>2515</v>
      </c>
      <c r="I1219" s="11" t="s">
        <v>1512</v>
      </c>
      <c r="J1219" s="6">
        <v>340687</v>
      </c>
      <c r="K1219" s="3">
        <v>15340687</v>
      </c>
    </row>
    <row r="1220" spans="1:11" x14ac:dyDescent="0.25">
      <c r="A1220" s="1" t="s">
        <v>2310</v>
      </c>
      <c r="B1220" s="1" t="s">
        <v>1540</v>
      </c>
      <c r="C1220" s="5">
        <v>5</v>
      </c>
      <c r="D1220" s="15">
        <v>21223755</v>
      </c>
      <c r="E1220" s="1" t="s">
        <v>1515</v>
      </c>
      <c r="F1220" s="18">
        <v>4755185</v>
      </c>
      <c r="G1220" s="9">
        <v>45845</v>
      </c>
      <c r="H1220" s="1" t="s">
        <v>1543</v>
      </c>
      <c r="I1220" s="12" t="s">
        <v>1521</v>
      </c>
      <c r="J1220" s="6">
        <v>329371</v>
      </c>
      <c r="K1220" s="3">
        <v>15329371</v>
      </c>
    </row>
    <row r="1221" spans="1:11" x14ac:dyDescent="0.25">
      <c r="A1221" s="1" t="s">
        <v>2311</v>
      </c>
      <c r="B1221" s="1" t="s">
        <v>1523</v>
      </c>
      <c r="C1221" s="5">
        <v>4</v>
      </c>
      <c r="D1221" s="14">
        <v>31192457</v>
      </c>
      <c r="E1221" s="1" t="s">
        <v>2504</v>
      </c>
      <c r="F1221" s="17">
        <v>5956732</v>
      </c>
      <c r="G1221" s="8">
        <v>45617</v>
      </c>
      <c r="H1221" s="1" t="s">
        <v>1522</v>
      </c>
      <c r="I1221" s="11" t="s">
        <v>2511</v>
      </c>
      <c r="J1221" s="6">
        <v>504715</v>
      </c>
      <c r="K1221" s="3">
        <v>15504715</v>
      </c>
    </row>
    <row r="1222" spans="1:11" x14ac:dyDescent="0.25">
      <c r="A1222" s="1" t="s">
        <v>2312</v>
      </c>
      <c r="B1222" s="1" t="s">
        <v>1532</v>
      </c>
      <c r="C1222" s="5">
        <v>1</v>
      </c>
      <c r="D1222" s="15">
        <v>33709065</v>
      </c>
      <c r="E1222" s="1" t="s">
        <v>1538</v>
      </c>
      <c r="F1222" s="18">
        <v>890348</v>
      </c>
      <c r="G1222" s="9">
        <v>45618</v>
      </c>
      <c r="H1222" s="1" t="s">
        <v>1513</v>
      </c>
      <c r="I1222" s="12" t="s">
        <v>1512</v>
      </c>
      <c r="J1222" s="6">
        <v>656374</v>
      </c>
      <c r="K1222" s="3">
        <v>15656374</v>
      </c>
    </row>
    <row r="1223" spans="1:11" x14ac:dyDescent="0.25">
      <c r="A1223" s="1" t="s">
        <v>2313</v>
      </c>
      <c r="B1223" s="1" t="s">
        <v>1545</v>
      </c>
      <c r="C1223" s="5">
        <v>2</v>
      </c>
      <c r="D1223" s="14">
        <v>37864593</v>
      </c>
      <c r="E1223" s="1" t="s">
        <v>2504</v>
      </c>
      <c r="F1223" s="17">
        <v>7802461</v>
      </c>
      <c r="G1223" s="8">
        <v>45547</v>
      </c>
      <c r="H1223" s="1" t="s">
        <v>2508</v>
      </c>
      <c r="I1223" s="11" t="s">
        <v>2507</v>
      </c>
      <c r="J1223" s="6">
        <v>601243</v>
      </c>
      <c r="K1223" s="3">
        <v>15601243</v>
      </c>
    </row>
    <row r="1224" spans="1:11" x14ac:dyDescent="0.25">
      <c r="A1224" s="1" t="s">
        <v>2314</v>
      </c>
      <c r="B1224" s="1" t="s">
        <v>1517</v>
      </c>
      <c r="C1224" s="5">
        <v>1</v>
      </c>
      <c r="D1224" s="15">
        <v>9199417</v>
      </c>
      <c r="E1224" s="1" t="s">
        <v>1538</v>
      </c>
      <c r="F1224" s="18">
        <v>773712</v>
      </c>
      <c r="G1224" s="9">
        <v>45824</v>
      </c>
      <c r="H1224" s="1" t="s">
        <v>1522</v>
      </c>
      <c r="I1224" s="12" t="s">
        <v>2507</v>
      </c>
      <c r="J1224" s="6">
        <v>168514</v>
      </c>
      <c r="K1224" s="3">
        <v>15168514</v>
      </c>
    </row>
    <row r="1225" spans="1:11" x14ac:dyDescent="0.25">
      <c r="A1225" s="1" t="s">
        <v>2315</v>
      </c>
      <c r="B1225" s="1" t="s">
        <v>1517</v>
      </c>
      <c r="C1225" s="5">
        <v>5</v>
      </c>
      <c r="D1225" s="14">
        <v>46936843</v>
      </c>
      <c r="E1225" s="1" t="s">
        <v>2504</v>
      </c>
      <c r="F1225" s="17">
        <v>11080054</v>
      </c>
      <c r="G1225" s="8">
        <v>45616</v>
      </c>
      <c r="H1225" s="1" t="s">
        <v>2510</v>
      </c>
      <c r="I1225" s="11" t="s">
        <v>1512</v>
      </c>
      <c r="J1225" s="6">
        <v>717136</v>
      </c>
      <c r="K1225" s="3">
        <v>15717136</v>
      </c>
    </row>
    <row r="1226" spans="1:11" x14ac:dyDescent="0.25">
      <c r="A1226" s="1" t="s">
        <v>2316</v>
      </c>
      <c r="B1226" s="1" t="s">
        <v>1532</v>
      </c>
      <c r="C1226" s="5">
        <v>3</v>
      </c>
      <c r="D1226" s="15">
        <v>44085775</v>
      </c>
      <c r="E1226" s="1" t="s">
        <v>1538</v>
      </c>
      <c r="F1226" s="18">
        <v>7497281</v>
      </c>
      <c r="G1226" s="9">
        <v>45819</v>
      </c>
      <c r="H1226" s="1" t="s">
        <v>1516</v>
      </c>
      <c r="I1226" s="12" t="s">
        <v>2507</v>
      </c>
      <c r="J1226" s="6">
        <v>73177</v>
      </c>
      <c r="K1226" s="3">
        <v>1573177</v>
      </c>
    </row>
    <row r="1227" spans="1:11" x14ac:dyDescent="0.25">
      <c r="A1227" s="1" t="s">
        <v>2949</v>
      </c>
      <c r="B1227" s="1" t="s">
        <v>1540</v>
      </c>
      <c r="C1227" s="5">
        <v>4</v>
      </c>
      <c r="D1227" s="14">
        <v>27988974</v>
      </c>
      <c r="E1227" s="1" t="s">
        <v>1515</v>
      </c>
      <c r="F1227" s="17">
        <v>4359239</v>
      </c>
      <c r="G1227" s="8">
        <v>45714</v>
      </c>
      <c r="H1227" s="1" t="s">
        <v>2512</v>
      </c>
      <c r="I1227" s="11" t="s">
        <v>2507</v>
      </c>
      <c r="J1227" s="6">
        <v>472595</v>
      </c>
      <c r="K1227" s="3">
        <v>15472595</v>
      </c>
    </row>
    <row r="1228" spans="1:11" x14ac:dyDescent="0.25">
      <c r="A1228" s="1" t="s">
        <v>2317</v>
      </c>
      <c r="B1228" s="1" t="s">
        <v>1517</v>
      </c>
      <c r="C1228" s="5">
        <v>4</v>
      </c>
      <c r="D1228" s="15">
        <v>20440853</v>
      </c>
      <c r="E1228" s="1" t="s">
        <v>1515</v>
      </c>
      <c r="F1228" s="18">
        <v>233316</v>
      </c>
      <c r="G1228" s="9">
        <v>45591</v>
      </c>
      <c r="H1228" s="1" t="s">
        <v>2512</v>
      </c>
      <c r="I1228" s="12" t="s">
        <v>1521</v>
      </c>
      <c r="J1228" s="6">
        <v>362154</v>
      </c>
      <c r="K1228" s="3">
        <v>15362154</v>
      </c>
    </row>
    <row r="1229" spans="1:11" x14ac:dyDescent="0.25">
      <c r="A1229" s="1" t="s">
        <v>2318</v>
      </c>
      <c r="B1229" s="1" t="s">
        <v>1540</v>
      </c>
      <c r="C1229" s="5">
        <v>1</v>
      </c>
      <c r="D1229" s="14">
        <v>6037273</v>
      </c>
      <c r="E1229" s="1" t="s">
        <v>1515</v>
      </c>
      <c r="F1229" s="17">
        <v>574625</v>
      </c>
      <c r="G1229" s="8">
        <v>45588</v>
      </c>
      <c r="H1229" s="1" t="s">
        <v>2519</v>
      </c>
      <c r="I1229" s="11" t="s">
        <v>1512</v>
      </c>
      <c r="J1229" s="6">
        <v>109253</v>
      </c>
      <c r="K1229" s="3">
        <v>15109253</v>
      </c>
    </row>
    <row r="1230" spans="1:11" x14ac:dyDescent="0.25">
      <c r="A1230" s="1" t="s">
        <v>2319</v>
      </c>
      <c r="B1230" s="1" t="s">
        <v>1525</v>
      </c>
      <c r="C1230" s="5">
        <v>1</v>
      </c>
      <c r="D1230" s="15">
        <v>18211834</v>
      </c>
      <c r="E1230" s="1" t="s">
        <v>1538</v>
      </c>
      <c r="F1230" s="18">
        <v>1198057</v>
      </c>
      <c r="G1230" s="9">
        <v>45759</v>
      </c>
      <c r="H1230" s="1" t="s">
        <v>2508</v>
      </c>
      <c r="I1230" s="12" t="s">
        <v>1512</v>
      </c>
      <c r="J1230" s="6">
        <v>340276</v>
      </c>
      <c r="K1230" s="3">
        <v>15340276</v>
      </c>
    </row>
    <row r="1231" spans="1:11" x14ac:dyDescent="0.25">
      <c r="A1231" s="1" t="s">
        <v>2950</v>
      </c>
      <c r="B1231" s="1" t="s">
        <v>1536</v>
      </c>
      <c r="C1231" s="5">
        <v>1</v>
      </c>
      <c r="D1231" s="14">
        <v>34311305</v>
      </c>
      <c r="E1231" s="1" t="s">
        <v>1538</v>
      </c>
      <c r="F1231" s="17">
        <v>122484</v>
      </c>
      <c r="G1231" s="8">
        <v>45645</v>
      </c>
      <c r="H1231" s="1" t="s">
        <v>1522</v>
      </c>
      <c r="I1231" s="11" t="s">
        <v>2511</v>
      </c>
      <c r="J1231" s="6">
        <v>683776</v>
      </c>
      <c r="K1231" s="3">
        <v>15683776</v>
      </c>
    </row>
    <row r="1232" spans="1:11" x14ac:dyDescent="0.25">
      <c r="A1232" s="1" t="s">
        <v>2320</v>
      </c>
      <c r="B1232" s="1" t="s">
        <v>1527</v>
      </c>
      <c r="C1232" s="5">
        <v>1</v>
      </c>
      <c r="D1232" s="15">
        <v>15350183</v>
      </c>
      <c r="E1232" s="1" t="s">
        <v>2504</v>
      </c>
      <c r="F1232" s="18">
        <v>2652772</v>
      </c>
      <c r="G1232" s="9">
        <v>45552</v>
      </c>
      <c r="H1232" s="1" t="s">
        <v>1516</v>
      </c>
      <c r="I1232" s="12" t="s">
        <v>1521</v>
      </c>
      <c r="J1232" s="6">
        <v>253948</v>
      </c>
      <c r="K1232" s="3">
        <v>15253948</v>
      </c>
    </row>
    <row r="1233" spans="1:11" x14ac:dyDescent="0.25">
      <c r="A1233" s="1" t="s">
        <v>2321</v>
      </c>
      <c r="B1233" s="1" t="s">
        <v>1545</v>
      </c>
      <c r="C1233" s="5">
        <v>3</v>
      </c>
      <c r="D1233" s="14">
        <v>16899239</v>
      </c>
      <c r="E1233" s="1" t="s">
        <v>1515</v>
      </c>
      <c r="F1233" s="17">
        <v>298758</v>
      </c>
      <c r="G1233" s="8">
        <v>45525</v>
      </c>
      <c r="H1233" s="1" t="s">
        <v>2508</v>
      </c>
      <c r="I1233" s="11" t="s">
        <v>1521</v>
      </c>
      <c r="J1233" s="6">
        <v>33201</v>
      </c>
      <c r="K1233" s="3">
        <v>1533201</v>
      </c>
    </row>
    <row r="1234" spans="1:11" x14ac:dyDescent="0.25">
      <c r="A1234" s="1" t="s">
        <v>2322</v>
      </c>
      <c r="B1234" s="1" t="s">
        <v>1532</v>
      </c>
      <c r="C1234" s="5">
        <v>4</v>
      </c>
      <c r="D1234" s="15">
        <v>12433619</v>
      </c>
      <c r="E1234" s="1" t="s">
        <v>2504</v>
      </c>
      <c r="F1234" s="18">
        <v>746474</v>
      </c>
      <c r="G1234" s="9">
        <v>45710</v>
      </c>
      <c r="H1234" s="1" t="s">
        <v>1543</v>
      </c>
      <c r="I1234" s="12" t="s">
        <v>2507</v>
      </c>
      <c r="J1234" s="6">
        <v>233743</v>
      </c>
      <c r="K1234" s="3">
        <v>15233743</v>
      </c>
    </row>
    <row r="1235" spans="1:11" x14ac:dyDescent="0.25">
      <c r="A1235" s="1" t="s">
        <v>2323</v>
      </c>
      <c r="B1235" s="1" t="s">
        <v>1545</v>
      </c>
      <c r="C1235" s="5">
        <v>3</v>
      </c>
      <c r="D1235" s="14">
        <v>39979558</v>
      </c>
      <c r="E1235" s="1" t="s">
        <v>2504</v>
      </c>
      <c r="F1235" s="17">
        <v>2588023</v>
      </c>
      <c r="G1235" s="8">
        <v>45851</v>
      </c>
      <c r="H1235" s="1" t="s">
        <v>1516</v>
      </c>
      <c r="I1235" s="11" t="s">
        <v>1512</v>
      </c>
      <c r="J1235" s="6">
        <v>747831</v>
      </c>
      <c r="K1235" s="3">
        <v>15747831</v>
      </c>
    </row>
    <row r="1236" spans="1:11" x14ac:dyDescent="0.25">
      <c r="A1236" s="1" t="s">
        <v>2324</v>
      </c>
      <c r="B1236" s="1" t="s">
        <v>1514</v>
      </c>
      <c r="C1236" s="5">
        <v>1</v>
      </c>
      <c r="D1236" s="15">
        <v>8371505</v>
      </c>
      <c r="E1236" s="1" t="s">
        <v>2504</v>
      </c>
      <c r="F1236" s="18">
        <v>1234883</v>
      </c>
      <c r="G1236" s="9">
        <v>45779</v>
      </c>
      <c r="H1236" s="1" t="s">
        <v>2515</v>
      </c>
      <c r="I1236" s="12" t="s">
        <v>2509</v>
      </c>
      <c r="J1236" s="6">
        <v>142732</v>
      </c>
      <c r="K1236" s="3">
        <v>15142732</v>
      </c>
    </row>
    <row r="1237" spans="1:11" x14ac:dyDescent="0.25">
      <c r="A1237" s="1" t="s">
        <v>2325</v>
      </c>
      <c r="B1237" s="1" t="s">
        <v>1525</v>
      </c>
      <c r="C1237" s="5">
        <v>5</v>
      </c>
      <c r="D1237" s="14">
        <v>25745483</v>
      </c>
      <c r="E1237" s="1" t="s">
        <v>1515</v>
      </c>
      <c r="F1237" s="17">
        <v>234665</v>
      </c>
      <c r="G1237" s="8">
        <v>45553</v>
      </c>
      <c r="H1237" s="1" t="s">
        <v>2519</v>
      </c>
      <c r="I1237" s="11" t="s">
        <v>2507</v>
      </c>
      <c r="J1237" s="6">
        <v>467977</v>
      </c>
      <c r="K1237" s="3">
        <v>15467977</v>
      </c>
    </row>
    <row r="1238" spans="1:11" x14ac:dyDescent="0.25">
      <c r="A1238" s="1" t="s">
        <v>2326</v>
      </c>
      <c r="B1238" s="1" t="s">
        <v>1523</v>
      </c>
      <c r="C1238" s="5">
        <v>1</v>
      </c>
      <c r="D1238" s="15">
        <v>676257</v>
      </c>
      <c r="E1238" s="1" t="s">
        <v>1538</v>
      </c>
      <c r="F1238" s="18">
        <v>774621</v>
      </c>
      <c r="G1238" s="9">
        <v>45697</v>
      </c>
      <c r="H1238" s="1" t="s">
        <v>1513</v>
      </c>
      <c r="I1238" s="12" t="s">
        <v>2509</v>
      </c>
      <c r="J1238" s="6">
        <v>119759</v>
      </c>
      <c r="K1238" s="3">
        <v>15119759</v>
      </c>
    </row>
    <row r="1239" spans="1:11" x14ac:dyDescent="0.25">
      <c r="A1239" s="1" t="s">
        <v>2327</v>
      </c>
      <c r="B1239" s="1" t="s">
        <v>1532</v>
      </c>
      <c r="C1239" s="5">
        <v>3</v>
      </c>
      <c r="D1239" s="14">
        <v>559453</v>
      </c>
      <c r="E1239" s="1" t="s">
        <v>1515</v>
      </c>
      <c r="F1239" s="17">
        <v>904585</v>
      </c>
      <c r="G1239" s="8">
        <v>45713</v>
      </c>
      <c r="H1239" s="1" t="s">
        <v>1513</v>
      </c>
      <c r="I1239" s="11" t="s">
        <v>2509</v>
      </c>
      <c r="J1239" s="6">
        <v>93799</v>
      </c>
      <c r="K1239" s="3">
        <v>15093799</v>
      </c>
    </row>
    <row r="1240" spans="1:11" x14ac:dyDescent="0.25">
      <c r="A1240" s="1" t="s">
        <v>2328</v>
      </c>
      <c r="B1240" s="1" t="s">
        <v>1525</v>
      </c>
      <c r="C1240" s="5">
        <v>3</v>
      </c>
      <c r="D1240" s="15">
        <v>49358982</v>
      </c>
      <c r="E1240" s="1" t="s">
        <v>2504</v>
      </c>
      <c r="F1240" s="18">
        <v>4691569</v>
      </c>
      <c r="G1240" s="9">
        <v>45774</v>
      </c>
      <c r="H1240" s="1" t="s">
        <v>1522</v>
      </c>
      <c r="I1240" s="12" t="s">
        <v>1518</v>
      </c>
      <c r="J1240" s="6">
        <v>893348</v>
      </c>
      <c r="K1240" s="3">
        <v>15893348</v>
      </c>
    </row>
    <row r="1241" spans="1:11" x14ac:dyDescent="0.25">
      <c r="A1241" s="1" t="s">
        <v>2329</v>
      </c>
      <c r="B1241" s="1" t="s">
        <v>1527</v>
      </c>
      <c r="C1241" s="5">
        <v>5</v>
      </c>
      <c r="D1241" s="14">
        <v>1723311</v>
      </c>
      <c r="E1241" s="1" t="s">
        <v>1515</v>
      </c>
      <c r="F1241" s="17">
        <v>1320237</v>
      </c>
      <c r="G1241" s="8">
        <v>45787</v>
      </c>
      <c r="H1241" s="1" t="s">
        <v>1543</v>
      </c>
      <c r="I1241" s="11" t="s">
        <v>2511</v>
      </c>
      <c r="J1241" s="6">
        <v>318257</v>
      </c>
      <c r="K1241" s="3">
        <v>15318257</v>
      </c>
    </row>
    <row r="1242" spans="1:11" x14ac:dyDescent="0.25">
      <c r="A1242" s="1" t="s">
        <v>2330</v>
      </c>
      <c r="B1242" s="1" t="s">
        <v>1525</v>
      </c>
      <c r="C1242" s="5">
        <v>4</v>
      </c>
      <c r="D1242" s="15">
        <v>1792671</v>
      </c>
      <c r="E1242" s="1" t="s">
        <v>2504</v>
      </c>
      <c r="F1242" s="18">
        <v>3949382</v>
      </c>
      <c r="G1242" s="9">
        <v>45814</v>
      </c>
      <c r="H1242" s="1" t="s">
        <v>2510</v>
      </c>
      <c r="I1242" s="12" t="s">
        <v>2509</v>
      </c>
      <c r="J1242" s="6">
        <v>279547</v>
      </c>
      <c r="K1242" s="3">
        <v>15279547</v>
      </c>
    </row>
    <row r="1243" spans="1:11" x14ac:dyDescent="0.25">
      <c r="A1243" s="1" t="s">
        <v>2331</v>
      </c>
      <c r="B1243" s="1" t="s">
        <v>1525</v>
      </c>
      <c r="C1243" s="5">
        <v>2</v>
      </c>
      <c r="D1243" s="14">
        <v>26759139</v>
      </c>
      <c r="E1243" s="1" t="s">
        <v>1538</v>
      </c>
      <c r="F1243" s="17">
        <v>1421828</v>
      </c>
      <c r="G1243" s="8">
        <v>45776</v>
      </c>
      <c r="H1243" s="1" t="s">
        <v>1513</v>
      </c>
      <c r="I1243" s="11" t="s">
        <v>1518</v>
      </c>
      <c r="J1243" s="6">
        <v>506746</v>
      </c>
      <c r="K1243" s="3">
        <v>15506746</v>
      </c>
    </row>
    <row r="1244" spans="1:11" x14ac:dyDescent="0.25">
      <c r="A1244" s="1" t="s">
        <v>2951</v>
      </c>
      <c r="B1244" s="1" t="s">
        <v>1517</v>
      </c>
      <c r="C1244" s="5">
        <v>1</v>
      </c>
      <c r="D1244" s="15">
        <v>3841803</v>
      </c>
      <c r="E1244" s="1" t="s">
        <v>2504</v>
      </c>
      <c r="F1244" s="18">
        <v>102932</v>
      </c>
      <c r="G1244" s="9">
        <v>45513</v>
      </c>
      <c r="H1244" s="1" t="s">
        <v>2510</v>
      </c>
      <c r="I1244" s="12" t="s">
        <v>2511</v>
      </c>
      <c r="J1244" s="6">
        <v>747774</v>
      </c>
      <c r="K1244" s="3">
        <v>15747774</v>
      </c>
    </row>
    <row r="1245" spans="1:11" x14ac:dyDescent="0.25">
      <c r="A1245" s="1" t="s">
        <v>2332</v>
      </c>
      <c r="B1245" s="1" t="s">
        <v>1527</v>
      </c>
      <c r="C1245" s="5">
        <v>2</v>
      </c>
      <c r="D1245" s="14">
        <v>45956914</v>
      </c>
      <c r="E1245" s="1" t="s">
        <v>2504</v>
      </c>
      <c r="F1245" s="17">
        <v>415447</v>
      </c>
      <c r="G1245" s="8">
        <v>45808</v>
      </c>
      <c r="H1245" s="1" t="s">
        <v>1543</v>
      </c>
      <c r="I1245" s="11" t="s">
        <v>2507</v>
      </c>
      <c r="J1245" s="6">
        <v>836049</v>
      </c>
      <c r="K1245" s="3">
        <v>15836049</v>
      </c>
    </row>
    <row r="1246" spans="1:11" x14ac:dyDescent="0.25">
      <c r="A1246" s="1" t="s">
        <v>2952</v>
      </c>
      <c r="B1246" s="1" t="s">
        <v>1525</v>
      </c>
      <c r="C1246" s="5">
        <v>2</v>
      </c>
      <c r="D1246" s="15">
        <v>40869147</v>
      </c>
      <c r="E1246" s="1" t="s">
        <v>1515</v>
      </c>
      <c r="F1246" s="18">
        <v>8214155</v>
      </c>
      <c r="G1246" s="9">
        <v>45751</v>
      </c>
      <c r="H1246" s="1" t="s">
        <v>1522</v>
      </c>
      <c r="I1246" s="12" t="s">
        <v>1512</v>
      </c>
      <c r="J1246" s="6">
        <v>65310</v>
      </c>
      <c r="K1246" s="3">
        <v>1565310</v>
      </c>
    </row>
    <row r="1247" spans="1:11" x14ac:dyDescent="0.25">
      <c r="A1247" s="1" t="s">
        <v>2333</v>
      </c>
      <c r="B1247" s="1" t="s">
        <v>1532</v>
      </c>
      <c r="C1247" s="5">
        <v>4</v>
      </c>
      <c r="D1247" s="14">
        <v>1693567</v>
      </c>
      <c r="E1247" s="1" t="s">
        <v>2504</v>
      </c>
      <c r="F1247" s="17">
        <v>25125</v>
      </c>
      <c r="G1247" s="8">
        <v>45788</v>
      </c>
      <c r="H1247" s="1" t="s">
        <v>1522</v>
      </c>
      <c r="I1247" s="11" t="s">
        <v>2507</v>
      </c>
      <c r="J1247" s="6">
        <v>33369</v>
      </c>
      <c r="K1247" s="3">
        <v>15033369</v>
      </c>
    </row>
    <row r="1248" spans="1:11" x14ac:dyDescent="0.25">
      <c r="A1248" s="1" t="s">
        <v>2953</v>
      </c>
      <c r="B1248" s="1" t="s">
        <v>1545</v>
      </c>
      <c r="C1248" s="5">
        <v>3</v>
      </c>
      <c r="D1248" s="15">
        <v>2728445</v>
      </c>
      <c r="E1248" s="1" t="s">
        <v>1515</v>
      </c>
      <c r="F1248" s="18">
        <v>27319</v>
      </c>
      <c r="G1248" s="9">
        <v>45570</v>
      </c>
      <c r="H1248" s="1" t="s">
        <v>1513</v>
      </c>
      <c r="I1248" s="12" t="s">
        <v>1521</v>
      </c>
      <c r="J1248" s="6">
        <v>54023</v>
      </c>
      <c r="K1248" s="3">
        <v>15054023</v>
      </c>
    </row>
    <row r="1249" spans="1:11" x14ac:dyDescent="0.25">
      <c r="A1249" s="1" t="s">
        <v>2334</v>
      </c>
      <c r="B1249" s="1" t="s">
        <v>1536</v>
      </c>
      <c r="C1249" s="5">
        <v>3</v>
      </c>
      <c r="D1249" s="14">
        <v>23371031</v>
      </c>
      <c r="E1249" s="1" t="s">
        <v>1515</v>
      </c>
      <c r="F1249" s="17">
        <v>61729</v>
      </c>
      <c r="G1249" s="8">
        <v>45641</v>
      </c>
      <c r="H1249" s="1" t="s">
        <v>2515</v>
      </c>
      <c r="I1249" s="11" t="s">
        <v>2509</v>
      </c>
      <c r="J1249" s="6">
        <v>455075</v>
      </c>
      <c r="K1249" s="3">
        <v>15455075</v>
      </c>
    </row>
    <row r="1250" spans="1:11" x14ac:dyDescent="0.25">
      <c r="A1250" s="1" t="s">
        <v>2335</v>
      </c>
      <c r="B1250" s="1" t="s">
        <v>1527</v>
      </c>
      <c r="C1250" s="5">
        <v>3</v>
      </c>
      <c r="D1250" s="15">
        <v>38040999</v>
      </c>
      <c r="E1250" s="1" t="s">
        <v>2504</v>
      </c>
      <c r="F1250" s="18">
        <v>2063839</v>
      </c>
      <c r="G1250" s="9">
        <v>45570</v>
      </c>
      <c r="H1250" s="1" t="s">
        <v>2512</v>
      </c>
      <c r="I1250" s="12" t="s">
        <v>2507</v>
      </c>
      <c r="J1250" s="6">
        <v>719543</v>
      </c>
      <c r="K1250" s="3">
        <v>15719543</v>
      </c>
    </row>
    <row r="1251" spans="1:11" x14ac:dyDescent="0.25">
      <c r="A1251" s="1" t="s">
        <v>2336</v>
      </c>
      <c r="B1251" s="1" t="s">
        <v>1536</v>
      </c>
      <c r="C1251" s="5">
        <v>5</v>
      </c>
      <c r="D1251" s="14">
        <v>37618459</v>
      </c>
      <c r="E1251" s="1" t="s">
        <v>1515</v>
      </c>
      <c r="F1251" s="17">
        <v>3775387</v>
      </c>
      <c r="G1251" s="8">
        <v>45700</v>
      </c>
      <c r="H1251" s="1" t="s">
        <v>2515</v>
      </c>
      <c r="I1251" s="11" t="s">
        <v>2507</v>
      </c>
      <c r="J1251" s="6">
        <v>676861</v>
      </c>
      <c r="K1251" s="3">
        <v>15676861</v>
      </c>
    </row>
    <row r="1252" spans="1:11" x14ac:dyDescent="0.25">
      <c r="A1252" s="1" t="s">
        <v>2954</v>
      </c>
      <c r="B1252" s="1" t="s">
        <v>1525</v>
      </c>
      <c r="C1252" s="5">
        <v>4</v>
      </c>
      <c r="D1252" s="15">
        <v>7055604</v>
      </c>
      <c r="E1252" s="1" t="s">
        <v>2504</v>
      </c>
      <c r="F1252" s="18">
        <v>994939</v>
      </c>
      <c r="G1252" s="9">
        <v>45721</v>
      </c>
      <c r="H1252" s="1" t="s">
        <v>2515</v>
      </c>
      <c r="I1252" s="12" t="s">
        <v>2511</v>
      </c>
      <c r="J1252" s="6">
        <v>121213</v>
      </c>
      <c r="K1252" s="3">
        <v>15121213</v>
      </c>
    </row>
    <row r="1253" spans="1:11" x14ac:dyDescent="0.25">
      <c r="A1253" s="1" t="s">
        <v>2955</v>
      </c>
      <c r="B1253" s="1" t="s">
        <v>1527</v>
      </c>
      <c r="C1253" s="5">
        <v>2</v>
      </c>
      <c r="D1253" s="14">
        <v>19496466</v>
      </c>
      <c r="E1253" s="1" t="s">
        <v>2504</v>
      </c>
      <c r="F1253" s="17">
        <v>939233</v>
      </c>
      <c r="G1253" s="8">
        <v>45695</v>
      </c>
      <c r="H1253" s="1" t="s">
        <v>1522</v>
      </c>
      <c r="I1253" s="11" t="s">
        <v>2507</v>
      </c>
      <c r="J1253" s="6">
        <v>371145</v>
      </c>
      <c r="K1253" s="3">
        <v>15371145</v>
      </c>
    </row>
    <row r="1254" spans="1:11" x14ac:dyDescent="0.25">
      <c r="A1254" s="1" t="s">
        <v>2337</v>
      </c>
      <c r="B1254" s="1" t="s">
        <v>1545</v>
      </c>
      <c r="C1254" s="5">
        <v>5</v>
      </c>
      <c r="D1254" s="15">
        <v>37489151</v>
      </c>
      <c r="E1254" s="1" t="s">
        <v>1515</v>
      </c>
      <c r="F1254" s="18">
        <v>7266311</v>
      </c>
      <c r="G1254" s="9">
        <v>45806</v>
      </c>
      <c r="H1254" s="1" t="s">
        <v>2515</v>
      </c>
      <c r="I1254" s="12" t="s">
        <v>1512</v>
      </c>
      <c r="J1254" s="6">
        <v>604457</v>
      </c>
      <c r="K1254" s="3">
        <v>15604457</v>
      </c>
    </row>
    <row r="1255" spans="1:11" x14ac:dyDescent="0.25">
      <c r="A1255" s="1" t="s">
        <v>2956</v>
      </c>
      <c r="B1255" s="1" t="s">
        <v>1536</v>
      </c>
      <c r="C1255" s="5">
        <v>2</v>
      </c>
      <c r="D1255" s="14">
        <v>24391999</v>
      </c>
      <c r="E1255" s="1" t="s">
        <v>1515</v>
      </c>
      <c r="F1255" s="17">
        <v>253808</v>
      </c>
      <c r="G1255" s="8">
        <v>45550</v>
      </c>
      <c r="H1255" s="1" t="s">
        <v>1513</v>
      </c>
      <c r="I1255" s="11" t="s">
        <v>1518</v>
      </c>
      <c r="J1255" s="6">
        <v>482764</v>
      </c>
      <c r="K1255" s="3">
        <v>15482764</v>
      </c>
    </row>
    <row r="1256" spans="1:11" x14ac:dyDescent="0.25">
      <c r="A1256" s="1" t="s">
        <v>2338</v>
      </c>
      <c r="B1256" s="1" t="s">
        <v>1540</v>
      </c>
      <c r="C1256" s="5">
        <v>2</v>
      </c>
      <c r="D1256" s="15">
        <v>17523589</v>
      </c>
      <c r="E1256" s="1" t="s">
        <v>2504</v>
      </c>
      <c r="F1256" s="18">
        <v>2154252</v>
      </c>
      <c r="G1256" s="9">
        <v>45837</v>
      </c>
      <c r="H1256" s="1" t="s">
        <v>1513</v>
      </c>
      <c r="I1256" s="12" t="s">
        <v>1518</v>
      </c>
      <c r="J1256" s="6">
        <v>307387</v>
      </c>
      <c r="K1256" s="3">
        <v>15307387</v>
      </c>
    </row>
    <row r="1257" spans="1:11" x14ac:dyDescent="0.25">
      <c r="A1257" s="1" t="s">
        <v>2339</v>
      </c>
      <c r="B1257" s="1" t="s">
        <v>1523</v>
      </c>
      <c r="C1257" s="5">
        <v>4</v>
      </c>
      <c r="D1257" s="14">
        <v>34385778</v>
      </c>
      <c r="E1257" s="1" t="s">
        <v>1538</v>
      </c>
      <c r="F1257" s="17">
        <v>5665292</v>
      </c>
      <c r="G1257" s="8">
        <v>45666</v>
      </c>
      <c r="H1257" s="1" t="s">
        <v>1513</v>
      </c>
      <c r="I1257" s="11" t="s">
        <v>2511</v>
      </c>
      <c r="J1257" s="6">
        <v>57441</v>
      </c>
      <c r="K1257" s="3">
        <v>1557441</v>
      </c>
    </row>
    <row r="1258" spans="1:11" x14ac:dyDescent="0.25">
      <c r="A1258" s="1" t="s">
        <v>2340</v>
      </c>
      <c r="B1258" s="1" t="s">
        <v>1527</v>
      </c>
      <c r="C1258" s="5">
        <v>2</v>
      </c>
      <c r="D1258" s="15">
        <v>4576773</v>
      </c>
      <c r="E1258" s="1" t="s">
        <v>1515</v>
      </c>
      <c r="F1258" s="18">
        <v>143351</v>
      </c>
      <c r="G1258" s="9">
        <v>45552</v>
      </c>
      <c r="H1258" s="1" t="s">
        <v>1522</v>
      </c>
      <c r="I1258" s="12" t="s">
        <v>2507</v>
      </c>
      <c r="J1258" s="6">
        <v>88668</v>
      </c>
      <c r="K1258" s="3">
        <v>15088668</v>
      </c>
    </row>
    <row r="1259" spans="1:11" x14ac:dyDescent="0.25">
      <c r="A1259" s="1" t="s">
        <v>2341</v>
      </c>
      <c r="B1259" s="1" t="s">
        <v>1532</v>
      </c>
      <c r="C1259" s="5">
        <v>3</v>
      </c>
      <c r="D1259" s="14">
        <v>10233543</v>
      </c>
      <c r="E1259" s="1" t="s">
        <v>2504</v>
      </c>
      <c r="F1259" s="17">
        <v>1085724</v>
      </c>
      <c r="G1259" s="8">
        <v>45740</v>
      </c>
      <c r="H1259" s="1" t="s">
        <v>2515</v>
      </c>
      <c r="I1259" s="11" t="s">
        <v>2507</v>
      </c>
      <c r="J1259" s="6">
        <v>182956</v>
      </c>
      <c r="K1259" s="3">
        <v>15182956</v>
      </c>
    </row>
    <row r="1260" spans="1:11" x14ac:dyDescent="0.25">
      <c r="A1260" s="1" t="s">
        <v>2342</v>
      </c>
      <c r="B1260" s="1" t="s">
        <v>1536</v>
      </c>
      <c r="C1260" s="5">
        <v>4</v>
      </c>
      <c r="D1260" s="15">
        <v>27596204</v>
      </c>
      <c r="E1260" s="1" t="s">
        <v>2504</v>
      </c>
      <c r="F1260" s="18">
        <v>4118136</v>
      </c>
      <c r="G1260" s="9">
        <v>45556</v>
      </c>
      <c r="H1260" s="1" t="s">
        <v>1522</v>
      </c>
      <c r="I1260" s="12" t="s">
        <v>2511</v>
      </c>
      <c r="J1260" s="6">
        <v>469561</v>
      </c>
      <c r="K1260" s="3">
        <v>15469561</v>
      </c>
    </row>
    <row r="1261" spans="1:11" x14ac:dyDescent="0.25">
      <c r="A1261" s="1" t="s">
        <v>2343</v>
      </c>
      <c r="B1261" s="1" t="s">
        <v>1514</v>
      </c>
      <c r="C1261" s="5">
        <v>5</v>
      </c>
      <c r="D1261" s="14">
        <v>20037471</v>
      </c>
      <c r="E1261" s="1" t="s">
        <v>1538</v>
      </c>
      <c r="F1261" s="17">
        <v>1817449</v>
      </c>
      <c r="G1261" s="8">
        <v>45768</v>
      </c>
      <c r="H1261" s="1" t="s">
        <v>1519</v>
      </c>
      <c r="I1261" s="11" t="s">
        <v>1518</v>
      </c>
      <c r="J1261" s="6">
        <v>36440</v>
      </c>
      <c r="K1261" s="3">
        <v>1536440</v>
      </c>
    </row>
    <row r="1262" spans="1:11" x14ac:dyDescent="0.25">
      <c r="A1262" s="1" t="s">
        <v>2344</v>
      </c>
      <c r="B1262" s="1" t="s">
        <v>1532</v>
      </c>
      <c r="C1262" s="5">
        <v>2</v>
      </c>
      <c r="D1262" s="15">
        <v>12123867</v>
      </c>
      <c r="E1262" s="1" t="s">
        <v>1538</v>
      </c>
      <c r="F1262" s="18">
        <v>2381454</v>
      </c>
      <c r="G1262" s="9">
        <v>45764</v>
      </c>
      <c r="H1262" s="1" t="s">
        <v>1516</v>
      </c>
      <c r="I1262" s="12" t="s">
        <v>1518</v>
      </c>
      <c r="J1262" s="6">
        <v>194848</v>
      </c>
      <c r="K1262" s="3">
        <v>15194848</v>
      </c>
    </row>
    <row r="1263" spans="1:11" x14ac:dyDescent="0.25">
      <c r="A1263" s="1" t="s">
        <v>2957</v>
      </c>
      <c r="B1263" s="1" t="s">
        <v>1536</v>
      </c>
      <c r="C1263" s="5">
        <v>1</v>
      </c>
      <c r="D1263" s="14">
        <v>46833398</v>
      </c>
      <c r="E1263" s="1" t="s">
        <v>2504</v>
      </c>
      <c r="F1263" s="17">
        <v>4593702</v>
      </c>
      <c r="G1263" s="8">
        <v>45525</v>
      </c>
      <c r="H1263" s="1" t="s">
        <v>1516</v>
      </c>
      <c r="I1263" s="11" t="s">
        <v>1521</v>
      </c>
      <c r="J1263" s="6">
        <v>844794</v>
      </c>
      <c r="K1263" s="3">
        <v>15844794</v>
      </c>
    </row>
    <row r="1264" spans="1:11" x14ac:dyDescent="0.25">
      <c r="A1264" s="1" t="s">
        <v>2345</v>
      </c>
      <c r="B1264" s="1" t="s">
        <v>1532</v>
      </c>
      <c r="C1264" s="5">
        <v>2</v>
      </c>
      <c r="D1264" s="15">
        <v>36638505</v>
      </c>
      <c r="E1264" s="1" t="s">
        <v>2504</v>
      </c>
      <c r="F1264" s="18">
        <v>3566353</v>
      </c>
      <c r="G1264" s="9">
        <v>45858</v>
      </c>
      <c r="H1264" s="1" t="s">
        <v>2512</v>
      </c>
      <c r="I1264" s="12" t="s">
        <v>1512</v>
      </c>
      <c r="J1264" s="6">
        <v>661443</v>
      </c>
      <c r="K1264" s="3">
        <v>15661443</v>
      </c>
    </row>
    <row r="1265" spans="1:11" x14ac:dyDescent="0.25">
      <c r="A1265" s="1" t="s">
        <v>2958</v>
      </c>
      <c r="B1265" s="1" t="s">
        <v>1525</v>
      </c>
      <c r="C1265" s="5">
        <v>2</v>
      </c>
      <c r="D1265" s="14">
        <v>13067841</v>
      </c>
      <c r="E1265" s="1" t="s">
        <v>1515</v>
      </c>
      <c r="F1265" s="17">
        <v>1843171</v>
      </c>
      <c r="G1265" s="8">
        <v>45798</v>
      </c>
      <c r="H1265" s="1" t="s">
        <v>2512</v>
      </c>
      <c r="I1265" s="11" t="s">
        <v>1512</v>
      </c>
      <c r="J1265" s="6">
        <v>224493</v>
      </c>
      <c r="K1265" s="3">
        <v>15224493</v>
      </c>
    </row>
    <row r="1266" spans="1:11" x14ac:dyDescent="0.25">
      <c r="A1266" s="1" t="s">
        <v>2346</v>
      </c>
      <c r="B1266" s="1" t="s">
        <v>1514</v>
      </c>
      <c r="C1266" s="5">
        <v>3</v>
      </c>
      <c r="D1266" s="15">
        <v>6084612</v>
      </c>
      <c r="E1266" s="1" t="s">
        <v>1538</v>
      </c>
      <c r="F1266" s="18">
        <v>136240</v>
      </c>
      <c r="G1266" s="9">
        <v>45567</v>
      </c>
      <c r="H1266" s="1" t="s">
        <v>1543</v>
      </c>
      <c r="I1266" s="12" t="s">
        <v>2507</v>
      </c>
      <c r="J1266" s="6">
        <v>94444</v>
      </c>
      <c r="K1266" s="3">
        <v>15094444</v>
      </c>
    </row>
    <row r="1267" spans="1:11" x14ac:dyDescent="0.25">
      <c r="A1267" s="1" t="s">
        <v>2347</v>
      </c>
      <c r="B1267" s="1" t="s">
        <v>1527</v>
      </c>
      <c r="C1267" s="5">
        <v>4</v>
      </c>
      <c r="D1267" s="14">
        <v>44402871</v>
      </c>
      <c r="E1267" s="1" t="s">
        <v>1515</v>
      </c>
      <c r="F1267" s="17">
        <v>5261045</v>
      </c>
      <c r="G1267" s="8">
        <v>45759</v>
      </c>
      <c r="H1267" s="1" t="s">
        <v>1543</v>
      </c>
      <c r="I1267" s="11" t="s">
        <v>2507</v>
      </c>
      <c r="J1267" s="6">
        <v>782837</v>
      </c>
      <c r="K1267" s="3">
        <v>15782837</v>
      </c>
    </row>
    <row r="1268" spans="1:11" x14ac:dyDescent="0.25">
      <c r="A1268" s="1" t="s">
        <v>2348</v>
      </c>
      <c r="B1268" s="1" t="s">
        <v>1540</v>
      </c>
      <c r="C1268" s="5">
        <v>2</v>
      </c>
      <c r="D1268" s="15">
        <v>40789072</v>
      </c>
      <c r="E1268" s="1" t="s">
        <v>1515</v>
      </c>
      <c r="F1268" s="18">
        <v>7655528</v>
      </c>
      <c r="G1268" s="9">
        <v>45674</v>
      </c>
      <c r="H1268" s="1" t="s">
        <v>1513</v>
      </c>
      <c r="I1268" s="12" t="s">
        <v>1521</v>
      </c>
      <c r="J1268" s="6">
        <v>662671</v>
      </c>
      <c r="K1268" s="3">
        <v>15662671</v>
      </c>
    </row>
    <row r="1269" spans="1:11" x14ac:dyDescent="0.25">
      <c r="A1269" s="1" t="s">
        <v>2349</v>
      </c>
      <c r="B1269" s="1" t="s">
        <v>1534</v>
      </c>
      <c r="C1269" s="5">
        <v>5</v>
      </c>
      <c r="D1269" s="14">
        <v>3569545</v>
      </c>
      <c r="E1269" s="1" t="s">
        <v>1515</v>
      </c>
      <c r="F1269" s="17">
        <v>7962684</v>
      </c>
      <c r="G1269" s="8">
        <v>45630</v>
      </c>
      <c r="H1269" s="1" t="s">
        <v>1513</v>
      </c>
      <c r="I1269" s="11" t="s">
        <v>1512</v>
      </c>
      <c r="J1269" s="6">
        <v>554655</v>
      </c>
      <c r="K1269" s="3">
        <v>15554655</v>
      </c>
    </row>
    <row r="1270" spans="1:11" x14ac:dyDescent="0.25">
      <c r="A1270" s="1" t="s">
        <v>2350</v>
      </c>
      <c r="B1270" s="1" t="s">
        <v>1536</v>
      </c>
      <c r="C1270" s="5">
        <v>4</v>
      </c>
      <c r="D1270" s="15">
        <v>33935421</v>
      </c>
      <c r="E1270" s="1" t="s">
        <v>1515</v>
      </c>
      <c r="F1270" s="18">
        <v>1071885</v>
      </c>
      <c r="G1270" s="9">
        <v>45748</v>
      </c>
      <c r="H1270" s="1" t="s">
        <v>1519</v>
      </c>
      <c r="I1270" s="12" t="s">
        <v>2509</v>
      </c>
      <c r="J1270" s="6">
        <v>657271</v>
      </c>
      <c r="K1270" s="3">
        <v>15657271</v>
      </c>
    </row>
    <row r="1271" spans="1:11" x14ac:dyDescent="0.25">
      <c r="A1271" s="1" t="s">
        <v>2351</v>
      </c>
      <c r="B1271" s="1" t="s">
        <v>1525</v>
      </c>
      <c r="C1271" s="5">
        <v>1</v>
      </c>
      <c r="D1271" s="14">
        <v>49660702</v>
      </c>
      <c r="E1271" s="1" t="s">
        <v>1515</v>
      </c>
      <c r="F1271" s="17">
        <v>337246</v>
      </c>
      <c r="G1271" s="8">
        <v>45682</v>
      </c>
      <c r="H1271" s="1" t="s">
        <v>1516</v>
      </c>
      <c r="I1271" s="11" t="s">
        <v>2507</v>
      </c>
      <c r="J1271" s="6">
        <v>925765</v>
      </c>
      <c r="K1271" s="3">
        <v>15925765</v>
      </c>
    </row>
    <row r="1272" spans="1:11" x14ac:dyDescent="0.25">
      <c r="A1272" s="1" t="s">
        <v>2352</v>
      </c>
      <c r="B1272" s="1" t="s">
        <v>1540</v>
      </c>
      <c r="C1272" s="5">
        <v>1</v>
      </c>
      <c r="D1272" s="15">
        <v>49750685</v>
      </c>
      <c r="E1272" s="1" t="s">
        <v>1538</v>
      </c>
      <c r="F1272" s="18">
        <v>6398064</v>
      </c>
      <c r="G1272" s="9">
        <v>45511</v>
      </c>
      <c r="H1272" s="1" t="s">
        <v>1522</v>
      </c>
      <c r="I1272" s="12" t="s">
        <v>2511</v>
      </c>
      <c r="J1272" s="6">
        <v>867052</v>
      </c>
      <c r="K1272" s="3">
        <v>15867052</v>
      </c>
    </row>
    <row r="1273" spans="1:11" x14ac:dyDescent="0.25">
      <c r="A1273" s="1" t="s">
        <v>2959</v>
      </c>
      <c r="B1273" s="1" t="s">
        <v>1534</v>
      </c>
      <c r="C1273" s="5">
        <v>4</v>
      </c>
      <c r="D1273" s="14">
        <v>18158029</v>
      </c>
      <c r="E1273" s="1" t="s">
        <v>1538</v>
      </c>
      <c r="F1273" s="17">
        <v>372086</v>
      </c>
      <c r="G1273" s="8">
        <v>45721</v>
      </c>
      <c r="H1273" s="1" t="s">
        <v>1522</v>
      </c>
      <c r="I1273" s="11" t="s">
        <v>2507</v>
      </c>
      <c r="J1273" s="6">
        <v>288743</v>
      </c>
      <c r="K1273" s="3">
        <v>15288743</v>
      </c>
    </row>
    <row r="1274" spans="1:11" x14ac:dyDescent="0.25">
      <c r="A1274" s="1" t="s">
        <v>2353</v>
      </c>
      <c r="B1274" s="1" t="s">
        <v>1545</v>
      </c>
      <c r="C1274" s="5">
        <v>1</v>
      </c>
      <c r="D1274" s="15">
        <v>41410253</v>
      </c>
      <c r="E1274" s="1" t="s">
        <v>2504</v>
      </c>
      <c r="F1274" s="18">
        <v>5380973</v>
      </c>
      <c r="G1274" s="9">
        <v>45539</v>
      </c>
      <c r="H1274" s="1" t="s">
        <v>1516</v>
      </c>
      <c r="I1274" s="12" t="s">
        <v>2509</v>
      </c>
      <c r="J1274" s="6">
        <v>720586</v>
      </c>
      <c r="K1274" s="3">
        <v>15720586</v>
      </c>
    </row>
    <row r="1275" spans="1:11" x14ac:dyDescent="0.25">
      <c r="A1275" s="1" t="s">
        <v>2960</v>
      </c>
      <c r="B1275" s="1" t="s">
        <v>1517</v>
      </c>
      <c r="C1275" s="5">
        <v>4</v>
      </c>
      <c r="D1275" s="14">
        <v>12007448</v>
      </c>
      <c r="E1275" s="1" t="s">
        <v>2504</v>
      </c>
      <c r="F1275" s="17">
        <v>1279458</v>
      </c>
      <c r="G1275" s="8">
        <v>45547</v>
      </c>
      <c r="H1275" s="1" t="s">
        <v>2512</v>
      </c>
      <c r="I1275" s="11" t="s">
        <v>1518</v>
      </c>
      <c r="J1275" s="6">
        <v>21456</v>
      </c>
      <c r="K1275" s="3">
        <v>1521456</v>
      </c>
    </row>
    <row r="1276" spans="1:11" x14ac:dyDescent="0.25">
      <c r="A1276" s="1" t="s">
        <v>2961</v>
      </c>
      <c r="B1276" s="1" t="s">
        <v>1523</v>
      </c>
      <c r="C1276" s="5">
        <v>3</v>
      </c>
      <c r="D1276" s="15">
        <v>4780219</v>
      </c>
      <c r="E1276" s="1" t="s">
        <v>2504</v>
      </c>
      <c r="F1276" s="18">
        <v>1064153</v>
      </c>
      <c r="G1276" s="9">
        <v>45663</v>
      </c>
      <c r="H1276" s="1" t="s">
        <v>1519</v>
      </c>
      <c r="I1276" s="12" t="s">
        <v>2509</v>
      </c>
      <c r="J1276" s="6">
        <v>74321</v>
      </c>
      <c r="K1276" s="3">
        <v>15074321</v>
      </c>
    </row>
    <row r="1277" spans="1:11" x14ac:dyDescent="0.25">
      <c r="A1277" s="1" t="s">
        <v>2354</v>
      </c>
      <c r="B1277" s="1" t="s">
        <v>1532</v>
      </c>
      <c r="C1277" s="5">
        <v>3</v>
      </c>
      <c r="D1277" s="14">
        <v>30915889</v>
      </c>
      <c r="E1277" s="1" t="s">
        <v>1538</v>
      </c>
      <c r="F1277" s="17">
        <v>341022</v>
      </c>
      <c r="G1277" s="8">
        <v>45676</v>
      </c>
      <c r="H1277" s="1" t="s">
        <v>2519</v>
      </c>
      <c r="I1277" s="11" t="s">
        <v>1521</v>
      </c>
      <c r="J1277" s="6">
        <v>550113</v>
      </c>
      <c r="K1277" s="3">
        <v>15550113</v>
      </c>
    </row>
    <row r="1278" spans="1:11" x14ac:dyDescent="0.25">
      <c r="A1278" s="1" t="s">
        <v>2355</v>
      </c>
      <c r="B1278" s="1" t="s">
        <v>1532</v>
      </c>
      <c r="C1278" s="5">
        <v>1</v>
      </c>
      <c r="D1278" s="15">
        <v>45245414</v>
      </c>
      <c r="E1278" s="1" t="s">
        <v>2504</v>
      </c>
      <c r="F1278" s="18">
        <v>4774081</v>
      </c>
      <c r="G1278" s="9">
        <v>45714</v>
      </c>
      <c r="H1278" s="1" t="s">
        <v>2512</v>
      </c>
      <c r="I1278" s="12" t="s">
        <v>2511</v>
      </c>
      <c r="J1278" s="6">
        <v>809427</v>
      </c>
      <c r="K1278" s="3">
        <v>15809427</v>
      </c>
    </row>
    <row r="1279" spans="1:11" x14ac:dyDescent="0.25">
      <c r="A1279" s="1" t="s">
        <v>2962</v>
      </c>
      <c r="B1279" s="1" t="s">
        <v>1525</v>
      </c>
      <c r="C1279" s="5">
        <v>4</v>
      </c>
      <c r="D1279" s="14">
        <v>17285197</v>
      </c>
      <c r="E1279" s="1" t="s">
        <v>2504</v>
      </c>
      <c r="F1279" s="17">
        <v>1989294</v>
      </c>
      <c r="G1279" s="8">
        <v>45552</v>
      </c>
      <c r="H1279" s="1" t="s">
        <v>1522</v>
      </c>
      <c r="I1279" s="11" t="s">
        <v>1518</v>
      </c>
      <c r="J1279" s="6">
        <v>305918</v>
      </c>
      <c r="K1279" s="3">
        <v>15305918</v>
      </c>
    </row>
    <row r="1280" spans="1:11" x14ac:dyDescent="0.25">
      <c r="A1280" s="1" t="s">
        <v>2963</v>
      </c>
      <c r="B1280" s="1" t="s">
        <v>1545</v>
      </c>
      <c r="C1280" s="5">
        <v>1</v>
      </c>
      <c r="D1280" s="15">
        <v>25012012</v>
      </c>
      <c r="E1280" s="1" t="s">
        <v>1515</v>
      </c>
      <c r="F1280" s="18">
        <v>1064648</v>
      </c>
      <c r="G1280" s="9">
        <v>45792</v>
      </c>
      <c r="H1280" s="1" t="s">
        <v>2515</v>
      </c>
      <c r="I1280" s="12" t="s">
        <v>1518</v>
      </c>
      <c r="J1280" s="6">
        <v>478947</v>
      </c>
      <c r="K1280" s="3">
        <v>15478947</v>
      </c>
    </row>
    <row r="1281" spans="1:11" x14ac:dyDescent="0.25">
      <c r="A1281" s="1" t="s">
        <v>2356</v>
      </c>
      <c r="B1281" s="1" t="s">
        <v>1523</v>
      </c>
      <c r="C1281" s="5">
        <v>5</v>
      </c>
      <c r="D1281" s="14">
        <v>1833653</v>
      </c>
      <c r="E1281" s="1" t="s">
        <v>1515</v>
      </c>
      <c r="F1281" s="17">
        <v>141123</v>
      </c>
      <c r="G1281" s="8">
        <v>45534</v>
      </c>
      <c r="H1281" s="1" t="s">
        <v>2508</v>
      </c>
      <c r="I1281" s="11" t="s">
        <v>1512</v>
      </c>
      <c r="J1281" s="6">
        <v>338506</v>
      </c>
      <c r="K1281" s="3">
        <v>15338506</v>
      </c>
    </row>
    <row r="1282" spans="1:11" x14ac:dyDescent="0.25">
      <c r="A1282" s="1" t="s">
        <v>2357</v>
      </c>
      <c r="B1282" s="1" t="s">
        <v>1545</v>
      </c>
      <c r="C1282" s="5">
        <v>2</v>
      </c>
      <c r="D1282" s="15">
        <v>17366005</v>
      </c>
      <c r="E1282" s="1" t="s">
        <v>1515</v>
      </c>
      <c r="F1282" s="18">
        <v>406375</v>
      </c>
      <c r="G1282" s="9">
        <v>45728</v>
      </c>
      <c r="H1282" s="1" t="s">
        <v>1522</v>
      </c>
      <c r="I1282" s="12" t="s">
        <v>1512</v>
      </c>
      <c r="J1282" s="6">
        <v>266045</v>
      </c>
      <c r="K1282" s="3">
        <v>15266045</v>
      </c>
    </row>
    <row r="1283" spans="1:11" x14ac:dyDescent="0.25">
      <c r="A1283" s="1" t="s">
        <v>2358</v>
      </c>
      <c r="B1283" s="1" t="s">
        <v>1540</v>
      </c>
      <c r="C1283" s="5">
        <v>1</v>
      </c>
      <c r="D1283" s="14">
        <v>39555955</v>
      </c>
      <c r="E1283" s="1" t="s">
        <v>1538</v>
      </c>
      <c r="F1283" s="17">
        <v>2400362</v>
      </c>
      <c r="G1283" s="8">
        <v>45791</v>
      </c>
      <c r="H1283" s="1" t="s">
        <v>1513</v>
      </c>
      <c r="I1283" s="11" t="s">
        <v>1512</v>
      </c>
      <c r="J1283" s="6">
        <v>743112</v>
      </c>
      <c r="K1283" s="3">
        <v>15743112</v>
      </c>
    </row>
    <row r="1284" spans="1:11" x14ac:dyDescent="0.25">
      <c r="A1284" s="1" t="s">
        <v>2359</v>
      </c>
      <c r="B1284" s="1" t="s">
        <v>1523</v>
      </c>
      <c r="C1284" s="5">
        <v>3</v>
      </c>
      <c r="D1284" s="15">
        <v>29320771</v>
      </c>
      <c r="E1284" s="1" t="s">
        <v>1515</v>
      </c>
      <c r="F1284" s="18">
        <v>5483778</v>
      </c>
      <c r="G1284" s="9">
        <v>45623</v>
      </c>
      <c r="H1284" s="1" t="s">
        <v>1543</v>
      </c>
      <c r="I1284" s="12" t="s">
        <v>2509</v>
      </c>
      <c r="J1284" s="6">
        <v>47674</v>
      </c>
      <c r="K1284" s="3">
        <v>1547674</v>
      </c>
    </row>
    <row r="1285" spans="1:11" x14ac:dyDescent="0.25">
      <c r="A1285" s="1" t="s">
        <v>2360</v>
      </c>
      <c r="B1285" s="1" t="s">
        <v>1536</v>
      </c>
      <c r="C1285" s="5">
        <v>2</v>
      </c>
      <c r="D1285" s="14">
        <v>1639912</v>
      </c>
      <c r="E1285" s="1" t="s">
        <v>2504</v>
      </c>
      <c r="F1285" s="17">
        <v>185441</v>
      </c>
      <c r="G1285" s="8">
        <v>45808</v>
      </c>
      <c r="H1285" s="1" t="s">
        <v>2515</v>
      </c>
      <c r="I1285" s="11" t="s">
        <v>1512</v>
      </c>
      <c r="J1285" s="6">
        <v>29089</v>
      </c>
      <c r="K1285" s="3">
        <v>15029089</v>
      </c>
    </row>
    <row r="1286" spans="1:11" x14ac:dyDescent="0.25">
      <c r="A1286" s="1" t="s">
        <v>2361</v>
      </c>
      <c r="B1286" s="1" t="s">
        <v>1517</v>
      </c>
      <c r="C1286" s="5">
        <v>5</v>
      </c>
      <c r="D1286" s="15">
        <v>1336342</v>
      </c>
      <c r="E1286" s="1" t="s">
        <v>1515</v>
      </c>
      <c r="F1286" s="18">
        <v>89544</v>
      </c>
      <c r="G1286" s="9">
        <v>45674</v>
      </c>
      <c r="H1286" s="1" t="s">
        <v>1543</v>
      </c>
      <c r="I1286" s="12" t="s">
        <v>1512</v>
      </c>
      <c r="J1286" s="6">
        <v>24936</v>
      </c>
      <c r="K1286" s="3">
        <v>15024936</v>
      </c>
    </row>
    <row r="1287" spans="1:11" x14ac:dyDescent="0.25">
      <c r="A1287" s="1" t="s">
        <v>2362</v>
      </c>
      <c r="B1287" s="1" t="s">
        <v>1514</v>
      </c>
      <c r="C1287" s="5">
        <v>4</v>
      </c>
      <c r="D1287" s="14">
        <v>33034239</v>
      </c>
      <c r="E1287" s="1" t="s">
        <v>1538</v>
      </c>
      <c r="F1287" s="17">
        <v>1165685</v>
      </c>
      <c r="G1287" s="8">
        <v>45788</v>
      </c>
      <c r="H1287" s="1" t="s">
        <v>2515</v>
      </c>
      <c r="I1287" s="11" t="s">
        <v>2511</v>
      </c>
      <c r="J1287" s="6">
        <v>637371</v>
      </c>
      <c r="K1287" s="3">
        <v>15637371</v>
      </c>
    </row>
    <row r="1288" spans="1:11" x14ac:dyDescent="0.25">
      <c r="A1288" s="1" t="s">
        <v>2363</v>
      </c>
      <c r="B1288" s="1" t="s">
        <v>1540</v>
      </c>
      <c r="C1288" s="5">
        <v>4</v>
      </c>
      <c r="D1288" s="15">
        <v>45249408</v>
      </c>
      <c r="E1288" s="1" t="s">
        <v>1515</v>
      </c>
      <c r="F1288" s="18">
        <v>146374</v>
      </c>
      <c r="G1288" s="9">
        <v>45705</v>
      </c>
      <c r="H1288" s="1" t="s">
        <v>2512</v>
      </c>
      <c r="I1288" s="12" t="s">
        <v>2507</v>
      </c>
      <c r="J1288" s="6">
        <v>875713</v>
      </c>
      <c r="K1288" s="3">
        <v>15875713</v>
      </c>
    </row>
    <row r="1289" spans="1:11" x14ac:dyDescent="0.25">
      <c r="A1289" s="1" t="s">
        <v>2364</v>
      </c>
      <c r="B1289" s="1" t="s">
        <v>1525</v>
      </c>
      <c r="C1289" s="5">
        <v>2</v>
      </c>
      <c r="D1289" s="14">
        <v>40613588</v>
      </c>
      <c r="E1289" s="1" t="s">
        <v>1515</v>
      </c>
      <c r="F1289" s="17">
        <v>923499</v>
      </c>
      <c r="G1289" s="8">
        <v>45753</v>
      </c>
      <c r="H1289" s="1" t="s">
        <v>1522</v>
      </c>
      <c r="I1289" s="11" t="s">
        <v>2509</v>
      </c>
      <c r="J1289" s="6">
        <v>627572</v>
      </c>
      <c r="K1289" s="3">
        <v>15627572</v>
      </c>
    </row>
    <row r="1290" spans="1:11" x14ac:dyDescent="0.25">
      <c r="A1290" s="1" t="s">
        <v>2964</v>
      </c>
      <c r="B1290" s="1" t="s">
        <v>1545</v>
      </c>
      <c r="C1290" s="5">
        <v>5</v>
      </c>
      <c r="D1290" s="15">
        <v>25123752</v>
      </c>
      <c r="E1290" s="1" t="s">
        <v>1538</v>
      </c>
      <c r="F1290" s="18">
        <v>324683</v>
      </c>
      <c r="G1290" s="9">
        <v>45508</v>
      </c>
      <c r="H1290" s="1" t="s">
        <v>1516</v>
      </c>
      <c r="I1290" s="12" t="s">
        <v>2509</v>
      </c>
      <c r="J1290" s="6">
        <v>495981</v>
      </c>
      <c r="K1290" s="3">
        <v>15495981</v>
      </c>
    </row>
    <row r="1291" spans="1:11" x14ac:dyDescent="0.25">
      <c r="A1291" s="1" t="s">
        <v>2365</v>
      </c>
      <c r="B1291" s="1" t="s">
        <v>1527</v>
      </c>
      <c r="C1291" s="5">
        <v>3</v>
      </c>
      <c r="D1291" s="14">
        <v>40146534</v>
      </c>
      <c r="E1291" s="1" t="s">
        <v>1538</v>
      </c>
      <c r="F1291" s="17">
        <v>3898178</v>
      </c>
      <c r="G1291" s="8">
        <v>45653</v>
      </c>
      <c r="H1291" s="1" t="s">
        <v>1519</v>
      </c>
      <c r="I1291" s="11" t="s">
        <v>1512</v>
      </c>
      <c r="J1291" s="6">
        <v>724967</v>
      </c>
      <c r="K1291" s="3">
        <v>15724967</v>
      </c>
    </row>
    <row r="1292" spans="1:11" x14ac:dyDescent="0.25">
      <c r="A1292" s="1" t="s">
        <v>2366</v>
      </c>
      <c r="B1292" s="1" t="s">
        <v>1523</v>
      </c>
      <c r="C1292" s="5">
        <v>4</v>
      </c>
      <c r="D1292" s="15">
        <v>12561701</v>
      </c>
      <c r="E1292" s="1" t="s">
        <v>1515</v>
      </c>
      <c r="F1292" s="18">
        <v>1376352</v>
      </c>
      <c r="G1292" s="9">
        <v>45748</v>
      </c>
      <c r="H1292" s="1" t="s">
        <v>2515</v>
      </c>
      <c r="I1292" s="12" t="s">
        <v>2509</v>
      </c>
      <c r="J1292" s="6">
        <v>223707</v>
      </c>
      <c r="K1292" s="3">
        <v>15223707</v>
      </c>
    </row>
    <row r="1293" spans="1:11" x14ac:dyDescent="0.25">
      <c r="A1293" s="1" t="s">
        <v>2965</v>
      </c>
      <c r="B1293" s="1" t="s">
        <v>1523</v>
      </c>
      <c r="C1293" s="5">
        <v>1</v>
      </c>
      <c r="D1293" s="14">
        <v>37120012</v>
      </c>
      <c r="E1293" s="1" t="s">
        <v>1515</v>
      </c>
      <c r="F1293" s="17">
        <v>635292</v>
      </c>
      <c r="G1293" s="8">
        <v>45662</v>
      </c>
      <c r="H1293" s="1" t="s">
        <v>2519</v>
      </c>
      <c r="I1293" s="11" t="s">
        <v>2509</v>
      </c>
      <c r="J1293" s="6">
        <v>615342</v>
      </c>
      <c r="K1293" s="3">
        <v>15615342</v>
      </c>
    </row>
    <row r="1294" spans="1:11" x14ac:dyDescent="0.25">
      <c r="A1294" s="1" t="s">
        <v>2367</v>
      </c>
      <c r="B1294" s="1" t="s">
        <v>1527</v>
      </c>
      <c r="C1294" s="5">
        <v>2</v>
      </c>
      <c r="D1294" s="15">
        <v>5324429</v>
      </c>
      <c r="E1294" s="1" t="s">
        <v>1538</v>
      </c>
      <c r="F1294" s="18">
        <v>46602</v>
      </c>
      <c r="G1294" s="9">
        <v>45828</v>
      </c>
      <c r="H1294" s="1" t="s">
        <v>1513</v>
      </c>
      <c r="I1294" s="12" t="s">
        <v>2511</v>
      </c>
      <c r="J1294" s="6">
        <v>97168</v>
      </c>
      <c r="K1294" s="3">
        <v>15097168</v>
      </c>
    </row>
    <row r="1295" spans="1:11" x14ac:dyDescent="0.25">
      <c r="A1295" s="1" t="s">
        <v>2966</v>
      </c>
      <c r="B1295" s="1" t="s">
        <v>1525</v>
      </c>
      <c r="C1295" s="5">
        <v>1</v>
      </c>
      <c r="D1295" s="14">
        <v>31127234</v>
      </c>
      <c r="E1295" s="1" t="s">
        <v>1515</v>
      </c>
      <c r="F1295" s="17">
        <v>2080317</v>
      </c>
      <c r="G1295" s="8">
        <v>45805</v>
      </c>
      <c r="H1295" s="1" t="s">
        <v>1519</v>
      </c>
      <c r="I1295" s="11" t="s">
        <v>1518</v>
      </c>
      <c r="J1295" s="6">
        <v>580938</v>
      </c>
      <c r="K1295" s="3">
        <v>15580938</v>
      </c>
    </row>
    <row r="1296" spans="1:11" x14ac:dyDescent="0.25">
      <c r="A1296" s="1" t="s">
        <v>2967</v>
      </c>
      <c r="B1296" s="1" t="s">
        <v>1523</v>
      </c>
      <c r="C1296" s="5">
        <v>1</v>
      </c>
      <c r="D1296" s="15">
        <v>38566367</v>
      </c>
      <c r="E1296" s="1" t="s">
        <v>1515</v>
      </c>
      <c r="F1296" s="18">
        <v>1990312</v>
      </c>
      <c r="G1296" s="9">
        <v>45635</v>
      </c>
      <c r="H1296" s="1" t="s">
        <v>2510</v>
      </c>
      <c r="I1296" s="12" t="s">
        <v>1518</v>
      </c>
      <c r="J1296" s="6">
        <v>731521</v>
      </c>
      <c r="K1296" s="3">
        <v>15731521</v>
      </c>
    </row>
    <row r="1297" spans="1:11" x14ac:dyDescent="0.25">
      <c r="A1297" s="1" t="s">
        <v>2368</v>
      </c>
      <c r="B1297" s="1" t="s">
        <v>1545</v>
      </c>
      <c r="C1297" s="5">
        <v>5</v>
      </c>
      <c r="D1297" s="14">
        <v>31286922</v>
      </c>
      <c r="E1297" s="1" t="s">
        <v>1538</v>
      </c>
      <c r="F1297" s="17">
        <v>7302267</v>
      </c>
      <c r="G1297" s="8">
        <v>45580</v>
      </c>
      <c r="H1297" s="1" t="s">
        <v>2510</v>
      </c>
      <c r="I1297" s="11" t="s">
        <v>2507</v>
      </c>
      <c r="J1297" s="6">
        <v>479693</v>
      </c>
      <c r="K1297" s="3">
        <v>15479693</v>
      </c>
    </row>
    <row r="1298" spans="1:11" x14ac:dyDescent="0.25">
      <c r="A1298" s="1" t="s">
        <v>2369</v>
      </c>
      <c r="B1298" s="1" t="s">
        <v>1523</v>
      </c>
      <c r="C1298" s="5">
        <v>4</v>
      </c>
      <c r="D1298" s="15">
        <v>27679989</v>
      </c>
      <c r="E1298" s="1" t="s">
        <v>2504</v>
      </c>
      <c r="F1298" s="18">
        <v>2161675</v>
      </c>
      <c r="G1298" s="9">
        <v>45843</v>
      </c>
      <c r="H1298" s="1" t="s">
        <v>1516</v>
      </c>
      <c r="I1298" s="12" t="s">
        <v>2509</v>
      </c>
      <c r="J1298" s="6">
        <v>510366</v>
      </c>
      <c r="K1298" s="3">
        <v>15510366</v>
      </c>
    </row>
    <row r="1299" spans="1:11" x14ac:dyDescent="0.25">
      <c r="A1299" s="1" t="s">
        <v>2370</v>
      </c>
      <c r="B1299" s="1" t="s">
        <v>1525</v>
      </c>
      <c r="C1299" s="5">
        <v>3</v>
      </c>
      <c r="D1299" s="14">
        <v>7265809</v>
      </c>
      <c r="E1299" s="1" t="s">
        <v>1515</v>
      </c>
      <c r="F1299" s="17">
        <v>905346</v>
      </c>
      <c r="G1299" s="8">
        <v>45583</v>
      </c>
      <c r="H1299" s="1" t="s">
        <v>1513</v>
      </c>
      <c r="I1299" s="11" t="s">
        <v>2509</v>
      </c>
      <c r="J1299" s="6">
        <v>127209</v>
      </c>
      <c r="K1299" s="3">
        <v>15127209</v>
      </c>
    </row>
    <row r="1300" spans="1:11" x14ac:dyDescent="0.25">
      <c r="A1300" s="1" t="s">
        <v>2968</v>
      </c>
      <c r="B1300" s="1" t="s">
        <v>1534</v>
      </c>
      <c r="C1300" s="5">
        <v>5</v>
      </c>
      <c r="D1300" s="15">
        <v>19225017</v>
      </c>
      <c r="E1300" s="1" t="s">
        <v>1538</v>
      </c>
      <c r="F1300" s="18">
        <v>1146335</v>
      </c>
      <c r="G1300" s="9">
        <v>45854</v>
      </c>
      <c r="H1300" s="1" t="s">
        <v>2510</v>
      </c>
      <c r="I1300" s="12" t="s">
        <v>1521</v>
      </c>
      <c r="J1300" s="6">
        <v>361574</v>
      </c>
      <c r="K1300" s="3">
        <v>15361574</v>
      </c>
    </row>
    <row r="1301" spans="1:11" x14ac:dyDescent="0.25">
      <c r="A1301" s="1" t="s">
        <v>2969</v>
      </c>
      <c r="B1301" s="1" t="s">
        <v>1517</v>
      </c>
      <c r="C1301" s="5">
        <v>3</v>
      </c>
      <c r="D1301" s="14">
        <v>22009332</v>
      </c>
      <c r="E1301" s="1" t="s">
        <v>1515</v>
      </c>
      <c r="F1301" s="17">
        <v>4113141</v>
      </c>
      <c r="G1301" s="8">
        <v>45744</v>
      </c>
      <c r="H1301" s="1" t="s">
        <v>1522</v>
      </c>
      <c r="I1301" s="11" t="s">
        <v>2507</v>
      </c>
      <c r="J1301" s="6">
        <v>357924</v>
      </c>
      <c r="K1301" s="3">
        <v>15357924</v>
      </c>
    </row>
    <row r="1302" spans="1:11" x14ac:dyDescent="0.25">
      <c r="A1302" s="1" t="s">
        <v>2371</v>
      </c>
      <c r="B1302" s="1" t="s">
        <v>1545</v>
      </c>
      <c r="C1302" s="5">
        <v>3</v>
      </c>
      <c r="D1302" s="15">
        <v>27534997</v>
      </c>
      <c r="E1302" s="1" t="s">
        <v>1538</v>
      </c>
      <c r="F1302" s="18">
        <v>677416</v>
      </c>
      <c r="G1302" s="9">
        <v>45611</v>
      </c>
      <c r="H1302" s="1" t="s">
        <v>2515</v>
      </c>
      <c r="I1302" s="12" t="s">
        <v>1512</v>
      </c>
      <c r="J1302" s="6">
        <v>415217</v>
      </c>
      <c r="K1302" s="3">
        <v>15415217</v>
      </c>
    </row>
    <row r="1303" spans="1:11" x14ac:dyDescent="0.25">
      <c r="A1303" s="1" t="s">
        <v>2970</v>
      </c>
      <c r="B1303" s="1" t="s">
        <v>1545</v>
      </c>
      <c r="C1303" s="5">
        <v>1</v>
      </c>
      <c r="D1303" s="14">
        <v>16336342</v>
      </c>
      <c r="E1303" s="1" t="s">
        <v>2504</v>
      </c>
      <c r="F1303" s="17">
        <v>1313296</v>
      </c>
      <c r="G1303" s="8">
        <v>45723</v>
      </c>
      <c r="H1303" s="1" t="s">
        <v>2512</v>
      </c>
      <c r="I1303" s="11" t="s">
        <v>1512</v>
      </c>
      <c r="J1303" s="6">
        <v>300461</v>
      </c>
      <c r="K1303" s="3">
        <v>15300461</v>
      </c>
    </row>
    <row r="1304" spans="1:11" x14ac:dyDescent="0.25">
      <c r="A1304" s="1" t="s">
        <v>2971</v>
      </c>
      <c r="B1304" s="1" t="s">
        <v>1527</v>
      </c>
      <c r="C1304" s="5">
        <v>3</v>
      </c>
      <c r="D1304" s="15">
        <v>5010316</v>
      </c>
      <c r="E1304" s="1" t="s">
        <v>1515</v>
      </c>
      <c r="F1304" s="18">
        <v>276884</v>
      </c>
      <c r="G1304" s="9">
        <v>45689</v>
      </c>
      <c r="H1304" s="1" t="s">
        <v>1513</v>
      </c>
      <c r="I1304" s="12" t="s">
        <v>1512</v>
      </c>
      <c r="J1304" s="6">
        <v>94669</v>
      </c>
      <c r="K1304" s="3">
        <v>15094669</v>
      </c>
    </row>
    <row r="1305" spans="1:11" x14ac:dyDescent="0.25">
      <c r="A1305" s="1" t="s">
        <v>2372</v>
      </c>
      <c r="B1305" s="1" t="s">
        <v>1523</v>
      </c>
      <c r="C1305" s="5">
        <v>2</v>
      </c>
      <c r="D1305" s="14">
        <v>1424140</v>
      </c>
      <c r="E1305" s="1" t="s">
        <v>2504</v>
      </c>
      <c r="F1305" s="17">
        <v>2152835</v>
      </c>
      <c r="G1305" s="8">
        <v>45603</v>
      </c>
      <c r="H1305" s="1" t="s">
        <v>2512</v>
      </c>
      <c r="I1305" s="11" t="s">
        <v>1521</v>
      </c>
      <c r="J1305" s="6">
        <v>241771</v>
      </c>
      <c r="K1305" s="3">
        <v>15241771</v>
      </c>
    </row>
    <row r="1306" spans="1:11" x14ac:dyDescent="0.25">
      <c r="A1306" s="1" t="s">
        <v>2972</v>
      </c>
      <c r="B1306" s="1" t="s">
        <v>1534</v>
      </c>
      <c r="C1306" s="5">
        <v>1</v>
      </c>
      <c r="D1306" s="15">
        <v>47721622</v>
      </c>
      <c r="E1306" s="1" t="s">
        <v>2504</v>
      </c>
      <c r="F1306" s="18">
        <v>9102374</v>
      </c>
      <c r="G1306" s="9">
        <v>45624</v>
      </c>
      <c r="H1306" s="1" t="s">
        <v>1522</v>
      </c>
      <c r="I1306" s="12" t="s">
        <v>2511</v>
      </c>
      <c r="J1306" s="6">
        <v>772385</v>
      </c>
      <c r="K1306" s="3">
        <v>15772385</v>
      </c>
    </row>
    <row r="1307" spans="1:11" x14ac:dyDescent="0.25">
      <c r="A1307" s="1" t="s">
        <v>2373</v>
      </c>
      <c r="B1307" s="1" t="s">
        <v>1525</v>
      </c>
      <c r="C1307" s="5">
        <v>5</v>
      </c>
      <c r="D1307" s="14">
        <v>6718229</v>
      </c>
      <c r="E1307" s="1" t="s">
        <v>2504</v>
      </c>
      <c r="F1307" s="17">
        <v>371314</v>
      </c>
      <c r="G1307" s="8">
        <v>45847</v>
      </c>
      <c r="H1307" s="1" t="s">
        <v>2519</v>
      </c>
      <c r="I1307" s="11" t="s">
        <v>2509</v>
      </c>
      <c r="J1307" s="6">
        <v>126938</v>
      </c>
      <c r="K1307" s="3">
        <v>15126938</v>
      </c>
    </row>
    <row r="1308" spans="1:11" x14ac:dyDescent="0.25">
      <c r="A1308" s="1" t="s">
        <v>2374</v>
      </c>
      <c r="B1308" s="1" t="s">
        <v>1540</v>
      </c>
      <c r="C1308" s="5">
        <v>4</v>
      </c>
      <c r="D1308" s="15">
        <v>42262733</v>
      </c>
      <c r="E1308" s="1" t="s">
        <v>2504</v>
      </c>
      <c r="F1308" s="18">
        <v>998913</v>
      </c>
      <c r="G1308" s="9">
        <v>45567</v>
      </c>
      <c r="H1308" s="1" t="s">
        <v>1522</v>
      </c>
      <c r="I1308" s="12" t="s">
        <v>1512</v>
      </c>
      <c r="J1308" s="6">
        <v>825276</v>
      </c>
      <c r="K1308" s="3">
        <v>15825276</v>
      </c>
    </row>
    <row r="1309" spans="1:11" x14ac:dyDescent="0.25">
      <c r="A1309" s="1" t="s">
        <v>2973</v>
      </c>
      <c r="B1309" s="1" t="s">
        <v>1523</v>
      </c>
      <c r="C1309" s="5">
        <v>1</v>
      </c>
      <c r="D1309" s="14">
        <v>48197932</v>
      </c>
      <c r="E1309" s="1" t="s">
        <v>2504</v>
      </c>
      <c r="F1309" s="17">
        <v>3918446</v>
      </c>
      <c r="G1309" s="8">
        <v>45617</v>
      </c>
      <c r="H1309" s="1" t="s">
        <v>1519</v>
      </c>
      <c r="I1309" s="11" t="s">
        <v>2511</v>
      </c>
      <c r="J1309" s="6">
        <v>88559</v>
      </c>
      <c r="K1309" s="3">
        <v>1588559</v>
      </c>
    </row>
    <row r="1310" spans="1:11" x14ac:dyDescent="0.25">
      <c r="A1310" s="1" t="s">
        <v>2375</v>
      </c>
      <c r="B1310" s="1" t="s">
        <v>1534</v>
      </c>
      <c r="C1310" s="5">
        <v>3</v>
      </c>
      <c r="D1310" s="15">
        <v>46660318</v>
      </c>
      <c r="E1310" s="1" t="s">
        <v>2504</v>
      </c>
      <c r="F1310" s="18">
        <v>595493</v>
      </c>
      <c r="G1310" s="9">
        <v>45574</v>
      </c>
      <c r="H1310" s="1" t="s">
        <v>1519</v>
      </c>
      <c r="I1310" s="12" t="s">
        <v>2511</v>
      </c>
      <c r="J1310" s="6">
        <v>921297</v>
      </c>
      <c r="K1310" s="3">
        <v>15921297</v>
      </c>
    </row>
    <row r="1311" spans="1:11" x14ac:dyDescent="0.25">
      <c r="A1311" s="1" t="s">
        <v>2974</v>
      </c>
      <c r="B1311" s="1" t="s">
        <v>1545</v>
      </c>
      <c r="C1311" s="5">
        <v>1</v>
      </c>
      <c r="D1311" s="14">
        <v>37468776</v>
      </c>
      <c r="E1311" s="1" t="s">
        <v>2504</v>
      </c>
      <c r="F1311" s="17">
        <v>136864</v>
      </c>
      <c r="G1311" s="8">
        <v>45800</v>
      </c>
      <c r="H1311" s="1" t="s">
        <v>2512</v>
      </c>
      <c r="I1311" s="11" t="s">
        <v>1512</v>
      </c>
      <c r="J1311" s="6">
        <v>722003</v>
      </c>
      <c r="K1311" s="3">
        <v>15722003</v>
      </c>
    </row>
    <row r="1312" spans="1:11" x14ac:dyDescent="0.25">
      <c r="A1312" s="1" t="s">
        <v>2376</v>
      </c>
      <c r="B1312" s="1" t="s">
        <v>1527</v>
      </c>
      <c r="C1312" s="5">
        <v>3</v>
      </c>
      <c r="D1312" s="15">
        <v>1542670</v>
      </c>
      <c r="E1312" s="1" t="s">
        <v>1538</v>
      </c>
      <c r="F1312" s="18">
        <v>626876</v>
      </c>
      <c r="G1312" s="9">
        <v>45615</v>
      </c>
      <c r="H1312" s="1" t="s">
        <v>1519</v>
      </c>
      <c r="I1312" s="12" t="s">
        <v>2511</v>
      </c>
      <c r="J1312" s="6">
        <v>295996</v>
      </c>
      <c r="K1312" s="3">
        <v>15295996</v>
      </c>
    </row>
    <row r="1313" spans="1:11" x14ac:dyDescent="0.25">
      <c r="A1313" s="1" t="s">
        <v>2377</v>
      </c>
      <c r="B1313" s="1" t="s">
        <v>1532</v>
      </c>
      <c r="C1313" s="5">
        <v>4</v>
      </c>
      <c r="D1313" s="14">
        <v>31753212</v>
      </c>
      <c r="E1313" s="1" t="s">
        <v>1515</v>
      </c>
      <c r="F1313" s="17">
        <v>4056836</v>
      </c>
      <c r="G1313" s="8">
        <v>45667</v>
      </c>
      <c r="H1313" s="1" t="s">
        <v>1516</v>
      </c>
      <c r="I1313" s="11" t="s">
        <v>1512</v>
      </c>
      <c r="J1313" s="6">
        <v>553928</v>
      </c>
      <c r="K1313" s="3">
        <v>15553928</v>
      </c>
    </row>
    <row r="1314" spans="1:11" x14ac:dyDescent="0.25">
      <c r="A1314" s="1" t="s">
        <v>2975</v>
      </c>
      <c r="B1314" s="1" t="s">
        <v>1527</v>
      </c>
      <c r="C1314" s="5">
        <v>1</v>
      </c>
      <c r="D1314" s="15">
        <v>1937083</v>
      </c>
      <c r="E1314" s="1" t="s">
        <v>1515</v>
      </c>
      <c r="F1314" s="18">
        <v>281029</v>
      </c>
      <c r="G1314" s="9">
        <v>45640</v>
      </c>
      <c r="H1314" s="1" t="s">
        <v>1519</v>
      </c>
      <c r="I1314" s="12" t="s">
        <v>1512</v>
      </c>
      <c r="J1314" s="6">
        <v>381796</v>
      </c>
      <c r="K1314" s="3">
        <v>15381796</v>
      </c>
    </row>
    <row r="1315" spans="1:11" x14ac:dyDescent="0.25">
      <c r="A1315" s="1" t="s">
        <v>2378</v>
      </c>
      <c r="B1315" s="1" t="s">
        <v>1545</v>
      </c>
      <c r="C1315" s="5">
        <v>2</v>
      </c>
      <c r="D1315" s="14">
        <v>20189621</v>
      </c>
      <c r="E1315" s="1" t="s">
        <v>1515</v>
      </c>
      <c r="F1315" s="17">
        <v>909197</v>
      </c>
      <c r="G1315" s="8">
        <v>45499</v>
      </c>
      <c r="H1315" s="1" t="s">
        <v>1516</v>
      </c>
      <c r="I1315" s="11" t="s">
        <v>2509</v>
      </c>
      <c r="J1315" s="6">
        <v>385608</v>
      </c>
      <c r="K1315" s="3">
        <v>15385608</v>
      </c>
    </row>
    <row r="1316" spans="1:11" x14ac:dyDescent="0.25">
      <c r="A1316" s="1" t="s">
        <v>2379</v>
      </c>
      <c r="B1316" s="1" t="s">
        <v>1527</v>
      </c>
      <c r="C1316" s="5">
        <v>3</v>
      </c>
      <c r="D1316" s="15">
        <v>14160178</v>
      </c>
      <c r="E1316" s="1" t="s">
        <v>1538</v>
      </c>
      <c r="F1316" s="18">
        <v>506239</v>
      </c>
      <c r="G1316" s="9">
        <v>45516</v>
      </c>
      <c r="H1316" s="1" t="s">
        <v>1522</v>
      </c>
      <c r="I1316" s="12" t="s">
        <v>2509</v>
      </c>
      <c r="J1316" s="6">
        <v>273079</v>
      </c>
      <c r="K1316" s="3">
        <v>15273079</v>
      </c>
    </row>
    <row r="1317" spans="1:11" x14ac:dyDescent="0.25">
      <c r="A1317" s="1" t="s">
        <v>2380</v>
      </c>
      <c r="B1317" s="1" t="s">
        <v>1525</v>
      </c>
      <c r="C1317" s="5">
        <v>1</v>
      </c>
      <c r="D1317" s="14">
        <v>27703985</v>
      </c>
      <c r="E1317" s="1" t="s">
        <v>1515</v>
      </c>
      <c r="F1317" s="17">
        <v>1449048</v>
      </c>
      <c r="G1317" s="8">
        <v>45650</v>
      </c>
      <c r="H1317" s="1" t="s">
        <v>1513</v>
      </c>
      <c r="I1317" s="11" t="s">
        <v>1512</v>
      </c>
      <c r="J1317" s="6">
        <v>525099</v>
      </c>
      <c r="K1317" s="3">
        <v>15525099</v>
      </c>
    </row>
    <row r="1318" spans="1:11" x14ac:dyDescent="0.25">
      <c r="A1318" s="1" t="s">
        <v>2381</v>
      </c>
      <c r="B1318" s="1" t="s">
        <v>1514</v>
      </c>
      <c r="C1318" s="5">
        <v>5</v>
      </c>
      <c r="D1318" s="15">
        <v>19634542</v>
      </c>
      <c r="E1318" s="1" t="s">
        <v>1538</v>
      </c>
      <c r="F1318" s="18">
        <v>419329</v>
      </c>
      <c r="G1318" s="9">
        <v>45509</v>
      </c>
      <c r="H1318" s="1" t="s">
        <v>2512</v>
      </c>
      <c r="I1318" s="12" t="s">
        <v>2509</v>
      </c>
      <c r="J1318" s="6">
        <v>384304</v>
      </c>
      <c r="K1318" s="3">
        <v>15384304</v>
      </c>
    </row>
    <row r="1319" spans="1:11" x14ac:dyDescent="0.25">
      <c r="A1319" s="1" t="s">
        <v>2976</v>
      </c>
      <c r="B1319" s="1" t="s">
        <v>1527</v>
      </c>
      <c r="C1319" s="5">
        <v>4</v>
      </c>
      <c r="D1319" s="14">
        <v>40861222</v>
      </c>
      <c r="E1319" s="1" t="s">
        <v>2504</v>
      </c>
      <c r="F1319" s="17">
        <v>9719887</v>
      </c>
      <c r="G1319" s="8">
        <v>45825</v>
      </c>
      <c r="H1319" s="1" t="s">
        <v>2515</v>
      </c>
      <c r="I1319" s="11" t="s">
        <v>1512</v>
      </c>
      <c r="J1319" s="6">
        <v>622827</v>
      </c>
      <c r="K1319" s="3">
        <v>15622827</v>
      </c>
    </row>
    <row r="1320" spans="1:11" x14ac:dyDescent="0.25">
      <c r="A1320" s="1" t="s">
        <v>2977</v>
      </c>
      <c r="B1320" s="1" t="s">
        <v>1536</v>
      </c>
      <c r="C1320" s="5">
        <v>5</v>
      </c>
      <c r="D1320" s="15">
        <v>3699500</v>
      </c>
      <c r="E1320" s="1" t="s">
        <v>1515</v>
      </c>
      <c r="F1320" s="18">
        <v>671768</v>
      </c>
      <c r="G1320" s="9">
        <v>45720</v>
      </c>
      <c r="H1320" s="1" t="s">
        <v>2515</v>
      </c>
      <c r="I1320" s="12" t="s">
        <v>1518</v>
      </c>
      <c r="J1320" s="6">
        <v>726465</v>
      </c>
      <c r="K1320" s="3">
        <v>15726465</v>
      </c>
    </row>
    <row r="1321" spans="1:11" x14ac:dyDescent="0.25">
      <c r="A1321" s="1" t="s">
        <v>2382</v>
      </c>
      <c r="B1321" s="1" t="s">
        <v>1514</v>
      </c>
      <c r="C1321" s="5">
        <v>2</v>
      </c>
      <c r="D1321" s="14">
        <v>2442026</v>
      </c>
      <c r="E1321" s="1" t="s">
        <v>1515</v>
      </c>
      <c r="F1321" s="17">
        <v>3545</v>
      </c>
      <c r="G1321" s="8">
        <v>45857</v>
      </c>
      <c r="H1321" s="1" t="s">
        <v>1513</v>
      </c>
      <c r="I1321" s="11" t="s">
        <v>1512</v>
      </c>
      <c r="J1321" s="6">
        <v>488334</v>
      </c>
      <c r="K1321" s="3">
        <v>15488334</v>
      </c>
    </row>
    <row r="1322" spans="1:11" x14ac:dyDescent="0.25">
      <c r="A1322" s="1" t="s">
        <v>2383</v>
      </c>
      <c r="B1322" s="1" t="s">
        <v>1536</v>
      </c>
      <c r="C1322" s="5">
        <v>2</v>
      </c>
      <c r="D1322" s="15">
        <v>16837499</v>
      </c>
      <c r="E1322" s="1" t="s">
        <v>2504</v>
      </c>
      <c r="F1322" s="18">
        <v>205217</v>
      </c>
      <c r="G1322" s="9">
        <v>45797</v>
      </c>
      <c r="H1322" s="1" t="s">
        <v>2508</v>
      </c>
      <c r="I1322" s="12" t="s">
        <v>2511</v>
      </c>
      <c r="J1322" s="6">
        <v>332646</v>
      </c>
      <c r="K1322" s="3">
        <v>15332646</v>
      </c>
    </row>
    <row r="1323" spans="1:11" x14ac:dyDescent="0.25">
      <c r="A1323" s="1" t="s">
        <v>2978</v>
      </c>
      <c r="B1323" s="1" t="s">
        <v>1536</v>
      </c>
      <c r="C1323" s="5">
        <v>4</v>
      </c>
      <c r="D1323" s="14">
        <v>32144525</v>
      </c>
      <c r="E1323" s="1" t="s">
        <v>1538</v>
      </c>
      <c r="F1323" s="17">
        <v>694820</v>
      </c>
      <c r="G1323" s="8">
        <v>45809</v>
      </c>
      <c r="H1323" s="1" t="s">
        <v>1519</v>
      </c>
      <c r="I1323" s="11" t="s">
        <v>2509</v>
      </c>
      <c r="J1323" s="6">
        <v>503927</v>
      </c>
      <c r="K1323" s="3">
        <v>15503927</v>
      </c>
    </row>
    <row r="1324" spans="1:11" x14ac:dyDescent="0.25">
      <c r="A1324" s="1" t="s">
        <v>2384</v>
      </c>
      <c r="B1324" s="1" t="s">
        <v>1532</v>
      </c>
      <c r="C1324" s="5">
        <v>4</v>
      </c>
      <c r="D1324" s="15">
        <v>2171395</v>
      </c>
      <c r="E1324" s="1" t="s">
        <v>1515</v>
      </c>
      <c r="F1324" s="18">
        <v>358725</v>
      </c>
      <c r="G1324" s="9">
        <v>45607</v>
      </c>
      <c r="H1324" s="1" t="s">
        <v>1522</v>
      </c>
      <c r="I1324" s="12" t="s">
        <v>1518</v>
      </c>
      <c r="J1324" s="6">
        <v>36253</v>
      </c>
      <c r="K1324" s="3">
        <v>15036253</v>
      </c>
    </row>
    <row r="1325" spans="1:11" x14ac:dyDescent="0.25">
      <c r="A1325" s="1" t="s">
        <v>2979</v>
      </c>
      <c r="B1325" s="1" t="s">
        <v>1540</v>
      </c>
      <c r="C1325" s="5">
        <v>4</v>
      </c>
      <c r="D1325" s="14">
        <v>35434597</v>
      </c>
      <c r="E1325" s="1" t="s">
        <v>1515</v>
      </c>
      <c r="F1325" s="17">
        <v>194268</v>
      </c>
      <c r="G1325" s="8">
        <v>45696</v>
      </c>
      <c r="H1325" s="1" t="s">
        <v>1516</v>
      </c>
      <c r="I1325" s="11" t="s">
        <v>2509</v>
      </c>
      <c r="J1325" s="6">
        <v>669838</v>
      </c>
      <c r="K1325" s="3">
        <v>15669838</v>
      </c>
    </row>
    <row r="1326" spans="1:11" x14ac:dyDescent="0.25">
      <c r="A1326" s="1" t="s">
        <v>2980</v>
      </c>
      <c r="B1326" s="1" t="s">
        <v>1514</v>
      </c>
      <c r="C1326" s="5">
        <v>5</v>
      </c>
      <c r="D1326" s="15">
        <v>29902854</v>
      </c>
      <c r="E1326" s="1" t="s">
        <v>2504</v>
      </c>
      <c r="F1326" s="18">
        <v>6800403</v>
      </c>
      <c r="G1326" s="9">
        <v>45603</v>
      </c>
      <c r="H1326" s="1" t="s">
        <v>2519</v>
      </c>
      <c r="I1326" s="12" t="s">
        <v>1521</v>
      </c>
      <c r="J1326" s="6">
        <v>462049</v>
      </c>
      <c r="K1326" s="3">
        <v>15462049</v>
      </c>
    </row>
    <row r="1327" spans="1:11" x14ac:dyDescent="0.25">
      <c r="A1327" s="1" t="s">
        <v>2981</v>
      </c>
      <c r="B1327" s="1" t="s">
        <v>1540</v>
      </c>
      <c r="C1327" s="5">
        <v>2</v>
      </c>
      <c r="D1327" s="14">
        <v>34236675</v>
      </c>
      <c r="E1327" s="1" t="s">
        <v>2504</v>
      </c>
      <c r="F1327" s="17">
        <v>1012635</v>
      </c>
      <c r="G1327" s="8">
        <v>45658</v>
      </c>
      <c r="H1327" s="1" t="s">
        <v>1543</v>
      </c>
      <c r="I1327" s="11" t="s">
        <v>2511</v>
      </c>
      <c r="J1327" s="6">
        <v>664481</v>
      </c>
      <c r="K1327" s="3">
        <v>15664481</v>
      </c>
    </row>
    <row r="1328" spans="1:11" x14ac:dyDescent="0.25">
      <c r="A1328" s="1" t="s">
        <v>2982</v>
      </c>
      <c r="B1328" s="1" t="s">
        <v>1536</v>
      </c>
      <c r="C1328" s="5">
        <v>2</v>
      </c>
      <c r="D1328" s="15">
        <v>23630066</v>
      </c>
      <c r="E1328" s="1" t="s">
        <v>1515</v>
      </c>
      <c r="F1328" s="18">
        <v>5212449</v>
      </c>
      <c r="G1328" s="9">
        <v>45757</v>
      </c>
      <c r="H1328" s="1" t="s">
        <v>2510</v>
      </c>
      <c r="I1328" s="12" t="s">
        <v>2507</v>
      </c>
      <c r="J1328" s="6">
        <v>368352</v>
      </c>
      <c r="K1328" s="3">
        <v>15368352</v>
      </c>
    </row>
    <row r="1329" spans="1:11" x14ac:dyDescent="0.25">
      <c r="A1329" s="1" t="s">
        <v>2983</v>
      </c>
      <c r="B1329" s="1" t="s">
        <v>1540</v>
      </c>
      <c r="C1329" s="5">
        <v>3</v>
      </c>
      <c r="D1329" s="14">
        <v>14271917</v>
      </c>
      <c r="E1329" s="1" t="s">
        <v>1515</v>
      </c>
      <c r="F1329" s="17">
        <v>1594583</v>
      </c>
      <c r="G1329" s="8">
        <v>45798</v>
      </c>
      <c r="H1329" s="1" t="s">
        <v>2515</v>
      </c>
      <c r="I1329" s="11" t="s">
        <v>2507</v>
      </c>
      <c r="J1329" s="6">
        <v>253547</v>
      </c>
      <c r="K1329" s="3">
        <v>15253547</v>
      </c>
    </row>
    <row r="1330" spans="1:11" x14ac:dyDescent="0.25">
      <c r="A1330" s="1" t="s">
        <v>2385</v>
      </c>
      <c r="B1330" s="1" t="s">
        <v>1532</v>
      </c>
      <c r="C1330" s="5">
        <v>1</v>
      </c>
      <c r="D1330" s="15">
        <v>41211059</v>
      </c>
      <c r="E1330" s="1" t="s">
        <v>1515</v>
      </c>
      <c r="F1330" s="18">
        <v>1293833</v>
      </c>
      <c r="G1330" s="9">
        <v>45521</v>
      </c>
      <c r="H1330" s="1" t="s">
        <v>2508</v>
      </c>
      <c r="I1330" s="12" t="s">
        <v>1512</v>
      </c>
      <c r="J1330" s="6">
        <v>798345</v>
      </c>
      <c r="K1330" s="3">
        <v>15798345</v>
      </c>
    </row>
    <row r="1331" spans="1:11" x14ac:dyDescent="0.25">
      <c r="A1331" s="1" t="s">
        <v>2984</v>
      </c>
      <c r="B1331" s="1" t="s">
        <v>1534</v>
      </c>
      <c r="C1331" s="5">
        <v>4</v>
      </c>
      <c r="D1331" s="14">
        <v>7881916</v>
      </c>
      <c r="E1331" s="1" t="s">
        <v>1538</v>
      </c>
      <c r="F1331" s="17">
        <v>1801521</v>
      </c>
      <c r="G1331" s="8">
        <v>45586</v>
      </c>
      <c r="H1331" s="1" t="s">
        <v>2508</v>
      </c>
      <c r="I1331" s="11" t="s">
        <v>1512</v>
      </c>
      <c r="J1331" s="6">
        <v>121608</v>
      </c>
      <c r="K1331" s="3">
        <v>15121608</v>
      </c>
    </row>
    <row r="1332" spans="1:11" x14ac:dyDescent="0.25">
      <c r="A1332" s="1" t="s">
        <v>2985</v>
      </c>
      <c r="B1332" s="1" t="s">
        <v>1527</v>
      </c>
      <c r="C1332" s="5">
        <v>4</v>
      </c>
      <c r="D1332" s="15">
        <v>22863058</v>
      </c>
      <c r="E1332" s="1" t="s">
        <v>2504</v>
      </c>
      <c r="F1332" s="18">
        <v>2867619</v>
      </c>
      <c r="G1332" s="9">
        <v>45793</v>
      </c>
      <c r="H1332" s="1" t="s">
        <v>2508</v>
      </c>
      <c r="I1332" s="12" t="s">
        <v>2509</v>
      </c>
      <c r="J1332" s="6">
        <v>399909</v>
      </c>
      <c r="K1332" s="3">
        <v>15399909</v>
      </c>
    </row>
    <row r="1333" spans="1:11" x14ac:dyDescent="0.25">
      <c r="A1333" s="1" t="s">
        <v>2986</v>
      </c>
      <c r="B1333" s="1" t="s">
        <v>1514</v>
      </c>
      <c r="C1333" s="5">
        <v>5</v>
      </c>
      <c r="D1333" s="14">
        <v>31704373</v>
      </c>
      <c r="E1333" s="1" t="s">
        <v>1538</v>
      </c>
      <c r="F1333" s="17">
        <v>2854515</v>
      </c>
      <c r="G1333" s="8">
        <v>45559</v>
      </c>
      <c r="H1333" s="1" t="s">
        <v>2512</v>
      </c>
      <c r="I1333" s="11" t="s">
        <v>2509</v>
      </c>
      <c r="J1333" s="6">
        <v>576997</v>
      </c>
      <c r="K1333" s="3">
        <v>15576997</v>
      </c>
    </row>
    <row r="1334" spans="1:11" x14ac:dyDescent="0.25">
      <c r="A1334" s="1" t="s">
        <v>2386</v>
      </c>
      <c r="B1334" s="1" t="s">
        <v>1523</v>
      </c>
      <c r="C1334" s="5">
        <v>4</v>
      </c>
      <c r="D1334" s="15">
        <v>6640173</v>
      </c>
      <c r="E1334" s="1" t="s">
        <v>1515</v>
      </c>
      <c r="F1334" s="18">
        <v>108295</v>
      </c>
      <c r="G1334" s="9">
        <v>45657</v>
      </c>
      <c r="H1334" s="1" t="s">
        <v>2515</v>
      </c>
      <c r="I1334" s="12" t="s">
        <v>1512</v>
      </c>
      <c r="J1334" s="6">
        <v>111144</v>
      </c>
      <c r="K1334" s="3">
        <v>15111144</v>
      </c>
    </row>
    <row r="1335" spans="1:11" x14ac:dyDescent="0.25">
      <c r="A1335" s="1" t="s">
        <v>2387</v>
      </c>
      <c r="B1335" s="1" t="s">
        <v>1536</v>
      </c>
      <c r="C1335" s="5">
        <v>4</v>
      </c>
      <c r="D1335" s="14">
        <v>25497851</v>
      </c>
      <c r="E1335" s="1" t="s">
        <v>2504</v>
      </c>
      <c r="F1335" s="17">
        <v>204579</v>
      </c>
      <c r="G1335" s="8">
        <v>45684</v>
      </c>
      <c r="H1335" s="1" t="s">
        <v>1516</v>
      </c>
      <c r="I1335" s="11" t="s">
        <v>2511</v>
      </c>
      <c r="J1335" s="6">
        <v>469041</v>
      </c>
      <c r="K1335" s="3">
        <v>15469041</v>
      </c>
    </row>
    <row r="1336" spans="1:11" x14ac:dyDescent="0.25">
      <c r="A1336" s="1" t="s">
        <v>2987</v>
      </c>
      <c r="B1336" s="1" t="s">
        <v>1525</v>
      </c>
      <c r="C1336" s="5">
        <v>4</v>
      </c>
      <c r="D1336" s="15">
        <v>34386319</v>
      </c>
      <c r="E1336" s="1" t="s">
        <v>1515</v>
      </c>
      <c r="F1336" s="18">
        <v>2959263</v>
      </c>
      <c r="G1336" s="9">
        <v>45608</v>
      </c>
      <c r="H1336" s="1" t="s">
        <v>1516</v>
      </c>
      <c r="I1336" s="12" t="s">
        <v>1521</v>
      </c>
      <c r="J1336" s="6">
        <v>628541</v>
      </c>
      <c r="K1336" s="3">
        <v>15628541</v>
      </c>
    </row>
    <row r="1337" spans="1:11" x14ac:dyDescent="0.25">
      <c r="A1337" s="1" t="s">
        <v>2388</v>
      </c>
      <c r="B1337" s="1" t="s">
        <v>1514</v>
      </c>
      <c r="C1337" s="5">
        <v>3</v>
      </c>
      <c r="D1337" s="14">
        <v>21382679</v>
      </c>
      <c r="E1337" s="1" t="s">
        <v>1515</v>
      </c>
      <c r="F1337" s="17">
        <v>1616966</v>
      </c>
      <c r="G1337" s="8">
        <v>45677</v>
      </c>
      <c r="H1337" s="1" t="s">
        <v>2515</v>
      </c>
      <c r="I1337" s="11" t="s">
        <v>1521</v>
      </c>
      <c r="J1337" s="6">
        <v>395314</v>
      </c>
      <c r="K1337" s="3">
        <v>15395314</v>
      </c>
    </row>
    <row r="1338" spans="1:11" x14ac:dyDescent="0.25">
      <c r="A1338" s="1" t="s">
        <v>2389</v>
      </c>
      <c r="B1338" s="1" t="s">
        <v>1514</v>
      </c>
      <c r="C1338" s="5">
        <v>2</v>
      </c>
      <c r="D1338" s="15">
        <v>42700708</v>
      </c>
      <c r="E1338" s="1" t="s">
        <v>2504</v>
      </c>
      <c r="F1338" s="18">
        <v>3848669</v>
      </c>
      <c r="G1338" s="9">
        <v>45658</v>
      </c>
      <c r="H1338" s="1" t="s">
        <v>1543</v>
      </c>
      <c r="I1338" s="12" t="s">
        <v>1512</v>
      </c>
      <c r="J1338" s="6">
        <v>777041</v>
      </c>
      <c r="K1338" s="3">
        <v>15777041</v>
      </c>
    </row>
    <row r="1339" spans="1:11" x14ac:dyDescent="0.25">
      <c r="A1339" s="1" t="s">
        <v>2988</v>
      </c>
      <c r="B1339" s="1" t="s">
        <v>1514</v>
      </c>
      <c r="C1339" s="5">
        <v>4</v>
      </c>
      <c r="D1339" s="14">
        <v>47987256</v>
      </c>
      <c r="E1339" s="1" t="s">
        <v>1538</v>
      </c>
      <c r="F1339" s="17">
        <v>5865092</v>
      </c>
      <c r="G1339" s="8">
        <v>45605</v>
      </c>
      <c r="H1339" s="1" t="s">
        <v>2519</v>
      </c>
      <c r="I1339" s="11" t="s">
        <v>1512</v>
      </c>
      <c r="J1339" s="6">
        <v>842443</v>
      </c>
      <c r="K1339" s="3">
        <v>15842443</v>
      </c>
    </row>
    <row r="1340" spans="1:11" x14ac:dyDescent="0.25">
      <c r="A1340" s="1" t="s">
        <v>2390</v>
      </c>
      <c r="B1340" s="1" t="s">
        <v>1514</v>
      </c>
      <c r="C1340" s="5">
        <v>2</v>
      </c>
      <c r="D1340" s="15">
        <v>15674834</v>
      </c>
      <c r="E1340" s="1" t="s">
        <v>1538</v>
      </c>
      <c r="F1340" s="18">
        <v>1398815</v>
      </c>
      <c r="G1340" s="9">
        <v>45783</v>
      </c>
      <c r="H1340" s="1" t="s">
        <v>2519</v>
      </c>
      <c r="I1340" s="12" t="s">
        <v>2511</v>
      </c>
      <c r="J1340" s="6">
        <v>28552</v>
      </c>
      <c r="K1340" s="3">
        <v>1528552</v>
      </c>
    </row>
    <row r="1341" spans="1:11" x14ac:dyDescent="0.25">
      <c r="A1341" s="1" t="s">
        <v>2391</v>
      </c>
      <c r="B1341" s="1" t="s">
        <v>1545</v>
      </c>
      <c r="C1341" s="5">
        <v>2</v>
      </c>
      <c r="D1341" s="14">
        <v>23028825</v>
      </c>
      <c r="E1341" s="1" t="s">
        <v>1515</v>
      </c>
      <c r="F1341" s="17">
        <v>2064727</v>
      </c>
      <c r="G1341" s="8">
        <v>45653</v>
      </c>
      <c r="H1341" s="1" t="s">
        <v>2519</v>
      </c>
      <c r="I1341" s="11" t="s">
        <v>2507</v>
      </c>
      <c r="J1341" s="6">
        <v>419282</v>
      </c>
      <c r="K1341" s="3">
        <v>15419282</v>
      </c>
    </row>
    <row r="1342" spans="1:11" x14ac:dyDescent="0.25">
      <c r="A1342" s="1" t="s">
        <v>2989</v>
      </c>
      <c r="B1342" s="1" t="s">
        <v>1514</v>
      </c>
      <c r="C1342" s="5">
        <v>1</v>
      </c>
      <c r="D1342" s="15">
        <v>33478739</v>
      </c>
      <c r="E1342" s="1" t="s">
        <v>1538</v>
      </c>
      <c r="F1342" s="18">
        <v>2775751</v>
      </c>
      <c r="G1342" s="9">
        <v>45601</v>
      </c>
      <c r="H1342" s="1" t="s">
        <v>1513</v>
      </c>
      <c r="I1342" s="12" t="s">
        <v>2511</v>
      </c>
      <c r="J1342" s="6">
        <v>61406</v>
      </c>
      <c r="K1342" s="3">
        <v>1561406</v>
      </c>
    </row>
    <row r="1343" spans="1:11" x14ac:dyDescent="0.25">
      <c r="A1343" s="1" t="s">
        <v>2392</v>
      </c>
      <c r="B1343" s="1" t="s">
        <v>1517</v>
      </c>
      <c r="C1343" s="5">
        <v>4</v>
      </c>
      <c r="D1343" s="14">
        <v>20905561</v>
      </c>
      <c r="E1343" s="1" t="s">
        <v>1538</v>
      </c>
      <c r="F1343" s="17">
        <v>1325672</v>
      </c>
      <c r="G1343" s="8">
        <v>45827</v>
      </c>
      <c r="H1343" s="1" t="s">
        <v>1522</v>
      </c>
      <c r="I1343" s="11" t="s">
        <v>2509</v>
      </c>
      <c r="J1343" s="6">
        <v>391598</v>
      </c>
      <c r="K1343" s="3">
        <v>15391598</v>
      </c>
    </row>
    <row r="1344" spans="1:11" x14ac:dyDescent="0.25">
      <c r="A1344" s="1" t="s">
        <v>2393</v>
      </c>
      <c r="B1344" s="1" t="s">
        <v>1525</v>
      </c>
      <c r="C1344" s="5">
        <v>2</v>
      </c>
      <c r="D1344" s="15">
        <v>37364114</v>
      </c>
      <c r="E1344" s="1" t="s">
        <v>1538</v>
      </c>
      <c r="F1344" s="18">
        <v>9222165</v>
      </c>
      <c r="G1344" s="9">
        <v>45661</v>
      </c>
      <c r="H1344" s="1" t="s">
        <v>1519</v>
      </c>
      <c r="I1344" s="12" t="s">
        <v>1512</v>
      </c>
      <c r="J1344" s="6">
        <v>562839</v>
      </c>
      <c r="K1344" s="3">
        <v>15562839</v>
      </c>
    </row>
    <row r="1345" spans="1:11" x14ac:dyDescent="0.25">
      <c r="A1345" s="1" t="s">
        <v>2990</v>
      </c>
      <c r="B1345" s="1" t="s">
        <v>1527</v>
      </c>
      <c r="C1345" s="5">
        <v>2</v>
      </c>
      <c r="D1345" s="14">
        <v>37929725</v>
      </c>
      <c r="E1345" s="1" t="s">
        <v>1538</v>
      </c>
      <c r="F1345" s="17">
        <v>2286117</v>
      </c>
      <c r="G1345" s="8">
        <v>45641</v>
      </c>
      <c r="H1345" s="1" t="s">
        <v>2510</v>
      </c>
      <c r="I1345" s="11" t="s">
        <v>1512</v>
      </c>
      <c r="J1345" s="6">
        <v>712872</v>
      </c>
      <c r="K1345" s="3">
        <v>15712872</v>
      </c>
    </row>
    <row r="1346" spans="1:11" x14ac:dyDescent="0.25">
      <c r="A1346" s="1" t="s">
        <v>2394</v>
      </c>
      <c r="B1346" s="1" t="s">
        <v>1514</v>
      </c>
      <c r="C1346" s="5">
        <v>2</v>
      </c>
      <c r="D1346" s="15">
        <v>18240362</v>
      </c>
      <c r="E1346" s="1" t="s">
        <v>1515</v>
      </c>
      <c r="F1346" s="18">
        <v>378128</v>
      </c>
      <c r="G1346" s="9">
        <v>45748</v>
      </c>
      <c r="H1346" s="1" t="s">
        <v>1543</v>
      </c>
      <c r="I1346" s="12" t="s">
        <v>1512</v>
      </c>
      <c r="J1346" s="6">
        <v>357245</v>
      </c>
      <c r="K1346" s="3">
        <v>15357245</v>
      </c>
    </row>
    <row r="1347" spans="1:11" x14ac:dyDescent="0.25">
      <c r="A1347" s="1" t="s">
        <v>2395</v>
      </c>
      <c r="B1347" s="1" t="s">
        <v>1517</v>
      </c>
      <c r="C1347" s="5">
        <v>2</v>
      </c>
      <c r="D1347" s="14">
        <v>17143446</v>
      </c>
      <c r="E1347" s="1" t="s">
        <v>2504</v>
      </c>
      <c r="F1347" s="17">
        <v>84711</v>
      </c>
      <c r="G1347" s="8">
        <v>45739</v>
      </c>
      <c r="H1347" s="1" t="s">
        <v>2515</v>
      </c>
      <c r="I1347" s="11" t="s">
        <v>2511</v>
      </c>
      <c r="J1347" s="6">
        <v>341175</v>
      </c>
      <c r="K1347" s="3">
        <v>15341175</v>
      </c>
    </row>
    <row r="1348" spans="1:11" x14ac:dyDescent="0.25">
      <c r="A1348" s="1" t="s">
        <v>2991</v>
      </c>
      <c r="B1348" s="1" t="s">
        <v>1545</v>
      </c>
      <c r="C1348" s="5">
        <v>5</v>
      </c>
      <c r="D1348" s="15">
        <v>5897704</v>
      </c>
      <c r="E1348" s="1" t="s">
        <v>1538</v>
      </c>
      <c r="F1348" s="18">
        <v>710129</v>
      </c>
      <c r="G1348" s="9">
        <v>45617</v>
      </c>
      <c r="H1348" s="1" t="s">
        <v>1543</v>
      </c>
      <c r="I1348" s="12" t="s">
        <v>1512</v>
      </c>
      <c r="J1348" s="6">
        <v>103752</v>
      </c>
      <c r="K1348" s="3">
        <v>15103752</v>
      </c>
    </row>
    <row r="1349" spans="1:11" x14ac:dyDescent="0.25">
      <c r="A1349" s="1" t="s">
        <v>2396</v>
      </c>
      <c r="B1349" s="1" t="s">
        <v>1517</v>
      </c>
      <c r="C1349" s="5">
        <v>5</v>
      </c>
      <c r="D1349" s="14">
        <v>24138842</v>
      </c>
      <c r="E1349" s="1" t="s">
        <v>1538</v>
      </c>
      <c r="F1349" s="17">
        <v>414406</v>
      </c>
      <c r="G1349" s="8">
        <v>45626</v>
      </c>
      <c r="H1349" s="1" t="s">
        <v>2512</v>
      </c>
      <c r="I1349" s="11" t="s">
        <v>2509</v>
      </c>
      <c r="J1349" s="6">
        <v>474489</v>
      </c>
      <c r="K1349" s="3">
        <v>15474489</v>
      </c>
    </row>
    <row r="1350" spans="1:11" x14ac:dyDescent="0.25">
      <c r="A1350" s="1" t="s">
        <v>2397</v>
      </c>
      <c r="B1350" s="1" t="s">
        <v>1517</v>
      </c>
      <c r="C1350" s="5">
        <v>2</v>
      </c>
      <c r="D1350" s="15">
        <v>41874618</v>
      </c>
      <c r="E1350" s="1" t="s">
        <v>1515</v>
      </c>
      <c r="F1350" s="18">
        <v>1832624</v>
      </c>
      <c r="G1350" s="9">
        <v>45570</v>
      </c>
      <c r="H1350" s="1" t="s">
        <v>2510</v>
      </c>
      <c r="I1350" s="12" t="s">
        <v>2509</v>
      </c>
      <c r="J1350" s="6">
        <v>80084</v>
      </c>
      <c r="K1350" s="3">
        <v>1580084</v>
      </c>
    </row>
    <row r="1351" spans="1:11" x14ac:dyDescent="0.25">
      <c r="A1351" s="1" t="s">
        <v>2398</v>
      </c>
      <c r="B1351" s="1" t="s">
        <v>1532</v>
      </c>
      <c r="C1351" s="5">
        <v>3</v>
      </c>
      <c r="D1351" s="14">
        <v>10226832</v>
      </c>
      <c r="E1351" s="1" t="s">
        <v>2504</v>
      </c>
      <c r="F1351" s="17">
        <v>237044</v>
      </c>
      <c r="G1351" s="8">
        <v>45823</v>
      </c>
      <c r="H1351" s="1" t="s">
        <v>2508</v>
      </c>
      <c r="I1351" s="11" t="s">
        <v>2511</v>
      </c>
      <c r="J1351" s="6">
        <v>157128</v>
      </c>
      <c r="K1351" s="3">
        <v>15157128</v>
      </c>
    </row>
    <row r="1352" spans="1:11" x14ac:dyDescent="0.25">
      <c r="A1352" s="1" t="s">
        <v>2399</v>
      </c>
      <c r="B1352" s="1" t="s">
        <v>1517</v>
      </c>
      <c r="C1352" s="5">
        <v>1</v>
      </c>
      <c r="D1352" s="15">
        <v>10252123</v>
      </c>
      <c r="E1352" s="1" t="s">
        <v>1538</v>
      </c>
      <c r="F1352" s="18">
        <v>178500</v>
      </c>
      <c r="G1352" s="9">
        <v>45800</v>
      </c>
      <c r="H1352" s="1" t="s">
        <v>2510</v>
      </c>
      <c r="I1352" s="12" t="s">
        <v>1512</v>
      </c>
      <c r="J1352" s="6">
        <v>169342</v>
      </c>
      <c r="K1352" s="3">
        <v>15169342</v>
      </c>
    </row>
    <row r="1353" spans="1:11" x14ac:dyDescent="0.25">
      <c r="A1353" s="1" t="s">
        <v>2992</v>
      </c>
      <c r="B1353" s="1" t="s">
        <v>1540</v>
      </c>
      <c r="C1353" s="5">
        <v>4</v>
      </c>
      <c r="D1353" s="14">
        <v>2002142</v>
      </c>
      <c r="E1353" s="1" t="s">
        <v>1538</v>
      </c>
      <c r="F1353" s="17">
        <v>1267117</v>
      </c>
      <c r="G1353" s="8">
        <v>45536</v>
      </c>
      <c r="H1353" s="1" t="s">
        <v>2515</v>
      </c>
      <c r="I1353" s="11" t="s">
        <v>2507</v>
      </c>
      <c r="J1353" s="6">
        <v>375086</v>
      </c>
      <c r="K1353" s="3">
        <v>15375086</v>
      </c>
    </row>
    <row r="1354" spans="1:11" x14ac:dyDescent="0.25">
      <c r="A1354" s="1" t="s">
        <v>2400</v>
      </c>
      <c r="B1354" s="1" t="s">
        <v>1527</v>
      </c>
      <c r="C1354" s="5">
        <v>1</v>
      </c>
      <c r="D1354" s="15">
        <v>39521413</v>
      </c>
      <c r="E1354" s="1" t="s">
        <v>2504</v>
      </c>
      <c r="F1354" s="18">
        <v>187988</v>
      </c>
      <c r="G1354" s="9">
        <v>45691</v>
      </c>
      <c r="H1354" s="1" t="s">
        <v>2515</v>
      </c>
      <c r="I1354" s="12" t="s">
        <v>2507</v>
      </c>
      <c r="J1354" s="6">
        <v>752831</v>
      </c>
      <c r="K1354" s="3">
        <v>15752831</v>
      </c>
    </row>
    <row r="1355" spans="1:11" x14ac:dyDescent="0.25">
      <c r="A1355" s="1" t="s">
        <v>2401</v>
      </c>
      <c r="B1355" s="1" t="s">
        <v>1523</v>
      </c>
      <c r="C1355" s="5">
        <v>2</v>
      </c>
      <c r="D1355" s="14">
        <v>19571668</v>
      </c>
      <c r="E1355" s="1" t="s">
        <v>1515</v>
      </c>
      <c r="F1355" s="17">
        <v>185140</v>
      </c>
      <c r="G1355" s="8">
        <v>45513</v>
      </c>
      <c r="H1355" s="1" t="s">
        <v>1519</v>
      </c>
      <c r="I1355" s="11" t="s">
        <v>2507</v>
      </c>
      <c r="J1355" s="6">
        <v>354405</v>
      </c>
      <c r="K1355" s="3">
        <v>15354405</v>
      </c>
    </row>
    <row r="1356" spans="1:11" x14ac:dyDescent="0.25">
      <c r="A1356" s="1" t="s">
        <v>2402</v>
      </c>
      <c r="B1356" s="1" t="s">
        <v>1540</v>
      </c>
      <c r="C1356" s="5">
        <v>5</v>
      </c>
      <c r="D1356" s="15">
        <v>3837014</v>
      </c>
      <c r="E1356" s="1" t="s">
        <v>2504</v>
      </c>
      <c r="F1356" s="18">
        <v>770199</v>
      </c>
      <c r="G1356" s="9">
        <v>45794</v>
      </c>
      <c r="H1356" s="1" t="s">
        <v>2519</v>
      </c>
      <c r="I1356" s="12" t="s">
        <v>2511</v>
      </c>
      <c r="J1356" s="6">
        <v>61336</v>
      </c>
      <c r="K1356" s="3">
        <v>15061336</v>
      </c>
    </row>
    <row r="1357" spans="1:11" x14ac:dyDescent="0.25">
      <c r="A1357" s="1" t="s">
        <v>2993</v>
      </c>
      <c r="B1357" s="1" t="s">
        <v>1540</v>
      </c>
      <c r="C1357" s="5">
        <v>2</v>
      </c>
      <c r="D1357" s="14">
        <v>45753535</v>
      </c>
      <c r="E1357" s="1" t="s">
        <v>1538</v>
      </c>
      <c r="F1357" s="17">
        <v>3670252</v>
      </c>
      <c r="G1357" s="8">
        <v>45506</v>
      </c>
      <c r="H1357" s="1" t="s">
        <v>2508</v>
      </c>
      <c r="I1357" s="11" t="s">
        <v>1512</v>
      </c>
      <c r="J1357" s="6">
        <v>841666</v>
      </c>
      <c r="K1357" s="3">
        <v>15841666</v>
      </c>
    </row>
    <row r="1358" spans="1:11" x14ac:dyDescent="0.25">
      <c r="A1358" s="1" t="s">
        <v>2403</v>
      </c>
      <c r="B1358" s="1" t="s">
        <v>1525</v>
      </c>
      <c r="C1358" s="5">
        <v>5</v>
      </c>
      <c r="D1358" s="15">
        <v>10654365</v>
      </c>
      <c r="E1358" s="1" t="s">
        <v>2504</v>
      </c>
      <c r="F1358" s="18">
        <v>673974</v>
      </c>
      <c r="G1358" s="9">
        <v>45712</v>
      </c>
      <c r="H1358" s="1" t="s">
        <v>2519</v>
      </c>
      <c r="I1358" s="12" t="s">
        <v>2509</v>
      </c>
      <c r="J1358" s="6">
        <v>199608</v>
      </c>
      <c r="K1358" s="3">
        <v>15199608</v>
      </c>
    </row>
    <row r="1359" spans="1:11" x14ac:dyDescent="0.25">
      <c r="A1359" s="1" t="s">
        <v>2994</v>
      </c>
      <c r="B1359" s="1" t="s">
        <v>1534</v>
      </c>
      <c r="C1359" s="5">
        <v>4</v>
      </c>
      <c r="D1359" s="14">
        <v>30628977</v>
      </c>
      <c r="E1359" s="1" t="s">
        <v>1515</v>
      </c>
      <c r="F1359" s="17">
        <v>924674</v>
      </c>
      <c r="G1359" s="8">
        <v>45560</v>
      </c>
      <c r="H1359" s="1" t="s">
        <v>2519</v>
      </c>
      <c r="I1359" s="11" t="s">
        <v>2509</v>
      </c>
      <c r="J1359" s="6">
        <v>594086</v>
      </c>
      <c r="K1359" s="3">
        <v>15594086</v>
      </c>
    </row>
    <row r="1360" spans="1:11" x14ac:dyDescent="0.25">
      <c r="A1360" s="1" t="s">
        <v>2995</v>
      </c>
      <c r="B1360" s="1" t="s">
        <v>1527</v>
      </c>
      <c r="C1360" s="5">
        <v>1</v>
      </c>
      <c r="D1360" s="15">
        <v>39370521</v>
      </c>
      <c r="E1360" s="1" t="s">
        <v>1515</v>
      </c>
      <c r="F1360" s="18">
        <v>1004152</v>
      </c>
      <c r="G1360" s="9">
        <v>45554</v>
      </c>
      <c r="H1360" s="1" t="s">
        <v>2508</v>
      </c>
      <c r="I1360" s="12" t="s">
        <v>2507</v>
      </c>
      <c r="J1360" s="6">
        <v>767327</v>
      </c>
      <c r="K1360" s="3">
        <v>15767327</v>
      </c>
    </row>
    <row r="1361" spans="1:11" x14ac:dyDescent="0.25">
      <c r="A1361" s="1" t="s">
        <v>2404</v>
      </c>
      <c r="B1361" s="1" t="s">
        <v>1527</v>
      </c>
      <c r="C1361" s="5">
        <v>5</v>
      </c>
      <c r="D1361" s="14">
        <v>31705844</v>
      </c>
      <c r="E1361" s="1" t="s">
        <v>2504</v>
      </c>
      <c r="F1361" s="17">
        <v>6588068</v>
      </c>
      <c r="G1361" s="8">
        <v>45694</v>
      </c>
      <c r="H1361" s="1" t="s">
        <v>2508</v>
      </c>
      <c r="I1361" s="11" t="s">
        <v>1518</v>
      </c>
      <c r="J1361" s="6">
        <v>502356</v>
      </c>
      <c r="K1361" s="3">
        <v>15502356</v>
      </c>
    </row>
    <row r="1362" spans="1:11" x14ac:dyDescent="0.25">
      <c r="A1362" s="1" t="s">
        <v>2405</v>
      </c>
      <c r="B1362" s="1" t="s">
        <v>1523</v>
      </c>
      <c r="C1362" s="5">
        <v>3</v>
      </c>
      <c r="D1362" s="15">
        <v>27542294</v>
      </c>
      <c r="E1362" s="1" t="s">
        <v>1538</v>
      </c>
      <c r="F1362" s="18">
        <v>2863227</v>
      </c>
      <c r="G1362" s="9">
        <v>45674</v>
      </c>
      <c r="H1362" s="1" t="s">
        <v>1519</v>
      </c>
      <c r="I1362" s="12" t="s">
        <v>2507</v>
      </c>
      <c r="J1362" s="6">
        <v>493581</v>
      </c>
      <c r="K1362" s="3">
        <v>15493581</v>
      </c>
    </row>
    <row r="1363" spans="1:11" x14ac:dyDescent="0.25">
      <c r="A1363" s="1" t="s">
        <v>2996</v>
      </c>
      <c r="B1363" s="1" t="s">
        <v>1514</v>
      </c>
      <c r="C1363" s="5">
        <v>3</v>
      </c>
      <c r="D1363" s="14">
        <v>49383436</v>
      </c>
      <c r="E1363" s="1" t="s">
        <v>1538</v>
      </c>
      <c r="F1363" s="17">
        <v>1198499</v>
      </c>
      <c r="G1363" s="8">
        <v>45642</v>
      </c>
      <c r="H1363" s="1" t="s">
        <v>1519</v>
      </c>
      <c r="I1363" s="11" t="s">
        <v>2511</v>
      </c>
      <c r="J1363" s="6">
        <v>747969</v>
      </c>
      <c r="K1363" s="3">
        <v>15747969</v>
      </c>
    </row>
    <row r="1364" spans="1:11" x14ac:dyDescent="0.25">
      <c r="A1364" s="1" t="s">
        <v>2406</v>
      </c>
      <c r="B1364" s="1" t="s">
        <v>1534</v>
      </c>
      <c r="C1364" s="5">
        <v>5</v>
      </c>
      <c r="D1364" s="15">
        <v>32947079</v>
      </c>
      <c r="E1364" s="1" t="s">
        <v>1515</v>
      </c>
      <c r="F1364" s="18">
        <v>121099</v>
      </c>
      <c r="G1364" s="9">
        <v>45860</v>
      </c>
      <c r="H1364" s="1" t="s">
        <v>2508</v>
      </c>
      <c r="I1364" s="12" t="s">
        <v>2507</v>
      </c>
      <c r="J1364" s="6">
        <v>634722</v>
      </c>
      <c r="K1364" s="3">
        <v>15634722</v>
      </c>
    </row>
    <row r="1365" spans="1:11" x14ac:dyDescent="0.25">
      <c r="A1365" s="1" t="s">
        <v>2407</v>
      </c>
      <c r="B1365" s="1" t="s">
        <v>1517</v>
      </c>
      <c r="C1365" s="5">
        <v>1</v>
      </c>
      <c r="D1365" s="14">
        <v>2420859</v>
      </c>
      <c r="E1365" s="1" t="s">
        <v>1538</v>
      </c>
      <c r="F1365" s="17">
        <v>3071084</v>
      </c>
      <c r="G1365" s="8">
        <v>45727</v>
      </c>
      <c r="H1365" s="1" t="s">
        <v>1513</v>
      </c>
      <c r="I1365" s="11" t="s">
        <v>2511</v>
      </c>
      <c r="J1365" s="6">
        <v>42275</v>
      </c>
      <c r="K1365" s="3">
        <v>1542275</v>
      </c>
    </row>
    <row r="1366" spans="1:11" x14ac:dyDescent="0.25">
      <c r="A1366" s="1" t="s">
        <v>2408</v>
      </c>
      <c r="B1366" s="1" t="s">
        <v>1536</v>
      </c>
      <c r="C1366" s="5">
        <v>5</v>
      </c>
      <c r="D1366" s="15">
        <v>5004561</v>
      </c>
      <c r="E1366" s="1" t="s">
        <v>1515</v>
      </c>
      <c r="F1366" s="18">
        <v>101885</v>
      </c>
      <c r="G1366" s="9">
        <v>45595</v>
      </c>
      <c r="H1366" s="1" t="s">
        <v>1516</v>
      </c>
      <c r="I1366" s="12" t="s">
        <v>2511</v>
      </c>
      <c r="J1366" s="6">
        <v>79714</v>
      </c>
      <c r="K1366" s="3">
        <v>15079714</v>
      </c>
    </row>
    <row r="1367" spans="1:11" x14ac:dyDescent="0.25">
      <c r="A1367" s="1" t="s">
        <v>2997</v>
      </c>
      <c r="B1367" s="1" t="s">
        <v>1523</v>
      </c>
      <c r="C1367" s="5">
        <v>5</v>
      </c>
      <c r="D1367" s="14">
        <v>22632794</v>
      </c>
      <c r="E1367" s="1" t="s">
        <v>1538</v>
      </c>
      <c r="F1367" s="17">
        <v>536383</v>
      </c>
      <c r="G1367" s="8">
        <v>45498</v>
      </c>
      <c r="H1367" s="1" t="s">
        <v>2510</v>
      </c>
      <c r="I1367" s="11" t="s">
        <v>2507</v>
      </c>
      <c r="J1367" s="6">
        <v>345379</v>
      </c>
      <c r="K1367" s="3">
        <v>15345379</v>
      </c>
    </row>
    <row r="1368" spans="1:11" x14ac:dyDescent="0.25">
      <c r="A1368" s="1" t="s">
        <v>2998</v>
      </c>
      <c r="B1368" s="1" t="s">
        <v>1514</v>
      </c>
      <c r="C1368" s="5">
        <v>1</v>
      </c>
      <c r="D1368" s="15">
        <v>46331953</v>
      </c>
      <c r="E1368" s="1" t="s">
        <v>1515</v>
      </c>
      <c r="F1368" s="18">
        <v>2452579</v>
      </c>
      <c r="G1368" s="9">
        <v>45858</v>
      </c>
      <c r="H1368" s="1" t="s">
        <v>2512</v>
      </c>
      <c r="I1368" s="12" t="s">
        <v>2511</v>
      </c>
      <c r="J1368" s="6">
        <v>877587</v>
      </c>
      <c r="K1368" s="3">
        <v>15877587</v>
      </c>
    </row>
    <row r="1369" spans="1:11" x14ac:dyDescent="0.25">
      <c r="A1369" s="1" t="s">
        <v>2409</v>
      </c>
      <c r="B1369" s="1" t="s">
        <v>1517</v>
      </c>
      <c r="C1369" s="5">
        <v>3</v>
      </c>
      <c r="D1369" s="14">
        <v>37998418</v>
      </c>
      <c r="E1369" s="1" t="s">
        <v>1538</v>
      </c>
      <c r="F1369" s="17">
        <v>3153174</v>
      </c>
      <c r="G1369" s="8">
        <v>45538</v>
      </c>
      <c r="H1369" s="1" t="s">
        <v>1543</v>
      </c>
      <c r="I1369" s="11" t="s">
        <v>2509</v>
      </c>
      <c r="J1369" s="6">
        <v>696905</v>
      </c>
      <c r="K1369" s="3">
        <v>15696905</v>
      </c>
    </row>
    <row r="1370" spans="1:11" x14ac:dyDescent="0.25">
      <c r="A1370" s="1" t="s">
        <v>2999</v>
      </c>
      <c r="B1370" s="1" t="s">
        <v>1517</v>
      </c>
      <c r="C1370" s="5">
        <v>3</v>
      </c>
      <c r="D1370" s="15">
        <v>289333</v>
      </c>
      <c r="E1370" s="1" t="s">
        <v>1538</v>
      </c>
      <c r="F1370" s="18">
        <v>533396</v>
      </c>
      <c r="G1370" s="9">
        <v>45823</v>
      </c>
      <c r="H1370" s="1" t="s">
        <v>1513</v>
      </c>
      <c r="I1370" s="12" t="s">
        <v>2511</v>
      </c>
      <c r="J1370" s="6">
        <v>47199</v>
      </c>
      <c r="K1370" s="3">
        <v>15047199</v>
      </c>
    </row>
    <row r="1371" spans="1:11" x14ac:dyDescent="0.25">
      <c r="A1371" s="1" t="s">
        <v>3000</v>
      </c>
      <c r="B1371" s="1" t="s">
        <v>1525</v>
      </c>
      <c r="C1371" s="5">
        <v>2</v>
      </c>
      <c r="D1371" s="14">
        <v>12076604</v>
      </c>
      <c r="E1371" s="1" t="s">
        <v>2504</v>
      </c>
      <c r="F1371" s="17">
        <v>1597033</v>
      </c>
      <c r="G1371" s="8">
        <v>45731</v>
      </c>
      <c r="H1371" s="1" t="s">
        <v>1516</v>
      </c>
      <c r="I1371" s="11" t="s">
        <v>2507</v>
      </c>
      <c r="J1371" s="6">
        <v>209591</v>
      </c>
      <c r="K1371" s="3">
        <v>15209591</v>
      </c>
    </row>
    <row r="1372" spans="1:11" x14ac:dyDescent="0.25">
      <c r="A1372" s="1" t="s">
        <v>3001</v>
      </c>
      <c r="B1372" s="1" t="s">
        <v>1525</v>
      </c>
      <c r="C1372" s="5">
        <v>2</v>
      </c>
      <c r="D1372" s="15">
        <v>19579468</v>
      </c>
      <c r="E1372" s="1" t="s">
        <v>1515</v>
      </c>
      <c r="F1372" s="18">
        <v>1581559</v>
      </c>
      <c r="G1372" s="9">
        <v>45733</v>
      </c>
      <c r="H1372" s="1" t="s">
        <v>1519</v>
      </c>
      <c r="I1372" s="12" t="s">
        <v>2507</v>
      </c>
      <c r="J1372" s="6">
        <v>359958</v>
      </c>
      <c r="K1372" s="3">
        <v>15359958</v>
      </c>
    </row>
    <row r="1373" spans="1:11" x14ac:dyDescent="0.25">
      <c r="A1373" s="1" t="s">
        <v>3002</v>
      </c>
      <c r="B1373" s="1" t="s">
        <v>1536</v>
      </c>
      <c r="C1373" s="5">
        <v>1</v>
      </c>
      <c r="D1373" s="14">
        <v>28816275</v>
      </c>
      <c r="E1373" s="1" t="s">
        <v>1538</v>
      </c>
      <c r="F1373" s="17">
        <v>471716</v>
      </c>
      <c r="G1373" s="8">
        <v>45676</v>
      </c>
      <c r="H1373" s="1" t="s">
        <v>2510</v>
      </c>
      <c r="I1373" s="11" t="s">
        <v>2509</v>
      </c>
      <c r="J1373" s="6">
        <v>481982</v>
      </c>
      <c r="K1373" s="3">
        <v>15481982</v>
      </c>
    </row>
    <row r="1374" spans="1:11" x14ac:dyDescent="0.25">
      <c r="A1374" s="1" t="s">
        <v>3003</v>
      </c>
      <c r="B1374" s="1" t="s">
        <v>1523</v>
      </c>
      <c r="C1374" s="5">
        <v>5</v>
      </c>
      <c r="D1374" s="15">
        <v>17187397</v>
      </c>
      <c r="E1374" s="1" t="s">
        <v>1538</v>
      </c>
      <c r="F1374" s="18">
        <v>3635277</v>
      </c>
      <c r="G1374" s="9">
        <v>45786</v>
      </c>
      <c r="H1374" s="1" t="s">
        <v>2510</v>
      </c>
      <c r="I1374" s="12" t="s">
        <v>2511</v>
      </c>
      <c r="J1374" s="6">
        <v>271042</v>
      </c>
      <c r="K1374" s="3">
        <v>15271042</v>
      </c>
    </row>
    <row r="1375" spans="1:11" x14ac:dyDescent="0.25">
      <c r="A1375" s="1" t="s">
        <v>3004</v>
      </c>
      <c r="B1375" s="1" t="s">
        <v>1532</v>
      </c>
      <c r="C1375" s="5">
        <v>2</v>
      </c>
      <c r="D1375" s="14">
        <v>165730</v>
      </c>
      <c r="E1375" s="1" t="s">
        <v>1538</v>
      </c>
      <c r="F1375" s="17">
        <v>312029</v>
      </c>
      <c r="G1375" s="8">
        <v>45835</v>
      </c>
      <c r="H1375" s="1" t="s">
        <v>2519</v>
      </c>
      <c r="I1375" s="11" t="s">
        <v>2509</v>
      </c>
      <c r="J1375" s="6">
        <v>26905</v>
      </c>
      <c r="K1375" s="3">
        <v>15026905</v>
      </c>
    </row>
    <row r="1376" spans="1:11" x14ac:dyDescent="0.25">
      <c r="A1376" s="1" t="s">
        <v>2410</v>
      </c>
      <c r="B1376" s="1" t="s">
        <v>1517</v>
      </c>
      <c r="C1376" s="5">
        <v>1</v>
      </c>
      <c r="D1376" s="15">
        <v>1212101</v>
      </c>
      <c r="E1376" s="1" t="s">
        <v>1515</v>
      </c>
      <c r="F1376" s="18">
        <v>801585</v>
      </c>
      <c r="G1376" s="9">
        <v>45679</v>
      </c>
      <c r="H1376" s="1" t="s">
        <v>2512</v>
      </c>
      <c r="I1376" s="12" t="s">
        <v>1512</v>
      </c>
      <c r="J1376" s="6">
        <v>226389</v>
      </c>
      <c r="K1376" s="3">
        <v>15226389</v>
      </c>
    </row>
    <row r="1377" spans="1:11" x14ac:dyDescent="0.25">
      <c r="A1377" s="1" t="s">
        <v>3005</v>
      </c>
      <c r="B1377" s="1" t="s">
        <v>1534</v>
      </c>
      <c r="C1377" s="5">
        <v>5</v>
      </c>
      <c r="D1377" s="14">
        <v>27702433</v>
      </c>
      <c r="E1377" s="1" t="s">
        <v>1538</v>
      </c>
      <c r="F1377" s="17">
        <v>4150776</v>
      </c>
      <c r="G1377" s="8">
        <v>45756</v>
      </c>
      <c r="H1377" s="1" t="s">
        <v>1519</v>
      </c>
      <c r="I1377" s="11" t="s">
        <v>2507</v>
      </c>
      <c r="J1377" s="6">
        <v>471033</v>
      </c>
      <c r="K1377" s="3">
        <v>15471033</v>
      </c>
    </row>
    <row r="1378" spans="1:11" x14ac:dyDescent="0.25">
      <c r="A1378" s="1" t="s">
        <v>2411</v>
      </c>
      <c r="B1378" s="1" t="s">
        <v>1545</v>
      </c>
      <c r="C1378" s="5">
        <v>3</v>
      </c>
      <c r="D1378" s="15">
        <v>26959589</v>
      </c>
      <c r="E1378" s="1" t="s">
        <v>2504</v>
      </c>
      <c r="F1378" s="18">
        <v>353345</v>
      </c>
      <c r="G1378" s="9">
        <v>45669</v>
      </c>
      <c r="H1378" s="1" t="s">
        <v>1516</v>
      </c>
      <c r="I1378" s="12" t="s">
        <v>2509</v>
      </c>
      <c r="J1378" s="6">
        <v>532125</v>
      </c>
      <c r="K1378" s="3">
        <v>15532125</v>
      </c>
    </row>
    <row r="1379" spans="1:11" x14ac:dyDescent="0.25">
      <c r="A1379" s="1" t="s">
        <v>2412</v>
      </c>
      <c r="B1379" s="1" t="s">
        <v>1534</v>
      </c>
      <c r="C1379" s="5">
        <v>4</v>
      </c>
      <c r="D1379" s="14">
        <v>1875145</v>
      </c>
      <c r="E1379" s="1" t="s">
        <v>2504</v>
      </c>
      <c r="F1379" s="17">
        <v>211196</v>
      </c>
      <c r="G1379" s="8">
        <v>45799</v>
      </c>
      <c r="H1379" s="1" t="s">
        <v>2510</v>
      </c>
      <c r="I1379" s="11" t="s">
        <v>2509</v>
      </c>
      <c r="J1379" s="6">
        <v>33279</v>
      </c>
      <c r="K1379" s="3">
        <v>15033279</v>
      </c>
    </row>
    <row r="1380" spans="1:11" x14ac:dyDescent="0.25">
      <c r="A1380" s="1" t="s">
        <v>3006</v>
      </c>
      <c r="B1380" s="1" t="s">
        <v>1517</v>
      </c>
      <c r="C1380" s="5">
        <v>3</v>
      </c>
      <c r="D1380" s="15">
        <v>2523959</v>
      </c>
      <c r="E1380" s="1" t="s">
        <v>1538</v>
      </c>
      <c r="F1380" s="18">
        <v>597098</v>
      </c>
      <c r="G1380" s="9">
        <v>45815</v>
      </c>
      <c r="H1380" s="1" t="s">
        <v>1513</v>
      </c>
      <c r="I1380" s="12" t="s">
        <v>1518</v>
      </c>
      <c r="J1380" s="6">
        <v>38537</v>
      </c>
      <c r="K1380" s="3">
        <v>15038537</v>
      </c>
    </row>
    <row r="1381" spans="1:11" x14ac:dyDescent="0.25">
      <c r="A1381" s="1" t="s">
        <v>2413</v>
      </c>
      <c r="B1381" s="1" t="s">
        <v>1514</v>
      </c>
      <c r="C1381" s="5">
        <v>3</v>
      </c>
      <c r="D1381" s="14">
        <v>19834639</v>
      </c>
      <c r="E1381" s="1" t="s">
        <v>2504</v>
      </c>
      <c r="F1381" s="17">
        <v>12440</v>
      </c>
      <c r="G1381" s="8">
        <v>45675</v>
      </c>
      <c r="H1381" s="1" t="s">
        <v>2515</v>
      </c>
      <c r="I1381" s="11" t="s">
        <v>2511</v>
      </c>
      <c r="J1381" s="6">
        <v>394205</v>
      </c>
      <c r="K1381" s="3">
        <v>15394205</v>
      </c>
    </row>
    <row r="1382" spans="1:11" x14ac:dyDescent="0.25">
      <c r="A1382" s="1" t="s">
        <v>2414</v>
      </c>
      <c r="B1382" s="1" t="s">
        <v>1523</v>
      </c>
      <c r="C1382" s="5">
        <v>1</v>
      </c>
      <c r="D1382" s="15">
        <v>26148166</v>
      </c>
      <c r="E1382" s="1" t="s">
        <v>2504</v>
      </c>
      <c r="F1382" s="18">
        <v>4545926</v>
      </c>
      <c r="G1382" s="9">
        <v>45615</v>
      </c>
      <c r="H1382" s="1" t="s">
        <v>1543</v>
      </c>
      <c r="I1382" s="12" t="s">
        <v>1512</v>
      </c>
      <c r="J1382" s="6">
        <v>432045</v>
      </c>
      <c r="K1382" s="3">
        <v>15432045</v>
      </c>
    </row>
    <row r="1383" spans="1:11" x14ac:dyDescent="0.25">
      <c r="A1383" s="1" t="s">
        <v>2415</v>
      </c>
      <c r="B1383" s="1" t="s">
        <v>1517</v>
      </c>
      <c r="C1383" s="5">
        <v>4</v>
      </c>
      <c r="D1383" s="14">
        <v>4428187</v>
      </c>
      <c r="E1383" s="1" t="s">
        <v>1538</v>
      </c>
      <c r="F1383" s="17">
        <v>475947</v>
      </c>
      <c r="G1383" s="8">
        <v>45724</v>
      </c>
      <c r="H1383" s="1" t="s">
        <v>1519</v>
      </c>
      <c r="I1383" s="11" t="s">
        <v>2509</v>
      </c>
      <c r="J1383" s="6">
        <v>79045</v>
      </c>
      <c r="K1383" s="3">
        <v>15079045</v>
      </c>
    </row>
    <row r="1384" spans="1:11" x14ac:dyDescent="0.25">
      <c r="A1384" s="1" t="s">
        <v>3007</v>
      </c>
      <c r="B1384" s="1" t="s">
        <v>1525</v>
      </c>
      <c r="C1384" s="5">
        <v>4</v>
      </c>
      <c r="D1384" s="15">
        <v>36251039</v>
      </c>
      <c r="E1384" s="1" t="s">
        <v>1515</v>
      </c>
      <c r="F1384" s="18">
        <v>3280637</v>
      </c>
      <c r="G1384" s="9">
        <v>45837</v>
      </c>
      <c r="H1384" s="1" t="s">
        <v>2508</v>
      </c>
      <c r="I1384" s="12" t="s">
        <v>2511</v>
      </c>
      <c r="J1384" s="6">
        <v>659408</v>
      </c>
      <c r="K1384" s="3">
        <v>15659408</v>
      </c>
    </row>
    <row r="1385" spans="1:11" x14ac:dyDescent="0.25">
      <c r="A1385" s="1" t="s">
        <v>2416</v>
      </c>
      <c r="B1385" s="1" t="s">
        <v>1536</v>
      </c>
      <c r="C1385" s="5">
        <v>4</v>
      </c>
      <c r="D1385" s="14">
        <v>5752318</v>
      </c>
      <c r="E1385" s="1" t="s">
        <v>1515</v>
      </c>
      <c r="F1385" s="17">
        <v>1312749</v>
      </c>
      <c r="G1385" s="8">
        <v>45858</v>
      </c>
      <c r="H1385" s="1" t="s">
        <v>1516</v>
      </c>
      <c r="I1385" s="11" t="s">
        <v>2509</v>
      </c>
      <c r="J1385" s="6">
        <v>88791</v>
      </c>
      <c r="K1385" s="3">
        <v>15088791</v>
      </c>
    </row>
    <row r="1386" spans="1:11" x14ac:dyDescent="0.25">
      <c r="A1386" s="1" t="s">
        <v>3008</v>
      </c>
      <c r="B1386" s="1" t="s">
        <v>1514</v>
      </c>
      <c r="C1386" s="5">
        <v>4</v>
      </c>
      <c r="D1386" s="15">
        <v>5573012</v>
      </c>
      <c r="E1386" s="1" t="s">
        <v>1515</v>
      </c>
      <c r="F1386" s="18">
        <v>233425</v>
      </c>
      <c r="G1386" s="9">
        <v>45831</v>
      </c>
      <c r="H1386" s="1" t="s">
        <v>1513</v>
      </c>
      <c r="I1386" s="12" t="s">
        <v>1521</v>
      </c>
      <c r="J1386" s="6">
        <v>106792</v>
      </c>
      <c r="K1386" s="3">
        <v>15106792</v>
      </c>
    </row>
    <row r="1387" spans="1:11" x14ac:dyDescent="0.25">
      <c r="A1387" s="1" t="s">
        <v>2417</v>
      </c>
      <c r="B1387" s="1" t="s">
        <v>1517</v>
      </c>
      <c r="C1387" s="5">
        <v>5</v>
      </c>
      <c r="D1387" s="14">
        <v>39561651</v>
      </c>
      <c r="E1387" s="1" t="s">
        <v>2504</v>
      </c>
      <c r="F1387" s="17">
        <v>9288736</v>
      </c>
      <c r="G1387" s="8">
        <v>45747</v>
      </c>
      <c r="H1387" s="1" t="s">
        <v>2515</v>
      </c>
      <c r="I1387" s="11" t="s">
        <v>1518</v>
      </c>
      <c r="J1387" s="6">
        <v>605458</v>
      </c>
      <c r="K1387" s="3">
        <v>15605458</v>
      </c>
    </row>
    <row r="1388" spans="1:11" x14ac:dyDescent="0.25">
      <c r="A1388" s="1" t="s">
        <v>2418</v>
      </c>
      <c r="B1388" s="1" t="s">
        <v>1525</v>
      </c>
      <c r="C1388" s="5">
        <v>2</v>
      </c>
      <c r="D1388" s="15">
        <v>2535988</v>
      </c>
      <c r="E1388" s="1" t="s">
        <v>1538</v>
      </c>
      <c r="F1388" s="18">
        <v>35863</v>
      </c>
      <c r="G1388" s="9">
        <v>45782</v>
      </c>
      <c r="H1388" s="1" t="s">
        <v>1522</v>
      </c>
      <c r="I1388" s="12" t="s">
        <v>2509</v>
      </c>
      <c r="J1388" s="6">
        <v>50003</v>
      </c>
      <c r="K1388" s="3">
        <v>15050003</v>
      </c>
    </row>
    <row r="1389" spans="1:11" x14ac:dyDescent="0.25">
      <c r="A1389" s="1" t="s">
        <v>3009</v>
      </c>
      <c r="B1389" s="1" t="s">
        <v>1532</v>
      </c>
      <c r="C1389" s="5">
        <v>2</v>
      </c>
      <c r="D1389" s="14">
        <v>20047416</v>
      </c>
      <c r="E1389" s="1" t="s">
        <v>1515</v>
      </c>
      <c r="F1389" s="17">
        <v>1785424</v>
      </c>
      <c r="G1389" s="8">
        <v>45537</v>
      </c>
      <c r="H1389" s="1" t="s">
        <v>2515</v>
      </c>
      <c r="I1389" s="11" t="s">
        <v>1512</v>
      </c>
      <c r="J1389" s="6">
        <v>36524</v>
      </c>
      <c r="K1389" s="3">
        <v>1536524</v>
      </c>
    </row>
    <row r="1390" spans="1:11" x14ac:dyDescent="0.25">
      <c r="A1390" s="1" t="s">
        <v>3010</v>
      </c>
      <c r="B1390" s="1" t="s">
        <v>1545</v>
      </c>
      <c r="C1390" s="5">
        <v>4</v>
      </c>
      <c r="D1390" s="15">
        <v>545082</v>
      </c>
      <c r="E1390" s="1" t="s">
        <v>1538</v>
      </c>
      <c r="F1390" s="18">
        <v>143549</v>
      </c>
      <c r="G1390" s="9">
        <v>45788</v>
      </c>
      <c r="H1390" s="1" t="s">
        <v>2510</v>
      </c>
      <c r="I1390" s="12" t="s">
        <v>1512</v>
      </c>
      <c r="J1390" s="6">
        <v>106145</v>
      </c>
      <c r="K1390" s="3">
        <v>15106145</v>
      </c>
    </row>
    <row r="1391" spans="1:11" x14ac:dyDescent="0.25">
      <c r="A1391" s="1" t="s">
        <v>2419</v>
      </c>
      <c r="B1391" s="1" t="s">
        <v>1540</v>
      </c>
      <c r="C1391" s="5">
        <v>3</v>
      </c>
      <c r="D1391" s="14">
        <v>2663208</v>
      </c>
      <c r="E1391" s="1" t="s">
        <v>2504</v>
      </c>
      <c r="F1391" s="17">
        <v>367658</v>
      </c>
      <c r="G1391" s="8">
        <v>45820</v>
      </c>
      <c r="H1391" s="1" t="s">
        <v>1543</v>
      </c>
      <c r="I1391" s="11" t="s">
        <v>2507</v>
      </c>
      <c r="J1391" s="6">
        <v>45911</v>
      </c>
      <c r="K1391" s="3">
        <v>15045911</v>
      </c>
    </row>
    <row r="1392" spans="1:11" x14ac:dyDescent="0.25">
      <c r="A1392" s="1" t="s">
        <v>3011</v>
      </c>
      <c r="B1392" s="1" t="s">
        <v>1545</v>
      </c>
      <c r="C1392" s="5">
        <v>2</v>
      </c>
      <c r="D1392" s="15">
        <v>26712554</v>
      </c>
      <c r="E1392" s="1" t="s">
        <v>1515</v>
      </c>
      <c r="F1392" s="18">
        <v>747474</v>
      </c>
      <c r="G1392" s="9">
        <v>45697</v>
      </c>
      <c r="H1392" s="1" t="s">
        <v>2515</v>
      </c>
      <c r="I1392" s="12" t="s">
        <v>2509</v>
      </c>
      <c r="J1392" s="6">
        <v>519302</v>
      </c>
      <c r="K1392" s="3">
        <v>15519302</v>
      </c>
    </row>
    <row r="1393" spans="1:11" x14ac:dyDescent="0.25">
      <c r="A1393" s="1" t="s">
        <v>2420</v>
      </c>
      <c r="B1393" s="1" t="s">
        <v>1523</v>
      </c>
      <c r="C1393" s="5">
        <v>1</v>
      </c>
      <c r="D1393" s="14">
        <v>28589603</v>
      </c>
      <c r="E1393" s="1" t="s">
        <v>2504</v>
      </c>
      <c r="F1393" s="17">
        <v>5667174</v>
      </c>
      <c r="G1393" s="8">
        <v>45554</v>
      </c>
      <c r="H1393" s="1" t="s">
        <v>2510</v>
      </c>
      <c r="I1393" s="11" t="s">
        <v>1512</v>
      </c>
      <c r="J1393" s="6">
        <v>458449</v>
      </c>
      <c r="K1393" s="3">
        <v>15458449</v>
      </c>
    </row>
    <row r="1394" spans="1:11" x14ac:dyDescent="0.25">
      <c r="A1394" s="1" t="s">
        <v>2421</v>
      </c>
      <c r="B1394" s="1" t="s">
        <v>1532</v>
      </c>
      <c r="C1394" s="5">
        <v>2</v>
      </c>
      <c r="D1394" s="15">
        <v>27320783</v>
      </c>
      <c r="E1394" s="1" t="s">
        <v>1538</v>
      </c>
      <c r="F1394" s="18">
        <v>3414691</v>
      </c>
      <c r="G1394" s="9">
        <v>45643</v>
      </c>
      <c r="H1394" s="1" t="s">
        <v>1522</v>
      </c>
      <c r="I1394" s="12" t="s">
        <v>2507</v>
      </c>
      <c r="J1394" s="6">
        <v>478122</v>
      </c>
      <c r="K1394" s="3">
        <v>15478122</v>
      </c>
    </row>
    <row r="1395" spans="1:11" x14ac:dyDescent="0.25">
      <c r="A1395" s="1" t="s">
        <v>2422</v>
      </c>
      <c r="B1395" s="1" t="s">
        <v>1517</v>
      </c>
      <c r="C1395" s="5">
        <v>5</v>
      </c>
      <c r="D1395" s="14">
        <v>30622419</v>
      </c>
      <c r="E1395" s="1" t="s">
        <v>1515</v>
      </c>
      <c r="F1395" s="17">
        <v>3336292</v>
      </c>
      <c r="G1395" s="8">
        <v>45570</v>
      </c>
      <c r="H1395" s="1" t="s">
        <v>2508</v>
      </c>
      <c r="I1395" s="11" t="s">
        <v>2507</v>
      </c>
      <c r="J1395" s="6">
        <v>545723</v>
      </c>
      <c r="K1395" s="3">
        <v>15545723</v>
      </c>
    </row>
    <row r="1396" spans="1:11" x14ac:dyDescent="0.25">
      <c r="A1396" s="1" t="s">
        <v>2423</v>
      </c>
      <c r="B1396" s="1" t="s">
        <v>1540</v>
      </c>
      <c r="C1396" s="5">
        <v>2</v>
      </c>
      <c r="D1396" s="15">
        <v>6211036</v>
      </c>
      <c r="E1396" s="1" t="s">
        <v>1538</v>
      </c>
      <c r="F1396" s="18">
        <v>902876</v>
      </c>
      <c r="G1396" s="9">
        <v>45654</v>
      </c>
      <c r="H1396" s="1" t="s">
        <v>2512</v>
      </c>
      <c r="I1396" s="12" t="s">
        <v>1521</v>
      </c>
      <c r="J1396" s="6">
        <v>106163</v>
      </c>
      <c r="K1396" s="3">
        <v>15106163</v>
      </c>
    </row>
    <row r="1397" spans="1:11" x14ac:dyDescent="0.25">
      <c r="A1397" s="1" t="s">
        <v>3012</v>
      </c>
      <c r="B1397" s="1" t="s">
        <v>1514</v>
      </c>
      <c r="C1397" s="5">
        <v>2</v>
      </c>
      <c r="D1397" s="14">
        <v>648280</v>
      </c>
      <c r="E1397" s="1" t="s">
        <v>1515</v>
      </c>
      <c r="F1397" s="17">
        <v>788531</v>
      </c>
      <c r="G1397" s="8">
        <v>45619</v>
      </c>
      <c r="H1397" s="1" t="s">
        <v>1522</v>
      </c>
      <c r="I1397" s="11" t="s">
        <v>1518</v>
      </c>
      <c r="J1397" s="6">
        <v>113885</v>
      </c>
      <c r="K1397" s="3">
        <v>15113885</v>
      </c>
    </row>
    <row r="1398" spans="1:11" x14ac:dyDescent="0.25">
      <c r="A1398" s="1" t="s">
        <v>2424</v>
      </c>
      <c r="B1398" s="1" t="s">
        <v>1534</v>
      </c>
      <c r="C1398" s="5">
        <v>1</v>
      </c>
      <c r="D1398" s="15">
        <v>10594394</v>
      </c>
      <c r="E1398" s="1" t="s">
        <v>2504</v>
      </c>
      <c r="F1398" s="18">
        <v>2292735</v>
      </c>
      <c r="G1398" s="9">
        <v>45683</v>
      </c>
      <c r="H1398" s="1" t="s">
        <v>2519</v>
      </c>
      <c r="I1398" s="12" t="s">
        <v>1518</v>
      </c>
      <c r="J1398" s="6">
        <v>166033</v>
      </c>
      <c r="K1398" s="3">
        <v>15166033</v>
      </c>
    </row>
    <row r="1399" spans="1:11" x14ac:dyDescent="0.25">
      <c r="A1399" s="1" t="s">
        <v>3013</v>
      </c>
      <c r="B1399" s="1" t="s">
        <v>1514</v>
      </c>
      <c r="C1399" s="5">
        <v>3</v>
      </c>
      <c r="D1399" s="14">
        <v>14076399</v>
      </c>
      <c r="E1399" s="1" t="s">
        <v>1538</v>
      </c>
      <c r="F1399" s="17">
        <v>3260298</v>
      </c>
      <c r="G1399" s="8">
        <v>45851</v>
      </c>
      <c r="H1399" s="1" t="s">
        <v>1516</v>
      </c>
      <c r="I1399" s="11" t="s">
        <v>2507</v>
      </c>
      <c r="J1399" s="6">
        <v>216322</v>
      </c>
      <c r="K1399" s="3">
        <v>15216322</v>
      </c>
    </row>
    <row r="1400" spans="1:11" x14ac:dyDescent="0.25">
      <c r="A1400" s="1" t="s">
        <v>3014</v>
      </c>
      <c r="B1400" s="1" t="s">
        <v>1523</v>
      </c>
      <c r="C1400" s="5">
        <v>2</v>
      </c>
      <c r="D1400" s="15">
        <v>30351861</v>
      </c>
      <c r="E1400" s="1" t="s">
        <v>2504</v>
      </c>
      <c r="F1400" s="18">
        <v>6200205</v>
      </c>
      <c r="G1400" s="9">
        <v>45860</v>
      </c>
      <c r="H1400" s="1" t="s">
        <v>2519</v>
      </c>
      <c r="I1400" s="12" t="s">
        <v>1512</v>
      </c>
      <c r="J1400" s="6">
        <v>483033</v>
      </c>
      <c r="K1400" s="3">
        <v>15483033</v>
      </c>
    </row>
    <row r="1401" spans="1:11" x14ac:dyDescent="0.25">
      <c r="A1401" s="1" t="s">
        <v>2425</v>
      </c>
      <c r="B1401" s="1" t="s">
        <v>1527</v>
      </c>
      <c r="C1401" s="5">
        <v>1</v>
      </c>
      <c r="D1401" s="14">
        <v>25566303</v>
      </c>
      <c r="E1401" s="1" t="s">
        <v>2504</v>
      </c>
      <c r="F1401" s="17">
        <v>4812984</v>
      </c>
      <c r="G1401" s="8">
        <v>45674</v>
      </c>
      <c r="H1401" s="1" t="s">
        <v>1519</v>
      </c>
      <c r="I1401" s="11" t="s">
        <v>2507</v>
      </c>
      <c r="J1401" s="6">
        <v>415066</v>
      </c>
      <c r="K1401" s="3">
        <v>15415066</v>
      </c>
    </row>
    <row r="1402" spans="1:11" x14ac:dyDescent="0.25">
      <c r="A1402" s="1" t="s">
        <v>3015</v>
      </c>
      <c r="B1402" s="1" t="s">
        <v>1525</v>
      </c>
      <c r="C1402" s="5">
        <v>5</v>
      </c>
      <c r="D1402" s="15">
        <v>37063847</v>
      </c>
      <c r="E1402" s="1" t="s">
        <v>2504</v>
      </c>
      <c r="F1402" s="18">
        <v>276930</v>
      </c>
      <c r="G1402" s="9">
        <v>45847</v>
      </c>
      <c r="H1402" s="1" t="s">
        <v>2515</v>
      </c>
      <c r="I1402" s="12" t="s">
        <v>1521</v>
      </c>
      <c r="J1402" s="6">
        <v>685891</v>
      </c>
      <c r="K1402" s="3">
        <v>15685891</v>
      </c>
    </row>
    <row r="1403" spans="1:11" x14ac:dyDescent="0.25">
      <c r="A1403" s="1" t="s">
        <v>2426</v>
      </c>
      <c r="B1403" s="1" t="s">
        <v>1545</v>
      </c>
      <c r="C1403" s="5">
        <v>2</v>
      </c>
      <c r="D1403" s="14">
        <v>33345772</v>
      </c>
      <c r="E1403" s="1" t="s">
        <v>1538</v>
      </c>
      <c r="F1403" s="17">
        <v>2478513</v>
      </c>
      <c r="G1403" s="8">
        <v>45709</v>
      </c>
      <c r="H1403" s="1" t="s">
        <v>2510</v>
      </c>
      <c r="I1403" s="11" t="s">
        <v>2511</v>
      </c>
      <c r="J1403" s="6">
        <v>617345</v>
      </c>
      <c r="K1403" s="3">
        <v>15617345</v>
      </c>
    </row>
    <row r="1404" spans="1:11" x14ac:dyDescent="0.25">
      <c r="A1404" s="1" t="s">
        <v>2427</v>
      </c>
      <c r="B1404" s="1" t="s">
        <v>1523</v>
      </c>
      <c r="C1404" s="5">
        <v>3</v>
      </c>
      <c r="D1404" s="15">
        <v>6675523</v>
      </c>
      <c r="E1404" s="1" t="s">
        <v>1538</v>
      </c>
      <c r="F1404" s="18">
        <v>273074</v>
      </c>
      <c r="G1404" s="9">
        <v>45694</v>
      </c>
      <c r="H1404" s="1" t="s">
        <v>1543</v>
      </c>
      <c r="I1404" s="12" t="s">
        <v>2509</v>
      </c>
      <c r="J1404" s="6">
        <v>128049</v>
      </c>
      <c r="K1404" s="3">
        <v>15128049</v>
      </c>
    </row>
    <row r="1405" spans="1:11" x14ac:dyDescent="0.25">
      <c r="A1405" s="1" t="s">
        <v>2428</v>
      </c>
      <c r="B1405" s="1" t="s">
        <v>1525</v>
      </c>
      <c r="C1405" s="5">
        <v>2</v>
      </c>
      <c r="D1405" s="14">
        <v>2649861</v>
      </c>
      <c r="E1405" s="1" t="s">
        <v>1538</v>
      </c>
      <c r="F1405" s="17">
        <v>286907</v>
      </c>
      <c r="G1405" s="8">
        <v>45751</v>
      </c>
      <c r="H1405" s="1" t="s">
        <v>1522</v>
      </c>
      <c r="I1405" s="11" t="s">
        <v>2507</v>
      </c>
      <c r="J1405" s="6">
        <v>47259</v>
      </c>
      <c r="K1405" s="3">
        <v>15047259</v>
      </c>
    </row>
    <row r="1406" spans="1:11" x14ac:dyDescent="0.25">
      <c r="A1406" s="1" t="s">
        <v>2429</v>
      </c>
      <c r="B1406" s="1" t="s">
        <v>1517</v>
      </c>
      <c r="C1406" s="5">
        <v>1</v>
      </c>
      <c r="D1406" s="15">
        <v>1352272</v>
      </c>
      <c r="E1406" s="1" t="s">
        <v>1515</v>
      </c>
      <c r="F1406" s="18">
        <v>295272</v>
      </c>
      <c r="G1406" s="9">
        <v>45637</v>
      </c>
      <c r="H1406" s="1" t="s">
        <v>2512</v>
      </c>
      <c r="I1406" s="12" t="s">
        <v>1521</v>
      </c>
      <c r="J1406" s="6">
        <v>2114</v>
      </c>
      <c r="K1406" s="3">
        <v>1502114</v>
      </c>
    </row>
    <row r="1407" spans="1:11" x14ac:dyDescent="0.25">
      <c r="A1407" s="1" t="s">
        <v>2430</v>
      </c>
      <c r="B1407" s="1" t="s">
        <v>1532</v>
      </c>
      <c r="C1407" s="5">
        <v>3</v>
      </c>
      <c r="D1407" s="14">
        <v>46578589</v>
      </c>
      <c r="E1407" s="1" t="s">
        <v>1515</v>
      </c>
      <c r="F1407" s="17">
        <v>4741279</v>
      </c>
      <c r="G1407" s="8">
        <v>45673</v>
      </c>
      <c r="H1407" s="1" t="s">
        <v>2512</v>
      </c>
      <c r="I1407" s="11" t="s">
        <v>1512</v>
      </c>
      <c r="J1407" s="6">
        <v>836746</v>
      </c>
      <c r="K1407" s="3">
        <v>15836746</v>
      </c>
    </row>
    <row r="1408" spans="1:11" x14ac:dyDescent="0.25">
      <c r="A1408" s="1" t="s">
        <v>2431</v>
      </c>
      <c r="B1408" s="1" t="s">
        <v>1545</v>
      </c>
      <c r="C1408" s="5">
        <v>1</v>
      </c>
      <c r="D1408" s="15">
        <v>3915769</v>
      </c>
      <c r="E1408" s="1" t="s">
        <v>2504</v>
      </c>
      <c r="F1408" s="18">
        <v>720459</v>
      </c>
      <c r="G1408" s="9">
        <v>45846</v>
      </c>
      <c r="H1408" s="1" t="s">
        <v>2508</v>
      </c>
      <c r="I1408" s="12" t="s">
        <v>1512</v>
      </c>
      <c r="J1408" s="6">
        <v>63906</v>
      </c>
      <c r="K1408" s="3">
        <v>15063906</v>
      </c>
    </row>
    <row r="1409" spans="1:11" x14ac:dyDescent="0.25">
      <c r="A1409" s="1" t="s">
        <v>2432</v>
      </c>
      <c r="B1409" s="1" t="s">
        <v>1532</v>
      </c>
      <c r="C1409" s="5">
        <v>5</v>
      </c>
      <c r="D1409" s="14">
        <v>42330061</v>
      </c>
      <c r="E1409" s="1" t="s">
        <v>1515</v>
      </c>
      <c r="F1409" s="17">
        <v>6118137</v>
      </c>
      <c r="G1409" s="8">
        <v>45826</v>
      </c>
      <c r="H1409" s="1" t="s">
        <v>2515</v>
      </c>
      <c r="I1409" s="11" t="s">
        <v>1518</v>
      </c>
      <c r="J1409" s="6">
        <v>724238</v>
      </c>
      <c r="K1409" s="3">
        <v>15724238</v>
      </c>
    </row>
    <row r="1410" spans="1:11" x14ac:dyDescent="0.25">
      <c r="A1410" s="1" t="s">
        <v>2433</v>
      </c>
      <c r="B1410" s="1" t="s">
        <v>1534</v>
      </c>
      <c r="C1410" s="5">
        <v>2</v>
      </c>
      <c r="D1410" s="15">
        <v>35438494</v>
      </c>
      <c r="E1410" s="1" t="s">
        <v>1538</v>
      </c>
      <c r="F1410" s="18">
        <v>5699349</v>
      </c>
      <c r="G1410" s="9">
        <v>45645</v>
      </c>
      <c r="H1410" s="1" t="s">
        <v>2510</v>
      </c>
      <c r="I1410" s="12" t="s">
        <v>1518</v>
      </c>
      <c r="J1410" s="6">
        <v>594783</v>
      </c>
      <c r="K1410" s="3">
        <v>15594783</v>
      </c>
    </row>
    <row r="1411" spans="1:11" x14ac:dyDescent="0.25">
      <c r="A1411" s="1" t="s">
        <v>3016</v>
      </c>
      <c r="B1411" s="1" t="s">
        <v>1545</v>
      </c>
      <c r="C1411" s="5">
        <v>1</v>
      </c>
      <c r="D1411" s="14">
        <v>14195099</v>
      </c>
      <c r="E1411" s="1" t="s">
        <v>1538</v>
      </c>
      <c r="F1411" s="17">
        <v>1431255</v>
      </c>
      <c r="G1411" s="8">
        <v>45520</v>
      </c>
      <c r="H1411" s="1" t="s">
        <v>2515</v>
      </c>
      <c r="I1411" s="11" t="s">
        <v>2509</v>
      </c>
      <c r="J1411" s="6">
        <v>255277</v>
      </c>
      <c r="K1411" s="3">
        <v>15255277</v>
      </c>
    </row>
    <row r="1412" spans="1:11" x14ac:dyDescent="0.25">
      <c r="A1412" s="1" t="s">
        <v>2434</v>
      </c>
      <c r="B1412" s="1" t="s">
        <v>1517</v>
      </c>
      <c r="C1412" s="5">
        <v>3</v>
      </c>
      <c r="D1412" s="15">
        <v>8444919</v>
      </c>
      <c r="E1412" s="1" t="s">
        <v>1538</v>
      </c>
      <c r="F1412" s="18">
        <v>54672</v>
      </c>
      <c r="G1412" s="9">
        <v>45621</v>
      </c>
      <c r="H1412" s="1" t="s">
        <v>1513</v>
      </c>
      <c r="I1412" s="12" t="s">
        <v>2511</v>
      </c>
      <c r="J1412" s="6">
        <v>167805</v>
      </c>
      <c r="K1412" s="3">
        <v>15167805</v>
      </c>
    </row>
    <row r="1413" spans="1:11" x14ac:dyDescent="0.25">
      <c r="A1413" s="1" t="s">
        <v>2435</v>
      </c>
      <c r="B1413" s="1" t="s">
        <v>1514</v>
      </c>
      <c r="C1413" s="5">
        <v>1</v>
      </c>
      <c r="D1413" s="14">
        <v>3088208</v>
      </c>
      <c r="E1413" s="1" t="s">
        <v>1538</v>
      </c>
      <c r="F1413" s="17">
        <v>7461715</v>
      </c>
      <c r="G1413" s="8">
        <v>45752</v>
      </c>
      <c r="H1413" s="1" t="s">
        <v>1522</v>
      </c>
      <c r="I1413" s="11" t="s">
        <v>2507</v>
      </c>
      <c r="J1413" s="6">
        <v>468407</v>
      </c>
      <c r="K1413" s="3">
        <v>15468407</v>
      </c>
    </row>
    <row r="1414" spans="1:11" x14ac:dyDescent="0.25">
      <c r="A1414" s="1" t="s">
        <v>2436</v>
      </c>
      <c r="B1414" s="1" t="s">
        <v>1525</v>
      </c>
      <c r="C1414" s="5">
        <v>5</v>
      </c>
      <c r="D1414" s="15">
        <v>18896554</v>
      </c>
      <c r="E1414" s="1" t="s">
        <v>1515</v>
      </c>
      <c r="F1414" s="18">
        <v>1170198</v>
      </c>
      <c r="G1414" s="9">
        <v>45808</v>
      </c>
      <c r="H1414" s="1" t="s">
        <v>2508</v>
      </c>
      <c r="I1414" s="12" t="s">
        <v>2509</v>
      </c>
      <c r="J1414" s="6">
        <v>354527</v>
      </c>
      <c r="K1414" s="3">
        <v>15354527</v>
      </c>
    </row>
    <row r="1415" spans="1:11" x14ac:dyDescent="0.25">
      <c r="A1415" s="1" t="s">
        <v>3017</v>
      </c>
      <c r="B1415" s="1" t="s">
        <v>1536</v>
      </c>
      <c r="C1415" s="5">
        <v>3</v>
      </c>
      <c r="D1415" s="14">
        <v>9863098</v>
      </c>
      <c r="E1415" s="1" t="s">
        <v>1515</v>
      </c>
      <c r="F1415" s="17">
        <v>1391747</v>
      </c>
      <c r="G1415" s="8">
        <v>45655</v>
      </c>
      <c r="H1415" s="1" t="s">
        <v>2512</v>
      </c>
      <c r="I1415" s="11" t="s">
        <v>1512</v>
      </c>
      <c r="J1415" s="6">
        <v>169427</v>
      </c>
      <c r="K1415" s="3">
        <v>15169427</v>
      </c>
    </row>
    <row r="1416" spans="1:11" x14ac:dyDescent="0.25">
      <c r="A1416" s="1" t="s">
        <v>2437</v>
      </c>
      <c r="B1416" s="1" t="s">
        <v>1523</v>
      </c>
      <c r="C1416" s="5">
        <v>3</v>
      </c>
      <c r="D1416" s="15">
        <v>31601403</v>
      </c>
      <c r="E1416" s="1" t="s">
        <v>1515</v>
      </c>
      <c r="F1416" s="18">
        <v>7682933</v>
      </c>
      <c r="G1416" s="9">
        <v>45610</v>
      </c>
      <c r="H1416" s="1" t="s">
        <v>1543</v>
      </c>
      <c r="I1416" s="12" t="s">
        <v>1521</v>
      </c>
      <c r="J1416" s="6">
        <v>478369</v>
      </c>
      <c r="K1416" s="3">
        <v>15478369</v>
      </c>
    </row>
    <row r="1417" spans="1:11" x14ac:dyDescent="0.25">
      <c r="A1417" s="1" t="s">
        <v>2438</v>
      </c>
      <c r="B1417" s="1" t="s">
        <v>1545</v>
      </c>
      <c r="C1417" s="5">
        <v>5</v>
      </c>
      <c r="D1417" s="14">
        <v>7846377</v>
      </c>
      <c r="E1417" s="1" t="s">
        <v>2504</v>
      </c>
      <c r="F1417" s="17">
        <v>378254</v>
      </c>
      <c r="G1417" s="8">
        <v>45833</v>
      </c>
      <c r="H1417" s="1" t="s">
        <v>1513</v>
      </c>
      <c r="I1417" s="11" t="s">
        <v>1512</v>
      </c>
      <c r="J1417" s="6">
        <v>149362</v>
      </c>
      <c r="K1417" s="3">
        <v>15149362</v>
      </c>
    </row>
    <row r="1418" spans="1:11" x14ac:dyDescent="0.25">
      <c r="A1418" s="1" t="s">
        <v>3018</v>
      </c>
      <c r="B1418" s="1" t="s">
        <v>1517</v>
      </c>
      <c r="C1418" s="5">
        <v>1</v>
      </c>
      <c r="D1418" s="15">
        <v>17433743</v>
      </c>
      <c r="E1418" s="1" t="s">
        <v>1538</v>
      </c>
      <c r="F1418" s="18">
        <v>1425921</v>
      </c>
      <c r="G1418" s="9">
        <v>45856</v>
      </c>
      <c r="H1418" s="1" t="s">
        <v>1543</v>
      </c>
      <c r="I1418" s="12" t="s">
        <v>1518</v>
      </c>
      <c r="J1418" s="6">
        <v>320156</v>
      </c>
      <c r="K1418" s="3">
        <v>15320156</v>
      </c>
    </row>
    <row r="1419" spans="1:11" x14ac:dyDescent="0.25">
      <c r="A1419" s="1" t="s">
        <v>2439</v>
      </c>
      <c r="B1419" s="1" t="s">
        <v>1527</v>
      </c>
      <c r="C1419" s="5">
        <v>1</v>
      </c>
      <c r="D1419" s="14">
        <v>28639402</v>
      </c>
      <c r="E1419" s="1" t="s">
        <v>1515</v>
      </c>
      <c r="F1419" s="17">
        <v>5448839</v>
      </c>
      <c r="G1419" s="8">
        <v>45826</v>
      </c>
      <c r="H1419" s="1" t="s">
        <v>2510</v>
      </c>
      <c r="I1419" s="11" t="s">
        <v>2509</v>
      </c>
      <c r="J1419" s="6">
        <v>463811</v>
      </c>
      <c r="K1419" s="3">
        <v>15463811</v>
      </c>
    </row>
    <row r="1420" spans="1:11" x14ac:dyDescent="0.25">
      <c r="A1420" s="1" t="s">
        <v>2440</v>
      </c>
      <c r="B1420" s="1" t="s">
        <v>1523</v>
      </c>
      <c r="C1420" s="5">
        <v>1</v>
      </c>
      <c r="D1420" s="15">
        <v>48264535</v>
      </c>
      <c r="E1420" s="1" t="s">
        <v>1538</v>
      </c>
      <c r="F1420" s="18">
        <v>10287947</v>
      </c>
      <c r="G1420" s="9">
        <v>45625</v>
      </c>
      <c r="H1420" s="1" t="s">
        <v>1522</v>
      </c>
      <c r="I1420" s="12" t="s">
        <v>1521</v>
      </c>
      <c r="J1420" s="6">
        <v>759532</v>
      </c>
      <c r="K1420" s="3">
        <v>15759532</v>
      </c>
    </row>
    <row r="1421" spans="1:11" x14ac:dyDescent="0.25">
      <c r="A1421" s="1" t="s">
        <v>2441</v>
      </c>
      <c r="B1421" s="1" t="s">
        <v>1517</v>
      </c>
      <c r="C1421" s="5">
        <v>5</v>
      </c>
      <c r="D1421" s="14">
        <v>11595333</v>
      </c>
      <c r="E1421" s="1" t="s">
        <v>1515</v>
      </c>
      <c r="F1421" s="17">
        <v>922952</v>
      </c>
      <c r="G1421" s="8">
        <v>45570</v>
      </c>
      <c r="H1421" s="1" t="s">
        <v>2510</v>
      </c>
      <c r="I1421" s="11" t="s">
        <v>2507</v>
      </c>
      <c r="J1421" s="6">
        <v>213448</v>
      </c>
      <c r="K1421" s="3">
        <v>15213448</v>
      </c>
    </row>
    <row r="1422" spans="1:11" x14ac:dyDescent="0.25">
      <c r="A1422" s="1" t="s">
        <v>2442</v>
      </c>
      <c r="B1422" s="1" t="s">
        <v>1517</v>
      </c>
      <c r="C1422" s="5">
        <v>4</v>
      </c>
      <c r="D1422" s="15">
        <v>4124371</v>
      </c>
      <c r="E1422" s="1" t="s">
        <v>1515</v>
      </c>
      <c r="F1422" s="18">
        <v>396493</v>
      </c>
      <c r="G1422" s="9">
        <v>45619</v>
      </c>
      <c r="H1422" s="1" t="s">
        <v>1513</v>
      </c>
      <c r="I1422" s="12" t="s">
        <v>2507</v>
      </c>
      <c r="J1422" s="6">
        <v>74558</v>
      </c>
      <c r="K1422" s="3">
        <v>15074558</v>
      </c>
    </row>
    <row r="1423" spans="1:11" x14ac:dyDescent="0.25">
      <c r="A1423" s="1" t="s">
        <v>2443</v>
      </c>
      <c r="B1423" s="1" t="s">
        <v>1540</v>
      </c>
      <c r="C1423" s="5">
        <v>3</v>
      </c>
      <c r="D1423" s="14">
        <v>9890593</v>
      </c>
      <c r="E1423" s="1" t="s">
        <v>2504</v>
      </c>
      <c r="F1423" s="17">
        <v>338817</v>
      </c>
      <c r="G1423" s="8">
        <v>45695</v>
      </c>
      <c r="H1423" s="1" t="s">
        <v>2512</v>
      </c>
      <c r="I1423" s="11" t="s">
        <v>1521</v>
      </c>
      <c r="J1423" s="6">
        <v>191036</v>
      </c>
      <c r="K1423" s="3">
        <v>15191036</v>
      </c>
    </row>
    <row r="1424" spans="1:11" x14ac:dyDescent="0.25">
      <c r="A1424" s="1" t="s">
        <v>2444</v>
      </c>
      <c r="B1424" s="1" t="s">
        <v>1514</v>
      </c>
      <c r="C1424" s="5">
        <v>2</v>
      </c>
      <c r="D1424" s="15">
        <v>43156296</v>
      </c>
      <c r="E1424" s="1" t="s">
        <v>1538</v>
      </c>
      <c r="F1424" s="18">
        <v>748802</v>
      </c>
      <c r="G1424" s="9">
        <v>45697</v>
      </c>
      <c r="H1424" s="1" t="s">
        <v>1519</v>
      </c>
      <c r="I1424" s="12" t="s">
        <v>1521</v>
      </c>
      <c r="J1424" s="6">
        <v>713366</v>
      </c>
      <c r="K1424" s="3">
        <v>15713366</v>
      </c>
    </row>
    <row r="1425" spans="1:11" x14ac:dyDescent="0.25">
      <c r="A1425" s="1" t="s">
        <v>2445</v>
      </c>
      <c r="B1425" s="1" t="s">
        <v>1517</v>
      </c>
      <c r="C1425" s="5">
        <v>2</v>
      </c>
      <c r="D1425" s="14">
        <v>5413192</v>
      </c>
      <c r="E1425" s="1" t="s">
        <v>1515</v>
      </c>
      <c r="F1425" s="17">
        <v>512459</v>
      </c>
      <c r="G1425" s="8">
        <v>45786</v>
      </c>
      <c r="H1425" s="1" t="s">
        <v>1519</v>
      </c>
      <c r="I1425" s="11" t="s">
        <v>1518</v>
      </c>
      <c r="J1425" s="6">
        <v>98015</v>
      </c>
      <c r="K1425" s="3">
        <v>15098015</v>
      </c>
    </row>
    <row r="1426" spans="1:11" x14ac:dyDescent="0.25">
      <c r="A1426" s="1" t="s">
        <v>2446</v>
      </c>
      <c r="B1426" s="1" t="s">
        <v>1517</v>
      </c>
      <c r="C1426" s="5">
        <v>3</v>
      </c>
      <c r="D1426" s="15">
        <v>21285231</v>
      </c>
      <c r="E1426" s="1" t="s">
        <v>1515</v>
      </c>
      <c r="F1426" s="18">
        <v>503103</v>
      </c>
      <c r="G1426" s="9">
        <v>45521</v>
      </c>
      <c r="H1426" s="1" t="s">
        <v>2510</v>
      </c>
      <c r="I1426" s="12" t="s">
        <v>2509</v>
      </c>
      <c r="J1426" s="6">
        <v>325084</v>
      </c>
      <c r="K1426" s="3">
        <v>15325084</v>
      </c>
    </row>
    <row r="1427" spans="1:11" x14ac:dyDescent="0.25">
      <c r="A1427" s="1" t="s">
        <v>2447</v>
      </c>
      <c r="B1427" s="1" t="s">
        <v>1534</v>
      </c>
      <c r="C1427" s="5">
        <v>5</v>
      </c>
      <c r="D1427" s="14">
        <v>3978887</v>
      </c>
      <c r="E1427" s="1" t="s">
        <v>1538</v>
      </c>
      <c r="F1427" s="17">
        <v>109853</v>
      </c>
      <c r="G1427" s="8">
        <v>45524</v>
      </c>
      <c r="H1427" s="1" t="s">
        <v>2508</v>
      </c>
      <c r="I1427" s="11" t="s">
        <v>2507</v>
      </c>
      <c r="J1427" s="6">
        <v>77381</v>
      </c>
      <c r="K1427" s="3">
        <v>15077381</v>
      </c>
    </row>
    <row r="1428" spans="1:11" x14ac:dyDescent="0.25">
      <c r="A1428" s="1" t="s">
        <v>2448</v>
      </c>
      <c r="B1428" s="1" t="s">
        <v>1517</v>
      </c>
      <c r="C1428" s="5">
        <v>3</v>
      </c>
      <c r="D1428" s="15">
        <v>40687253</v>
      </c>
      <c r="E1428" s="1" t="s">
        <v>1515</v>
      </c>
      <c r="F1428" s="18">
        <v>6813712</v>
      </c>
      <c r="G1428" s="9">
        <v>45826</v>
      </c>
      <c r="H1428" s="1" t="s">
        <v>1522</v>
      </c>
      <c r="I1428" s="12" t="s">
        <v>2509</v>
      </c>
      <c r="J1428" s="6">
        <v>677471</v>
      </c>
      <c r="K1428" s="3">
        <v>15677471</v>
      </c>
    </row>
    <row r="1429" spans="1:11" x14ac:dyDescent="0.25">
      <c r="A1429" s="1" t="s">
        <v>2449</v>
      </c>
      <c r="B1429" s="1" t="s">
        <v>1536</v>
      </c>
      <c r="C1429" s="5">
        <v>1</v>
      </c>
      <c r="D1429" s="14">
        <v>6269359</v>
      </c>
      <c r="E1429" s="1" t="s">
        <v>2504</v>
      </c>
      <c r="F1429" s="17">
        <v>113111</v>
      </c>
      <c r="G1429" s="8">
        <v>45682</v>
      </c>
      <c r="H1429" s="1" t="s">
        <v>2519</v>
      </c>
      <c r="I1429" s="11" t="s">
        <v>2507</v>
      </c>
      <c r="J1429" s="6">
        <v>102765</v>
      </c>
      <c r="K1429" s="3">
        <v>15102765</v>
      </c>
    </row>
    <row r="1430" spans="1:11" x14ac:dyDescent="0.25">
      <c r="A1430" s="1" t="s">
        <v>2450</v>
      </c>
      <c r="B1430" s="1" t="s">
        <v>1523</v>
      </c>
      <c r="C1430" s="5">
        <v>1</v>
      </c>
      <c r="D1430" s="15">
        <v>8691719</v>
      </c>
      <c r="E1430" s="1" t="s">
        <v>1515</v>
      </c>
      <c r="F1430" s="18">
        <v>581783</v>
      </c>
      <c r="G1430" s="9">
        <v>45518</v>
      </c>
      <c r="H1430" s="1" t="s">
        <v>1543</v>
      </c>
      <c r="I1430" s="12" t="s">
        <v>1521</v>
      </c>
      <c r="J1430" s="6">
        <v>162199</v>
      </c>
      <c r="K1430" s="3">
        <v>15162199</v>
      </c>
    </row>
    <row r="1431" spans="1:11" x14ac:dyDescent="0.25">
      <c r="A1431" s="1" t="s">
        <v>3019</v>
      </c>
      <c r="B1431" s="1" t="s">
        <v>1540</v>
      </c>
      <c r="C1431" s="5">
        <v>3</v>
      </c>
      <c r="D1431" s="14">
        <v>6525192</v>
      </c>
      <c r="E1431" s="1" t="s">
        <v>1515</v>
      </c>
      <c r="F1431" s="17">
        <v>962831</v>
      </c>
      <c r="G1431" s="8">
        <v>45676</v>
      </c>
      <c r="H1431" s="1" t="s">
        <v>2512</v>
      </c>
      <c r="I1431" s="11" t="s">
        <v>2507</v>
      </c>
      <c r="J1431" s="6">
        <v>111247</v>
      </c>
      <c r="K1431" s="3">
        <v>15111247</v>
      </c>
    </row>
    <row r="1432" spans="1:11" x14ac:dyDescent="0.25">
      <c r="A1432" s="1" t="s">
        <v>3020</v>
      </c>
      <c r="B1432" s="1" t="s">
        <v>1527</v>
      </c>
      <c r="C1432" s="5">
        <v>3</v>
      </c>
      <c r="D1432" s="15">
        <v>44373577</v>
      </c>
      <c r="E1432" s="1" t="s">
        <v>1538</v>
      </c>
      <c r="F1432" s="18">
        <v>9335592</v>
      </c>
      <c r="G1432" s="9">
        <v>45500</v>
      </c>
      <c r="H1432" s="1" t="s">
        <v>2519</v>
      </c>
      <c r="I1432" s="12" t="s">
        <v>2507</v>
      </c>
      <c r="J1432" s="6">
        <v>70076</v>
      </c>
      <c r="K1432" s="3">
        <v>1570076</v>
      </c>
    </row>
    <row r="1433" spans="1:11" x14ac:dyDescent="0.25">
      <c r="A1433" s="1" t="s">
        <v>2451</v>
      </c>
      <c r="B1433" s="1" t="s">
        <v>1527</v>
      </c>
      <c r="C1433" s="5">
        <v>2</v>
      </c>
      <c r="D1433" s="14">
        <v>36664863</v>
      </c>
      <c r="E1433" s="1" t="s">
        <v>2504</v>
      </c>
      <c r="F1433" s="17">
        <v>2023834</v>
      </c>
      <c r="G1433" s="8">
        <v>45554</v>
      </c>
      <c r="H1433" s="1" t="s">
        <v>1543</v>
      </c>
      <c r="I1433" s="11" t="s">
        <v>2511</v>
      </c>
      <c r="J1433" s="6">
        <v>692821</v>
      </c>
      <c r="K1433" s="3">
        <v>15692821</v>
      </c>
    </row>
    <row r="1434" spans="1:11" x14ac:dyDescent="0.25">
      <c r="A1434" s="1" t="s">
        <v>2452</v>
      </c>
      <c r="B1434" s="1" t="s">
        <v>1545</v>
      </c>
      <c r="C1434" s="5">
        <v>4</v>
      </c>
      <c r="D1434" s="15">
        <v>49254244</v>
      </c>
      <c r="E1434" s="1" t="s">
        <v>2504</v>
      </c>
      <c r="F1434" s="18">
        <v>10282807</v>
      </c>
      <c r="G1434" s="9">
        <v>45538</v>
      </c>
      <c r="H1434" s="1" t="s">
        <v>2510</v>
      </c>
      <c r="I1434" s="12" t="s">
        <v>2509</v>
      </c>
      <c r="J1434" s="6">
        <v>779429</v>
      </c>
      <c r="K1434" s="3">
        <v>15779429</v>
      </c>
    </row>
    <row r="1435" spans="1:11" x14ac:dyDescent="0.25">
      <c r="A1435" s="1" t="s">
        <v>2453</v>
      </c>
      <c r="B1435" s="1" t="s">
        <v>1536</v>
      </c>
      <c r="C1435" s="5">
        <v>3</v>
      </c>
      <c r="D1435" s="14">
        <v>33335495</v>
      </c>
      <c r="E1435" s="1" t="s">
        <v>1515</v>
      </c>
      <c r="F1435" s="17">
        <v>749299</v>
      </c>
      <c r="G1435" s="8">
        <v>45752</v>
      </c>
      <c r="H1435" s="1" t="s">
        <v>2508</v>
      </c>
      <c r="I1435" s="11" t="s">
        <v>2507</v>
      </c>
      <c r="J1435" s="6">
        <v>51685</v>
      </c>
      <c r="K1435" s="3">
        <v>1551685</v>
      </c>
    </row>
    <row r="1436" spans="1:11" x14ac:dyDescent="0.25">
      <c r="A1436" s="1" t="s">
        <v>2454</v>
      </c>
      <c r="B1436" s="1" t="s">
        <v>1532</v>
      </c>
      <c r="C1436" s="5">
        <v>1</v>
      </c>
      <c r="D1436" s="15">
        <v>6543227</v>
      </c>
      <c r="E1436" s="1" t="s">
        <v>2504</v>
      </c>
      <c r="F1436" s="18">
        <v>1393533</v>
      </c>
      <c r="G1436" s="9">
        <v>45524</v>
      </c>
      <c r="H1436" s="1" t="s">
        <v>1513</v>
      </c>
      <c r="I1436" s="12" t="s">
        <v>2511</v>
      </c>
      <c r="J1436" s="6">
        <v>102994</v>
      </c>
      <c r="K1436" s="3">
        <v>15102994</v>
      </c>
    </row>
    <row r="1437" spans="1:11" x14ac:dyDescent="0.25">
      <c r="A1437" s="1" t="s">
        <v>2455</v>
      </c>
      <c r="B1437" s="1" t="s">
        <v>1540</v>
      </c>
      <c r="C1437" s="5">
        <v>3</v>
      </c>
      <c r="D1437" s="14">
        <v>20422948</v>
      </c>
      <c r="E1437" s="1" t="s">
        <v>1515</v>
      </c>
      <c r="F1437" s="17">
        <v>2276206</v>
      </c>
      <c r="G1437" s="8">
        <v>45711</v>
      </c>
      <c r="H1437" s="1" t="s">
        <v>2515</v>
      </c>
      <c r="I1437" s="11" t="s">
        <v>1518</v>
      </c>
      <c r="J1437" s="6">
        <v>362935</v>
      </c>
      <c r="K1437" s="3">
        <v>15362935</v>
      </c>
    </row>
    <row r="1438" spans="1:11" x14ac:dyDescent="0.25">
      <c r="A1438" s="1" t="s">
        <v>2456</v>
      </c>
      <c r="B1438" s="1" t="s">
        <v>1532</v>
      </c>
      <c r="C1438" s="5">
        <v>4</v>
      </c>
      <c r="D1438" s="15">
        <v>45198237</v>
      </c>
      <c r="E1438" s="1" t="s">
        <v>2504</v>
      </c>
      <c r="F1438" s="18">
        <v>520082</v>
      </c>
      <c r="G1438" s="9">
        <v>45739</v>
      </c>
      <c r="H1438" s="1" t="s">
        <v>2515</v>
      </c>
      <c r="I1438" s="12" t="s">
        <v>2511</v>
      </c>
      <c r="J1438" s="6">
        <v>799948</v>
      </c>
      <c r="K1438" s="3">
        <v>15799948</v>
      </c>
    </row>
    <row r="1439" spans="1:11" x14ac:dyDescent="0.25">
      <c r="A1439" s="1" t="s">
        <v>2457</v>
      </c>
      <c r="B1439" s="1" t="s">
        <v>1532</v>
      </c>
      <c r="C1439" s="5">
        <v>1</v>
      </c>
      <c r="D1439" s="14">
        <v>26285564</v>
      </c>
      <c r="E1439" s="1" t="s">
        <v>1538</v>
      </c>
      <c r="F1439" s="17">
        <v>6287263</v>
      </c>
      <c r="G1439" s="8">
        <v>45627</v>
      </c>
      <c r="H1439" s="1" t="s">
        <v>2512</v>
      </c>
      <c r="I1439" s="11" t="s">
        <v>1518</v>
      </c>
      <c r="J1439" s="6">
        <v>399966</v>
      </c>
      <c r="K1439" s="3">
        <v>15399966</v>
      </c>
    </row>
    <row r="1440" spans="1:11" x14ac:dyDescent="0.25">
      <c r="A1440" s="1" t="s">
        <v>2458</v>
      </c>
      <c r="B1440" s="1" t="s">
        <v>1514</v>
      </c>
      <c r="C1440" s="5">
        <v>2</v>
      </c>
      <c r="D1440" s="15">
        <v>10975243</v>
      </c>
      <c r="E1440" s="1" t="s">
        <v>1515</v>
      </c>
      <c r="F1440" s="18">
        <v>937966</v>
      </c>
      <c r="G1440" s="9">
        <v>45703</v>
      </c>
      <c r="H1440" s="1" t="s">
        <v>1519</v>
      </c>
      <c r="I1440" s="12" t="s">
        <v>2509</v>
      </c>
      <c r="J1440" s="6">
        <v>200746</v>
      </c>
      <c r="K1440" s="3">
        <v>15200746</v>
      </c>
    </row>
    <row r="1441" spans="1:11" x14ac:dyDescent="0.25">
      <c r="A1441" s="1" t="s">
        <v>3021</v>
      </c>
      <c r="B1441" s="1" t="s">
        <v>1532</v>
      </c>
      <c r="C1441" s="5">
        <v>1</v>
      </c>
      <c r="D1441" s="14">
        <v>36704315</v>
      </c>
      <c r="E1441" s="1" t="s">
        <v>2504</v>
      </c>
      <c r="F1441" s="17">
        <v>8275768</v>
      </c>
      <c r="G1441" s="8">
        <v>45503</v>
      </c>
      <c r="H1441" s="1" t="s">
        <v>2510</v>
      </c>
      <c r="I1441" s="11" t="s">
        <v>2509</v>
      </c>
      <c r="J1441" s="6">
        <v>568571</v>
      </c>
      <c r="K1441" s="3">
        <v>15568571</v>
      </c>
    </row>
    <row r="1442" spans="1:11" x14ac:dyDescent="0.25">
      <c r="A1442" s="1" t="s">
        <v>2459</v>
      </c>
      <c r="B1442" s="1" t="s">
        <v>1525</v>
      </c>
      <c r="C1442" s="5">
        <v>3</v>
      </c>
      <c r="D1442" s="15">
        <v>1917829</v>
      </c>
      <c r="E1442" s="1" t="s">
        <v>1515</v>
      </c>
      <c r="F1442" s="18">
        <v>698061</v>
      </c>
      <c r="G1442" s="9">
        <v>45621</v>
      </c>
      <c r="H1442" s="1" t="s">
        <v>1543</v>
      </c>
      <c r="I1442" s="12" t="s">
        <v>2509</v>
      </c>
      <c r="J1442" s="6">
        <v>369605</v>
      </c>
      <c r="K1442" s="3">
        <v>15369605</v>
      </c>
    </row>
    <row r="1443" spans="1:11" x14ac:dyDescent="0.25">
      <c r="A1443" s="1" t="s">
        <v>2460</v>
      </c>
      <c r="B1443" s="1" t="s">
        <v>1527</v>
      </c>
      <c r="C1443" s="5">
        <v>3</v>
      </c>
      <c r="D1443" s="14">
        <v>47189985</v>
      </c>
      <c r="E1443" s="1" t="s">
        <v>1515</v>
      </c>
      <c r="F1443" s="17">
        <v>2215853</v>
      </c>
      <c r="G1443" s="8">
        <v>45709</v>
      </c>
      <c r="H1443" s="1" t="s">
        <v>2512</v>
      </c>
      <c r="I1443" s="11" t="s">
        <v>2509</v>
      </c>
      <c r="J1443" s="6">
        <v>899483</v>
      </c>
      <c r="K1443" s="3">
        <v>15899483</v>
      </c>
    </row>
    <row r="1444" spans="1:11" x14ac:dyDescent="0.25">
      <c r="A1444" s="1" t="s">
        <v>2461</v>
      </c>
      <c r="B1444" s="1" t="s">
        <v>1536</v>
      </c>
      <c r="C1444" s="5">
        <v>1</v>
      </c>
      <c r="D1444" s="15">
        <v>47845251</v>
      </c>
      <c r="E1444" s="1" t="s">
        <v>2504</v>
      </c>
      <c r="F1444" s="18">
        <v>8931267</v>
      </c>
      <c r="G1444" s="9">
        <v>45833</v>
      </c>
      <c r="H1444" s="1" t="s">
        <v>1513</v>
      </c>
      <c r="I1444" s="12" t="s">
        <v>2507</v>
      </c>
      <c r="J1444" s="6">
        <v>77828</v>
      </c>
      <c r="K1444" s="3">
        <v>1577828</v>
      </c>
    </row>
    <row r="1445" spans="1:11" x14ac:dyDescent="0.25">
      <c r="A1445" s="1" t="s">
        <v>2462</v>
      </c>
      <c r="B1445" s="1" t="s">
        <v>1532</v>
      </c>
      <c r="C1445" s="5">
        <v>3</v>
      </c>
      <c r="D1445" s="14">
        <v>42346011</v>
      </c>
      <c r="E1445" s="1" t="s">
        <v>1538</v>
      </c>
      <c r="F1445" s="17">
        <v>5176472</v>
      </c>
      <c r="G1445" s="8">
        <v>45601</v>
      </c>
      <c r="H1445" s="1" t="s">
        <v>2512</v>
      </c>
      <c r="I1445" s="11" t="s">
        <v>1521</v>
      </c>
      <c r="J1445" s="6">
        <v>743391</v>
      </c>
      <c r="K1445" s="3">
        <v>15743391</v>
      </c>
    </row>
    <row r="1446" spans="1:11" x14ac:dyDescent="0.25">
      <c r="A1446" s="1" t="s">
        <v>2463</v>
      </c>
      <c r="B1446" s="1" t="s">
        <v>1525</v>
      </c>
      <c r="C1446" s="5">
        <v>5</v>
      </c>
      <c r="D1446" s="15">
        <v>2236454</v>
      </c>
      <c r="E1446" s="1" t="s">
        <v>1538</v>
      </c>
      <c r="F1446" s="18">
        <v>8561</v>
      </c>
      <c r="G1446" s="9">
        <v>45839</v>
      </c>
      <c r="H1446" s="1" t="s">
        <v>1543</v>
      </c>
      <c r="I1446" s="12" t="s">
        <v>1521</v>
      </c>
      <c r="J1446" s="6">
        <v>43017</v>
      </c>
      <c r="K1446" s="3">
        <v>15043017</v>
      </c>
    </row>
    <row r="1447" spans="1:11" x14ac:dyDescent="0.25">
      <c r="A1447" s="1" t="s">
        <v>3022</v>
      </c>
      <c r="B1447" s="1" t="s">
        <v>1517</v>
      </c>
      <c r="C1447" s="5">
        <v>4</v>
      </c>
      <c r="D1447" s="14">
        <v>5221835</v>
      </c>
      <c r="E1447" s="1" t="s">
        <v>1538</v>
      </c>
      <c r="F1447" s="17">
        <v>191981</v>
      </c>
      <c r="G1447" s="8">
        <v>45536</v>
      </c>
      <c r="H1447" s="1" t="s">
        <v>2512</v>
      </c>
      <c r="I1447" s="11" t="s">
        <v>2507</v>
      </c>
      <c r="J1447" s="6">
        <v>100597</v>
      </c>
      <c r="K1447" s="3">
        <v>15100597</v>
      </c>
    </row>
    <row r="1448" spans="1:11" x14ac:dyDescent="0.25">
      <c r="A1448" s="1" t="s">
        <v>2464</v>
      </c>
      <c r="B1448" s="1" t="s">
        <v>1527</v>
      </c>
      <c r="C1448" s="5">
        <v>5</v>
      </c>
      <c r="D1448" s="15">
        <v>26211529</v>
      </c>
      <c r="E1448" s="1" t="s">
        <v>1515</v>
      </c>
      <c r="F1448" s="18">
        <v>2763649</v>
      </c>
      <c r="G1448" s="9">
        <v>45746</v>
      </c>
      <c r="H1448" s="1" t="s">
        <v>2510</v>
      </c>
      <c r="I1448" s="12" t="s">
        <v>1518</v>
      </c>
      <c r="J1448" s="6">
        <v>468958</v>
      </c>
      <c r="K1448" s="3">
        <v>15468958</v>
      </c>
    </row>
    <row r="1449" spans="1:11" x14ac:dyDescent="0.25">
      <c r="A1449" s="1" t="s">
        <v>2465</v>
      </c>
      <c r="B1449" s="1" t="s">
        <v>1523</v>
      </c>
      <c r="C1449" s="5">
        <v>2</v>
      </c>
      <c r="D1449" s="14">
        <v>4133076</v>
      </c>
      <c r="E1449" s="1" t="s">
        <v>2504</v>
      </c>
      <c r="F1449" s="17">
        <v>3144613</v>
      </c>
      <c r="G1449" s="8">
        <v>45746</v>
      </c>
      <c r="H1449" s="1" t="s">
        <v>1543</v>
      </c>
      <c r="I1449" s="11" t="s">
        <v>2509</v>
      </c>
      <c r="J1449" s="6">
        <v>763723</v>
      </c>
      <c r="K1449" s="3">
        <v>15763723</v>
      </c>
    </row>
    <row r="1450" spans="1:11" x14ac:dyDescent="0.25">
      <c r="A1450" s="1" t="s">
        <v>3023</v>
      </c>
      <c r="B1450" s="1" t="s">
        <v>1534</v>
      </c>
      <c r="C1450" s="5">
        <v>3</v>
      </c>
      <c r="D1450" s="15">
        <v>22982569</v>
      </c>
      <c r="E1450" s="1" t="s">
        <v>1538</v>
      </c>
      <c r="F1450" s="18">
        <v>2992822</v>
      </c>
      <c r="G1450" s="9">
        <v>45699</v>
      </c>
      <c r="H1450" s="1" t="s">
        <v>1543</v>
      </c>
      <c r="I1450" s="12" t="s">
        <v>1521</v>
      </c>
      <c r="J1450" s="6">
        <v>399795</v>
      </c>
      <c r="K1450" s="3">
        <v>15399795</v>
      </c>
    </row>
    <row r="1451" spans="1:11" x14ac:dyDescent="0.25">
      <c r="A1451" s="1" t="s">
        <v>3024</v>
      </c>
      <c r="B1451" s="1" t="s">
        <v>1527</v>
      </c>
      <c r="C1451" s="5">
        <v>3</v>
      </c>
      <c r="D1451" s="14">
        <v>43970549</v>
      </c>
      <c r="E1451" s="1" t="s">
        <v>1515</v>
      </c>
      <c r="F1451" s="17">
        <v>1258804</v>
      </c>
      <c r="G1451" s="8">
        <v>45685</v>
      </c>
      <c r="H1451" s="1" t="s">
        <v>2510</v>
      </c>
      <c r="I1451" s="11" t="s">
        <v>2509</v>
      </c>
      <c r="J1451" s="6">
        <v>854235</v>
      </c>
      <c r="K1451" s="3">
        <v>15854235</v>
      </c>
    </row>
    <row r="1452" spans="1:11" x14ac:dyDescent="0.25">
      <c r="A1452" s="1" t="s">
        <v>2466</v>
      </c>
      <c r="B1452" s="1" t="s">
        <v>1525</v>
      </c>
      <c r="C1452" s="5">
        <v>1</v>
      </c>
      <c r="D1452" s="15">
        <v>41499155</v>
      </c>
      <c r="E1452" s="1" t="s">
        <v>2504</v>
      </c>
      <c r="F1452" s="18">
        <v>7094953</v>
      </c>
      <c r="G1452" s="9">
        <v>45695</v>
      </c>
      <c r="H1452" s="1" t="s">
        <v>1522</v>
      </c>
      <c r="I1452" s="12" t="s">
        <v>2507</v>
      </c>
      <c r="J1452" s="6">
        <v>688084</v>
      </c>
      <c r="K1452" s="3">
        <v>15688084</v>
      </c>
    </row>
    <row r="1453" spans="1:11" x14ac:dyDescent="0.25">
      <c r="A1453" s="1" t="s">
        <v>2467</v>
      </c>
      <c r="B1453" s="1" t="s">
        <v>1527</v>
      </c>
      <c r="C1453" s="5">
        <v>2</v>
      </c>
      <c r="D1453" s="14">
        <v>41122352</v>
      </c>
      <c r="E1453" s="1" t="s">
        <v>1538</v>
      </c>
      <c r="F1453" s="17">
        <v>6348375</v>
      </c>
      <c r="G1453" s="8">
        <v>45651</v>
      </c>
      <c r="H1453" s="1" t="s">
        <v>1543</v>
      </c>
      <c r="I1453" s="11" t="s">
        <v>2511</v>
      </c>
      <c r="J1453" s="6">
        <v>69548</v>
      </c>
      <c r="K1453" s="3">
        <v>1569548</v>
      </c>
    </row>
    <row r="1454" spans="1:11" x14ac:dyDescent="0.25">
      <c r="A1454" s="1" t="s">
        <v>2468</v>
      </c>
      <c r="B1454" s="1" t="s">
        <v>1525</v>
      </c>
      <c r="C1454" s="5">
        <v>4</v>
      </c>
      <c r="D1454" s="15">
        <v>40330647</v>
      </c>
      <c r="E1454" s="1" t="s">
        <v>1538</v>
      </c>
      <c r="F1454" s="18">
        <v>8311803</v>
      </c>
      <c r="G1454" s="9">
        <v>45580</v>
      </c>
      <c r="H1454" s="1" t="s">
        <v>1543</v>
      </c>
      <c r="I1454" s="12" t="s">
        <v>1521</v>
      </c>
      <c r="J1454" s="6">
        <v>640377</v>
      </c>
      <c r="K1454" s="3">
        <v>15640377</v>
      </c>
    </row>
    <row r="1455" spans="1:11" x14ac:dyDescent="0.25">
      <c r="A1455" s="1" t="s">
        <v>2469</v>
      </c>
      <c r="B1455" s="1" t="s">
        <v>1536</v>
      </c>
      <c r="C1455" s="5">
        <v>2</v>
      </c>
      <c r="D1455" s="14">
        <v>21350991</v>
      </c>
      <c r="E1455" s="1" t="s">
        <v>1515</v>
      </c>
      <c r="F1455" s="17">
        <v>162175</v>
      </c>
      <c r="G1455" s="8">
        <v>45523</v>
      </c>
      <c r="H1455" s="1" t="s">
        <v>2508</v>
      </c>
      <c r="I1455" s="11" t="s">
        <v>1512</v>
      </c>
      <c r="J1455" s="6">
        <v>394585</v>
      </c>
      <c r="K1455" s="3">
        <v>15394585</v>
      </c>
    </row>
    <row r="1456" spans="1:11" x14ac:dyDescent="0.25">
      <c r="A1456" s="1" t="s">
        <v>2470</v>
      </c>
      <c r="B1456" s="1" t="s">
        <v>1534</v>
      </c>
      <c r="C1456" s="5">
        <v>1</v>
      </c>
      <c r="D1456" s="15">
        <v>27928044</v>
      </c>
      <c r="E1456" s="1" t="s">
        <v>1515</v>
      </c>
      <c r="F1456" s="18">
        <v>5600159</v>
      </c>
      <c r="G1456" s="9">
        <v>45760</v>
      </c>
      <c r="H1456" s="1" t="s">
        <v>2519</v>
      </c>
      <c r="I1456" s="12" t="s">
        <v>1512</v>
      </c>
      <c r="J1456" s="6">
        <v>446558</v>
      </c>
      <c r="K1456" s="3">
        <v>15446558</v>
      </c>
    </row>
    <row r="1457" spans="1:11" x14ac:dyDescent="0.25">
      <c r="A1457" s="1" t="s">
        <v>2471</v>
      </c>
      <c r="B1457" s="1" t="s">
        <v>1545</v>
      </c>
      <c r="C1457" s="5">
        <v>1</v>
      </c>
      <c r="D1457" s="14">
        <v>41562784</v>
      </c>
      <c r="E1457" s="1" t="s">
        <v>1538</v>
      </c>
      <c r="F1457" s="17">
        <v>4901932</v>
      </c>
      <c r="G1457" s="8">
        <v>45811</v>
      </c>
      <c r="H1457" s="1" t="s">
        <v>1516</v>
      </c>
      <c r="I1457" s="11" t="s">
        <v>1518</v>
      </c>
      <c r="J1457" s="6">
        <v>733217</v>
      </c>
      <c r="K1457" s="3">
        <v>15733217</v>
      </c>
    </row>
    <row r="1458" spans="1:11" x14ac:dyDescent="0.25">
      <c r="A1458" s="1" t="s">
        <v>2472</v>
      </c>
      <c r="B1458" s="1" t="s">
        <v>1525</v>
      </c>
      <c r="C1458" s="5">
        <v>3</v>
      </c>
      <c r="D1458" s="15">
        <v>40624612</v>
      </c>
      <c r="E1458" s="1" t="s">
        <v>1538</v>
      </c>
      <c r="F1458" s="18">
        <v>9340615</v>
      </c>
      <c r="G1458" s="9">
        <v>45836</v>
      </c>
      <c r="H1458" s="1" t="s">
        <v>1513</v>
      </c>
      <c r="I1458" s="12" t="s">
        <v>1521</v>
      </c>
      <c r="J1458" s="6">
        <v>62568</v>
      </c>
      <c r="K1458" s="3">
        <v>1562568</v>
      </c>
    </row>
    <row r="1459" spans="1:11" x14ac:dyDescent="0.25">
      <c r="A1459" s="1" t="s">
        <v>2473</v>
      </c>
      <c r="B1459" s="1" t="s">
        <v>1517</v>
      </c>
      <c r="C1459" s="5">
        <v>2</v>
      </c>
      <c r="D1459" s="14">
        <v>16563538</v>
      </c>
      <c r="E1459" s="1" t="s">
        <v>2504</v>
      </c>
      <c r="F1459" s="17">
        <v>365698</v>
      </c>
      <c r="G1459" s="8">
        <v>45625</v>
      </c>
      <c r="H1459" s="1" t="s">
        <v>1519</v>
      </c>
      <c r="I1459" s="11" t="s">
        <v>1518</v>
      </c>
      <c r="J1459" s="6">
        <v>323957</v>
      </c>
      <c r="K1459" s="3">
        <v>15323957</v>
      </c>
    </row>
    <row r="1460" spans="1:11" x14ac:dyDescent="0.25">
      <c r="A1460" s="1" t="s">
        <v>3025</v>
      </c>
      <c r="B1460" s="1" t="s">
        <v>1540</v>
      </c>
      <c r="C1460" s="5">
        <v>2</v>
      </c>
      <c r="D1460" s="15">
        <v>2002245</v>
      </c>
      <c r="E1460" s="1" t="s">
        <v>1538</v>
      </c>
      <c r="F1460" s="18">
        <v>491111</v>
      </c>
      <c r="G1460" s="9">
        <v>45819</v>
      </c>
      <c r="H1460" s="1" t="s">
        <v>1543</v>
      </c>
      <c r="I1460" s="12" t="s">
        <v>2509</v>
      </c>
      <c r="J1460" s="6">
        <v>30223</v>
      </c>
      <c r="K1460" s="3">
        <v>15030223</v>
      </c>
    </row>
    <row r="1461" spans="1:11" x14ac:dyDescent="0.25">
      <c r="A1461" s="1" t="s">
        <v>2474</v>
      </c>
      <c r="B1461" s="1" t="s">
        <v>1517</v>
      </c>
      <c r="C1461" s="5">
        <v>5</v>
      </c>
      <c r="D1461" s="14">
        <v>26935703</v>
      </c>
      <c r="E1461" s="1" t="s">
        <v>2504</v>
      </c>
      <c r="F1461" s="17">
        <v>5012905</v>
      </c>
      <c r="G1461" s="8">
        <v>45641</v>
      </c>
      <c r="H1461" s="1" t="s">
        <v>2508</v>
      </c>
      <c r="I1461" s="11" t="s">
        <v>1521</v>
      </c>
      <c r="J1461" s="6">
        <v>438456</v>
      </c>
      <c r="K1461" s="3">
        <v>15438456</v>
      </c>
    </row>
    <row r="1462" spans="1:11" x14ac:dyDescent="0.25">
      <c r="A1462" s="1" t="s">
        <v>2475</v>
      </c>
      <c r="B1462" s="1" t="s">
        <v>1514</v>
      </c>
      <c r="C1462" s="5">
        <v>5</v>
      </c>
      <c r="D1462" s="15">
        <v>38976623</v>
      </c>
      <c r="E1462" s="1" t="s">
        <v>1538</v>
      </c>
      <c r="F1462" s="18">
        <v>8765514</v>
      </c>
      <c r="G1462" s="9">
        <v>45522</v>
      </c>
      <c r="H1462" s="1" t="s">
        <v>1519</v>
      </c>
      <c r="I1462" s="12" t="s">
        <v>2511</v>
      </c>
      <c r="J1462" s="6">
        <v>604222</v>
      </c>
      <c r="K1462" s="3">
        <v>15604222</v>
      </c>
    </row>
    <row r="1463" spans="1:11" x14ac:dyDescent="0.25">
      <c r="A1463" s="1" t="s">
        <v>3026</v>
      </c>
      <c r="B1463" s="1" t="s">
        <v>1532</v>
      </c>
      <c r="C1463" s="5">
        <v>4</v>
      </c>
      <c r="D1463" s="14">
        <v>2029591</v>
      </c>
      <c r="E1463" s="1" t="s">
        <v>1515</v>
      </c>
      <c r="F1463" s="17">
        <v>422127</v>
      </c>
      <c r="G1463" s="8">
        <v>45824</v>
      </c>
      <c r="H1463" s="1" t="s">
        <v>2512</v>
      </c>
      <c r="I1463" s="11" t="s">
        <v>1512</v>
      </c>
      <c r="J1463" s="6">
        <v>397476</v>
      </c>
      <c r="K1463" s="3">
        <v>15397476</v>
      </c>
    </row>
    <row r="1464" spans="1:11" x14ac:dyDescent="0.25">
      <c r="A1464" s="1" t="s">
        <v>2476</v>
      </c>
      <c r="B1464" s="1" t="s">
        <v>1536</v>
      </c>
      <c r="C1464" s="5">
        <v>5</v>
      </c>
      <c r="D1464" s="15">
        <v>15250485</v>
      </c>
      <c r="E1464" s="1" t="s">
        <v>2504</v>
      </c>
      <c r="F1464" s="18">
        <v>229130</v>
      </c>
      <c r="G1464" s="9">
        <v>45622</v>
      </c>
      <c r="H1464" s="1" t="s">
        <v>2510</v>
      </c>
      <c r="I1464" s="12" t="s">
        <v>1518</v>
      </c>
      <c r="J1464" s="6">
        <v>259184</v>
      </c>
      <c r="K1464" s="3">
        <v>15259184</v>
      </c>
    </row>
    <row r="1465" spans="1:11" x14ac:dyDescent="0.25">
      <c r="A1465" s="1" t="s">
        <v>2477</v>
      </c>
      <c r="B1465" s="1" t="s">
        <v>1532</v>
      </c>
      <c r="C1465" s="5">
        <v>1</v>
      </c>
      <c r="D1465" s="14">
        <v>2610257</v>
      </c>
      <c r="E1465" s="1" t="s">
        <v>1515</v>
      </c>
      <c r="F1465" s="17">
        <v>3155174</v>
      </c>
      <c r="G1465" s="8">
        <v>45635</v>
      </c>
      <c r="H1465" s="1" t="s">
        <v>2508</v>
      </c>
      <c r="I1465" s="11" t="s">
        <v>2507</v>
      </c>
      <c r="J1465" s="6">
        <v>458948</v>
      </c>
      <c r="K1465" s="3">
        <v>15458948</v>
      </c>
    </row>
    <row r="1466" spans="1:11" x14ac:dyDescent="0.25">
      <c r="A1466" s="1" t="s">
        <v>2478</v>
      </c>
      <c r="B1466" s="1" t="s">
        <v>1517</v>
      </c>
      <c r="C1466" s="5">
        <v>1</v>
      </c>
      <c r="D1466" s="15">
        <v>2043321</v>
      </c>
      <c r="E1466" s="1" t="s">
        <v>2504</v>
      </c>
      <c r="F1466" s="18">
        <v>2069055</v>
      </c>
      <c r="G1466" s="9">
        <v>45545</v>
      </c>
      <c r="H1466" s="1" t="s">
        <v>1543</v>
      </c>
      <c r="I1466" s="12" t="s">
        <v>2509</v>
      </c>
      <c r="J1466" s="6">
        <v>367283</v>
      </c>
      <c r="K1466" s="3">
        <v>15367283</v>
      </c>
    </row>
    <row r="1467" spans="1:11" x14ac:dyDescent="0.25">
      <c r="A1467" s="1" t="s">
        <v>2479</v>
      </c>
      <c r="B1467" s="1" t="s">
        <v>1523</v>
      </c>
      <c r="C1467" s="5">
        <v>1</v>
      </c>
      <c r="D1467" s="14">
        <v>8396696</v>
      </c>
      <c r="E1467" s="1" t="s">
        <v>1538</v>
      </c>
      <c r="F1467" s="17">
        <v>25898</v>
      </c>
      <c r="G1467" s="8">
        <v>45588</v>
      </c>
      <c r="H1467" s="1" t="s">
        <v>2519</v>
      </c>
      <c r="I1467" s="11" t="s">
        <v>2509</v>
      </c>
      <c r="J1467" s="6">
        <v>162754</v>
      </c>
      <c r="K1467" s="3">
        <v>15162754</v>
      </c>
    </row>
    <row r="1468" spans="1:11" x14ac:dyDescent="0.25">
      <c r="A1468" s="1" t="s">
        <v>2480</v>
      </c>
      <c r="B1468" s="1" t="s">
        <v>1536</v>
      </c>
      <c r="C1468" s="5">
        <v>1</v>
      </c>
      <c r="D1468" s="15">
        <v>10716045</v>
      </c>
      <c r="E1468" s="1" t="s">
        <v>1538</v>
      </c>
      <c r="F1468" s="18">
        <v>283077</v>
      </c>
      <c r="G1468" s="9">
        <v>45814</v>
      </c>
      <c r="H1468" s="1" t="s">
        <v>2519</v>
      </c>
      <c r="I1468" s="12" t="s">
        <v>1512</v>
      </c>
      <c r="J1468" s="6">
        <v>208659</v>
      </c>
      <c r="K1468" s="3">
        <v>15208659</v>
      </c>
    </row>
    <row r="1469" spans="1:11" x14ac:dyDescent="0.25">
      <c r="A1469" s="1" t="s">
        <v>3027</v>
      </c>
      <c r="B1469" s="1" t="s">
        <v>1514</v>
      </c>
      <c r="C1469" s="5">
        <v>1</v>
      </c>
      <c r="D1469" s="14">
        <v>21733255</v>
      </c>
      <c r="E1469" s="1" t="s">
        <v>2504</v>
      </c>
      <c r="F1469" s="17">
        <v>66758</v>
      </c>
      <c r="G1469" s="8">
        <v>45633</v>
      </c>
      <c r="H1469" s="1" t="s">
        <v>2515</v>
      </c>
      <c r="I1469" s="11" t="s">
        <v>1518</v>
      </c>
      <c r="J1469" s="6">
        <v>421314</v>
      </c>
      <c r="K1469" s="3">
        <v>15421314</v>
      </c>
    </row>
    <row r="1470" spans="1:11" x14ac:dyDescent="0.25">
      <c r="A1470" s="1" t="s">
        <v>2481</v>
      </c>
      <c r="B1470" s="1" t="s">
        <v>1527</v>
      </c>
      <c r="C1470" s="5">
        <v>3</v>
      </c>
      <c r="D1470" s="15">
        <v>2797862</v>
      </c>
      <c r="E1470" s="1" t="s">
        <v>1538</v>
      </c>
      <c r="F1470" s="18">
        <v>6357127</v>
      </c>
      <c r="G1470" s="9">
        <v>45531</v>
      </c>
      <c r="H1470" s="1" t="s">
        <v>2510</v>
      </c>
      <c r="I1470" s="12" t="s">
        <v>1512</v>
      </c>
      <c r="J1470" s="6">
        <v>43243</v>
      </c>
      <c r="K1470" s="3">
        <v>1543243</v>
      </c>
    </row>
    <row r="1471" spans="1:11" x14ac:dyDescent="0.25">
      <c r="A1471" s="1" t="s">
        <v>2482</v>
      </c>
      <c r="B1471" s="1" t="s">
        <v>1525</v>
      </c>
      <c r="C1471" s="5">
        <v>2</v>
      </c>
      <c r="D1471" s="14">
        <v>15058882</v>
      </c>
      <c r="E1471" s="1" t="s">
        <v>2504</v>
      </c>
      <c r="F1471" s="17">
        <v>196640</v>
      </c>
      <c r="G1471" s="8">
        <v>45806</v>
      </c>
      <c r="H1471" s="1" t="s">
        <v>2512</v>
      </c>
      <c r="I1471" s="11" t="s">
        <v>1512</v>
      </c>
      <c r="J1471" s="6">
        <v>26185</v>
      </c>
      <c r="K1471" s="3">
        <v>1526185</v>
      </c>
    </row>
    <row r="1472" spans="1:11" x14ac:dyDescent="0.25">
      <c r="A1472" s="1" t="s">
        <v>3028</v>
      </c>
      <c r="B1472" s="1" t="s">
        <v>1534</v>
      </c>
      <c r="C1472" s="5">
        <v>1</v>
      </c>
      <c r="D1472" s="15">
        <v>37392505</v>
      </c>
      <c r="E1472" s="1" t="s">
        <v>1538</v>
      </c>
      <c r="F1472" s="18">
        <v>1151655</v>
      </c>
      <c r="G1472" s="9">
        <v>45556</v>
      </c>
      <c r="H1472" s="1" t="s">
        <v>2510</v>
      </c>
      <c r="I1472" s="12" t="s">
        <v>2507</v>
      </c>
      <c r="J1472" s="6">
        <v>724817</v>
      </c>
      <c r="K1472" s="3">
        <v>15724817</v>
      </c>
    </row>
    <row r="1473" spans="1:11" x14ac:dyDescent="0.25">
      <c r="A1473" s="1" t="s">
        <v>2483</v>
      </c>
      <c r="B1473" s="1" t="s">
        <v>1545</v>
      </c>
      <c r="C1473" s="5">
        <v>2</v>
      </c>
      <c r="D1473" s="14">
        <v>32923989</v>
      </c>
      <c r="E1473" s="1" t="s">
        <v>2504</v>
      </c>
      <c r="F1473" s="17">
        <v>579485</v>
      </c>
      <c r="G1473" s="8">
        <v>45838</v>
      </c>
      <c r="H1473" s="1" t="s">
        <v>2515</v>
      </c>
      <c r="I1473" s="11" t="s">
        <v>1518</v>
      </c>
      <c r="J1473" s="6">
        <v>64689</v>
      </c>
      <c r="K1473" s="3">
        <v>1564689</v>
      </c>
    </row>
    <row r="1474" spans="1:11" x14ac:dyDescent="0.25">
      <c r="A1474" s="1" t="s">
        <v>3029</v>
      </c>
      <c r="B1474" s="1" t="s">
        <v>1545</v>
      </c>
      <c r="C1474" s="5">
        <v>2</v>
      </c>
      <c r="D1474" s="15">
        <v>14111279</v>
      </c>
      <c r="E1474" s="1" t="s">
        <v>1538</v>
      </c>
      <c r="F1474" s="18">
        <v>2538649</v>
      </c>
      <c r="G1474" s="9">
        <v>45672</v>
      </c>
      <c r="H1474" s="1" t="s">
        <v>2515</v>
      </c>
      <c r="I1474" s="12" t="s">
        <v>2511</v>
      </c>
      <c r="J1474" s="6">
        <v>231453</v>
      </c>
      <c r="K1474" s="3">
        <v>15231453</v>
      </c>
    </row>
    <row r="1475" spans="1:11" x14ac:dyDescent="0.25">
      <c r="A1475" s="1" t="s">
        <v>2484</v>
      </c>
      <c r="B1475" s="1" t="s">
        <v>1517</v>
      </c>
      <c r="C1475" s="5">
        <v>1</v>
      </c>
      <c r="D1475" s="14">
        <v>43064908</v>
      </c>
      <c r="E1475" s="1" t="s">
        <v>1515</v>
      </c>
      <c r="F1475" s="17">
        <v>6559822</v>
      </c>
      <c r="G1475" s="8">
        <v>45829</v>
      </c>
      <c r="H1475" s="1" t="s">
        <v>2519</v>
      </c>
      <c r="I1475" s="11" t="s">
        <v>1512</v>
      </c>
      <c r="J1475" s="6">
        <v>730102</v>
      </c>
      <c r="K1475" s="3">
        <v>15730102</v>
      </c>
    </row>
    <row r="1476" spans="1:11" x14ac:dyDescent="0.25">
      <c r="A1476" s="1" t="s">
        <v>3030</v>
      </c>
      <c r="B1476" s="1" t="s">
        <v>1527</v>
      </c>
      <c r="C1476" s="5">
        <v>5</v>
      </c>
      <c r="D1476" s="15">
        <v>31683428</v>
      </c>
      <c r="E1476" s="1" t="s">
        <v>1538</v>
      </c>
      <c r="F1476" s="18">
        <v>1219503</v>
      </c>
      <c r="G1476" s="9">
        <v>45759</v>
      </c>
      <c r="H1476" s="1" t="s">
        <v>2512</v>
      </c>
      <c r="I1476" s="12" t="s">
        <v>1521</v>
      </c>
      <c r="J1476" s="6">
        <v>609278</v>
      </c>
      <c r="K1476" s="3">
        <v>15609278</v>
      </c>
    </row>
    <row r="1477" spans="1:11" x14ac:dyDescent="0.25">
      <c r="A1477" s="1" t="s">
        <v>2485</v>
      </c>
      <c r="B1477" s="1" t="s">
        <v>1532</v>
      </c>
      <c r="C1477" s="5">
        <v>4</v>
      </c>
      <c r="D1477" s="14">
        <v>32665525</v>
      </c>
      <c r="E1477" s="1" t="s">
        <v>2504</v>
      </c>
      <c r="F1477" s="17">
        <v>2623743</v>
      </c>
      <c r="G1477" s="8">
        <v>45806</v>
      </c>
      <c r="H1477" s="1" t="s">
        <v>2519</v>
      </c>
      <c r="I1477" s="11" t="s">
        <v>2509</v>
      </c>
      <c r="J1477" s="6">
        <v>600836</v>
      </c>
      <c r="K1477" s="3">
        <v>15600836</v>
      </c>
    </row>
    <row r="1478" spans="1:11" x14ac:dyDescent="0.25">
      <c r="A1478" s="1" t="s">
        <v>3031</v>
      </c>
      <c r="B1478" s="1" t="s">
        <v>1534</v>
      </c>
      <c r="C1478" s="5">
        <v>2</v>
      </c>
      <c r="D1478" s="15">
        <v>43135251</v>
      </c>
      <c r="E1478" s="1" t="s">
        <v>1515</v>
      </c>
      <c r="F1478" s="18">
        <v>4956317</v>
      </c>
      <c r="G1478" s="9">
        <v>45741</v>
      </c>
      <c r="H1478" s="1" t="s">
        <v>2512</v>
      </c>
      <c r="I1478" s="12" t="s">
        <v>1521</v>
      </c>
      <c r="J1478" s="6">
        <v>763579</v>
      </c>
      <c r="K1478" s="3">
        <v>15763579</v>
      </c>
    </row>
    <row r="1479" spans="1:11" x14ac:dyDescent="0.25">
      <c r="A1479" s="1" t="s">
        <v>3032</v>
      </c>
      <c r="B1479" s="1" t="s">
        <v>1523</v>
      </c>
      <c r="C1479" s="5">
        <v>2</v>
      </c>
      <c r="D1479" s="14">
        <v>21997052</v>
      </c>
      <c r="E1479" s="1" t="s">
        <v>1538</v>
      </c>
      <c r="F1479" s="17">
        <v>4978936</v>
      </c>
      <c r="G1479" s="8">
        <v>45678</v>
      </c>
      <c r="H1479" s="1" t="s">
        <v>2508</v>
      </c>
      <c r="I1479" s="11" t="s">
        <v>1518</v>
      </c>
      <c r="J1479" s="6">
        <v>340362</v>
      </c>
      <c r="K1479" s="3">
        <v>15340362</v>
      </c>
    </row>
    <row r="1480" spans="1:11" x14ac:dyDescent="0.25">
      <c r="A1480" s="1" t="s">
        <v>3033</v>
      </c>
      <c r="B1480" s="1" t="s">
        <v>1540</v>
      </c>
      <c r="C1480" s="5">
        <v>3</v>
      </c>
      <c r="D1480" s="15">
        <v>17244752</v>
      </c>
      <c r="E1480" s="1" t="s">
        <v>1538</v>
      </c>
      <c r="F1480" s="18">
        <v>1352169</v>
      </c>
      <c r="G1480" s="9">
        <v>45847</v>
      </c>
      <c r="H1480" s="1" t="s">
        <v>2510</v>
      </c>
      <c r="I1480" s="12" t="s">
        <v>1512</v>
      </c>
      <c r="J1480" s="6">
        <v>317852</v>
      </c>
      <c r="K1480" s="3">
        <v>15317852</v>
      </c>
    </row>
    <row r="1481" spans="1:11" x14ac:dyDescent="0.25">
      <c r="A1481" s="1" t="s">
        <v>2486</v>
      </c>
      <c r="B1481" s="1" t="s">
        <v>1527</v>
      </c>
      <c r="C1481" s="5">
        <v>3</v>
      </c>
      <c r="D1481" s="14">
        <v>11034401</v>
      </c>
      <c r="E1481" s="1" t="s">
        <v>2504</v>
      </c>
      <c r="F1481" s="17">
        <v>1990327</v>
      </c>
      <c r="G1481" s="8">
        <v>45671</v>
      </c>
      <c r="H1481" s="1" t="s">
        <v>1516</v>
      </c>
      <c r="I1481" s="11" t="s">
        <v>2509</v>
      </c>
      <c r="J1481" s="6">
        <v>180881</v>
      </c>
      <c r="K1481" s="3">
        <v>15180881</v>
      </c>
    </row>
    <row r="1482" spans="1:11" x14ac:dyDescent="0.25">
      <c r="A1482" s="1" t="s">
        <v>2487</v>
      </c>
      <c r="B1482" s="1" t="s">
        <v>1536</v>
      </c>
      <c r="C1482" s="5">
        <v>3</v>
      </c>
      <c r="D1482" s="15">
        <v>20135664</v>
      </c>
      <c r="E1482" s="1" t="s">
        <v>1538</v>
      </c>
      <c r="F1482" s="18">
        <v>160704</v>
      </c>
      <c r="G1482" s="9">
        <v>45696</v>
      </c>
      <c r="H1482" s="1" t="s">
        <v>2519</v>
      </c>
      <c r="I1482" s="12" t="s">
        <v>1521</v>
      </c>
      <c r="J1482" s="6">
        <v>370572</v>
      </c>
      <c r="K1482" s="3">
        <v>15370572</v>
      </c>
    </row>
    <row r="1483" spans="1:11" x14ac:dyDescent="0.25">
      <c r="A1483" s="1" t="s">
        <v>2488</v>
      </c>
      <c r="B1483" s="1" t="s">
        <v>1545</v>
      </c>
      <c r="C1483" s="5">
        <v>4</v>
      </c>
      <c r="D1483" s="14">
        <v>6735355</v>
      </c>
      <c r="E1483" s="1" t="s">
        <v>1538</v>
      </c>
      <c r="F1483" s="17">
        <v>10680</v>
      </c>
      <c r="G1483" s="8">
        <v>45554</v>
      </c>
      <c r="H1483" s="1" t="s">
        <v>1519</v>
      </c>
      <c r="I1483" s="11" t="s">
        <v>2511</v>
      </c>
      <c r="J1483" s="6">
        <v>132571</v>
      </c>
      <c r="K1483" s="3">
        <v>15132571</v>
      </c>
    </row>
    <row r="1484" spans="1:11" x14ac:dyDescent="0.25">
      <c r="A1484" s="1" t="s">
        <v>2489</v>
      </c>
      <c r="B1484" s="1" t="s">
        <v>1540</v>
      </c>
      <c r="C1484" s="5">
        <v>1</v>
      </c>
      <c r="D1484" s="15">
        <v>4314014</v>
      </c>
      <c r="E1484" s="1" t="s">
        <v>1538</v>
      </c>
      <c r="F1484" s="18">
        <v>9190167</v>
      </c>
      <c r="G1484" s="9">
        <v>45744</v>
      </c>
      <c r="H1484" s="1" t="s">
        <v>2510</v>
      </c>
      <c r="I1484" s="12" t="s">
        <v>2507</v>
      </c>
      <c r="J1484" s="6">
        <v>678999</v>
      </c>
      <c r="K1484" s="3">
        <v>15678999</v>
      </c>
    </row>
    <row r="1485" spans="1:11" x14ac:dyDescent="0.25">
      <c r="A1485" s="1" t="s">
        <v>2490</v>
      </c>
      <c r="B1485" s="1" t="s">
        <v>1532</v>
      </c>
      <c r="C1485" s="5">
        <v>3</v>
      </c>
      <c r="D1485" s="14">
        <v>5682831</v>
      </c>
      <c r="E1485" s="1" t="s">
        <v>2504</v>
      </c>
      <c r="F1485" s="17">
        <v>388888</v>
      </c>
      <c r="G1485" s="8">
        <v>45700</v>
      </c>
      <c r="H1485" s="1" t="s">
        <v>1519</v>
      </c>
      <c r="I1485" s="11" t="s">
        <v>2511</v>
      </c>
      <c r="J1485" s="6">
        <v>105879</v>
      </c>
      <c r="K1485" s="3">
        <v>15105879</v>
      </c>
    </row>
    <row r="1486" spans="1:11" x14ac:dyDescent="0.25">
      <c r="A1486" s="1" t="s">
        <v>2491</v>
      </c>
      <c r="B1486" s="1" t="s">
        <v>1517</v>
      </c>
      <c r="C1486" s="5">
        <v>1</v>
      </c>
      <c r="D1486" s="15">
        <v>24254272</v>
      </c>
      <c r="E1486" s="1" t="s">
        <v>2504</v>
      </c>
      <c r="F1486" s="18">
        <v>4278841</v>
      </c>
      <c r="G1486" s="9">
        <v>45761</v>
      </c>
      <c r="H1486" s="1" t="s">
        <v>1516</v>
      </c>
      <c r="I1486" s="12" t="s">
        <v>2511</v>
      </c>
      <c r="J1486" s="6">
        <v>399509</v>
      </c>
      <c r="K1486" s="3">
        <v>15399509</v>
      </c>
    </row>
    <row r="1487" spans="1:11" x14ac:dyDescent="0.25">
      <c r="A1487" s="1" t="s">
        <v>3034</v>
      </c>
      <c r="B1487" s="1" t="s">
        <v>1523</v>
      </c>
      <c r="C1487" s="5">
        <v>3</v>
      </c>
      <c r="D1487" s="14">
        <v>22475736</v>
      </c>
      <c r="E1487" s="1" t="s">
        <v>1515</v>
      </c>
      <c r="F1487" s="17">
        <v>5190815</v>
      </c>
      <c r="G1487" s="8">
        <v>45675</v>
      </c>
      <c r="H1487" s="1" t="s">
        <v>2512</v>
      </c>
      <c r="I1487" s="11" t="s">
        <v>2511</v>
      </c>
      <c r="J1487" s="6">
        <v>345698</v>
      </c>
      <c r="K1487" s="3">
        <v>15345698</v>
      </c>
    </row>
    <row r="1488" spans="1:11" x14ac:dyDescent="0.25">
      <c r="A1488" s="1" t="s">
        <v>2492</v>
      </c>
      <c r="B1488" s="1" t="s">
        <v>1540</v>
      </c>
      <c r="C1488" s="5">
        <v>1</v>
      </c>
      <c r="D1488" s="15">
        <v>41004745</v>
      </c>
      <c r="E1488" s="1" t="s">
        <v>2504</v>
      </c>
      <c r="F1488" s="18">
        <v>4116744</v>
      </c>
      <c r="G1488" s="9">
        <v>45854</v>
      </c>
      <c r="H1488" s="1" t="s">
        <v>1522</v>
      </c>
      <c r="I1488" s="12" t="s">
        <v>1521</v>
      </c>
      <c r="J1488" s="6">
        <v>73776</v>
      </c>
      <c r="K1488" s="3">
        <v>1573776</v>
      </c>
    </row>
    <row r="1489" spans="1:11" x14ac:dyDescent="0.25">
      <c r="A1489" s="1" t="s">
        <v>2493</v>
      </c>
      <c r="B1489" s="1" t="s">
        <v>1534</v>
      </c>
      <c r="C1489" s="5">
        <v>4</v>
      </c>
      <c r="D1489" s="14">
        <v>44355736</v>
      </c>
      <c r="E1489" s="1" t="s">
        <v>1515</v>
      </c>
      <c r="F1489" s="17">
        <v>55414</v>
      </c>
      <c r="G1489" s="8">
        <v>45630</v>
      </c>
      <c r="H1489" s="1" t="s">
        <v>2508</v>
      </c>
      <c r="I1489" s="11" t="s">
        <v>1521</v>
      </c>
      <c r="J1489" s="6">
        <v>876032</v>
      </c>
      <c r="K1489" s="3">
        <v>15876032</v>
      </c>
    </row>
    <row r="1490" spans="1:11" x14ac:dyDescent="0.25">
      <c r="A1490" s="1" t="s">
        <v>2494</v>
      </c>
      <c r="B1490" s="1" t="s">
        <v>1534</v>
      </c>
      <c r="C1490" s="5">
        <v>3</v>
      </c>
      <c r="D1490" s="15">
        <v>19520788</v>
      </c>
      <c r="E1490" s="1" t="s">
        <v>1515</v>
      </c>
      <c r="F1490" s="18">
        <v>2997507</v>
      </c>
      <c r="G1490" s="9">
        <v>45663</v>
      </c>
      <c r="H1490" s="1" t="s">
        <v>2510</v>
      </c>
      <c r="I1490" s="12" t="s">
        <v>1521</v>
      </c>
      <c r="J1490" s="6">
        <v>330466</v>
      </c>
      <c r="K1490" s="3">
        <v>15330466</v>
      </c>
    </row>
    <row r="1491" spans="1:11" x14ac:dyDescent="0.25">
      <c r="A1491" s="1" t="s">
        <v>3035</v>
      </c>
      <c r="B1491" s="1" t="s">
        <v>1525</v>
      </c>
      <c r="C1491" s="5">
        <v>5</v>
      </c>
      <c r="D1491" s="14">
        <v>151144</v>
      </c>
      <c r="E1491" s="1" t="s">
        <v>2504</v>
      </c>
      <c r="F1491" s="17">
        <v>101936</v>
      </c>
      <c r="G1491" s="8">
        <v>45822</v>
      </c>
      <c r="H1491" s="1" t="s">
        <v>2510</v>
      </c>
      <c r="I1491" s="11" t="s">
        <v>2507</v>
      </c>
      <c r="J1491" s="6">
        <v>2819</v>
      </c>
      <c r="K1491" s="3">
        <v>1502819</v>
      </c>
    </row>
    <row r="1492" spans="1:11" x14ac:dyDescent="0.25">
      <c r="A1492" s="1" t="s">
        <v>2495</v>
      </c>
      <c r="B1492" s="1" t="s">
        <v>1545</v>
      </c>
      <c r="C1492" s="5">
        <v>1</v>
      </c>
      <c r="D1492" s="15">
        <v>49410581</v>
      </c>
      <c r="E1492" s="1" t="s">
        <v>2504</v>
      </c>
      <c r="F1492" s="18">
        <v>1130546</v>
      </c>
      <c r="G1492" s="9">
        <v>45534</v>
      </c>
      <c r="H1492" s="1" t="s">
        <v>2515</v>
      </c>
      <c r="I1492" s="12" t="s">
        <v>1512</v>
      </c>
      <c r="J1492" s="6">
        <v>762102</v>
      </c>
      <c r="K1492" s="3">
        <v>15762102</v>
      </c>
    </row>
    <row r="1493" spans="1:11" x14ac:dyDescent="0.25">
      <c r="A1493" s="1" t="s">
        <v>2496</v>
      </c>
      <c r="B1493" s="1" t="s">
        <v>1514</v>
      </c>
      <c r="C1493" s="5">
        <v>1</v>
      </c>
      <c r="D1493" s="14">
        <v>42898803</v>
      </c>
      <c r="E1493" s="1" t="s">
        <v>1538</v>
      </c>
      <c r="F1493" s="17">
        <v>6683486</v>
      </c>
      <c r="G1493" s="8">
        <v>45846</v>
      </c>
      <c r="H1493" s="1" t="s">
        <v>2508</v>
      </c>
      <c r="I1493" s="11" t="s">
        <v>1521</v>
      </c>
      <c r="J1493" s="6">
        <v>724306</v>
      </c>
      <c r="K1493" s="3">
        <v>15724306</v>
      </c>
    </row>
    <row r="1494" spans="1:11" x14ac:dyDescent="0.25">
      <c r="A1494" s="1" t="s">
        <v>2497</v>
      </c>
      <c r="B1494" s="1" t="s">
        <v>1536</v>
      </c>
      <c r="C1494" s="5">
        <v>3</v>
      </c>
      <c r="D1494" s="15">
        <v>811502</v>
      </c>
      <c r="E1494" s="1" t="s">
        <v>1515</v>
      </c>
      <c r="F1494" s="18">
        <v>54492</v>
      </c>
      <c r="G1494" s="9">
        <v>45590</v>
      </c>
      <c r="H1494" s="1" t="s">
        <v>2508</v>
      </c>
      <c r="I1494" s="12" t="s">
        <v>1521</v>
      </c>
      <c r="J1494" s="6">
        <v>151402</v>
      </c>
      <c r="K1494" s="3">
        <v>15151402</v>
      </c>
    </row>
    <row r="1495" spans="1:11" x14ac:dyDescent="0.25">
      <c r="A1495" s="1" t="s">
        <v>2498</v>
      </c>
      <c r="B1495" s="1" t="s">
        <v>1523</v>
      </c>
      <c r="C1495" s="5">
        <v>2</v>
      </c>
      <c r="D1495" s="14">
        <v>47447637</v>
      </c>
      <c r="E1495" s="1" t="s">
        <v>2504</v>
      </c>
      <c r="F1495" s="17">
        <v>363862</v>
      </c>
      <c r="G1495" s="8">
        <v>45828</v>
      </c>
      <c r="H1495" s="1" t="s">
        <v>2515</v>
      </c>
      <c r="I1495" s="11" t="s">
        <v>2509</v>
      </c>
      <c r="J1495" s="6">
        <v>87618</v>
      </c>
      <c r="K1495" s="3">
        <v>1587618</v>
      </c>
    </row>
    <row r="1496" spans="1:11" x14ac:dyDescent="0.25">
      <c r="A1496" s="1" t="s">
        <v>2499</v>
      </c>
      <c r="B1496" s="1" t="s">
        <v>1527</v>
      </c>
      <c r="C1496" s="5">
        <v>4</v>
      </c>
      <c r="D1496" s="15">
        <v>3467096</v>
      </c>
      <c r="E1496" s="1" t="s">
        <v>2504</v>
      </c>
      <c r="F1496" s="18">
        <v>76101</v>
      </c>
      <c r="G1496" s="9">
        <v>45721</v>
      </c>
      <c r="H1496" s="1" t="s">
        <v>2510</v>
      </c>
      <c r="I1496" s="12" t="s">
        <v>1512</v>
      </c>
      <c r="J1496" s="6">
        <v>54122</v>
      </c>
      <c r="K1496" s="3">
        <v>15054122</v>
      </c>
    </row>
    <row r="1497" spans="1:11" x14ac:dyDescent="0.25">
      <c r="A1497" s="1" t="s">
        <v>2500</v>
      </c>
      <c r="B1497" s="1" t="s">
        <v>1517</v>
      </c>
      <c r="C1497" s="5">
        <v>2</v>
      </c>
      <c r="D1497" s="14">
        <v>28663309</v>
      </c>
      <c r="E1497" s="1" t="s">
        <v>2504</v>
      </c>
      <c r="F1497" s="17">
        <v>1164534</v>
      </c>
      <c r="G1497" s="8">
        <v>45685</v>
      </c>
      <c r="H1497" s="1" t="s">
        <v>1522</v>
      </c>
      <c r="I1497" s="11" t="s">
        <v>2511</v>
      </c>
      <c r="J1497" s="6">
        <v>549976</v>
      </c>
      <c r="K1497" s="3">
        <v>15549976</v>
      </c>
    </row>
    <row r="1498" spans="1:11" x14ac:dyDescent="0.25">
      <c r="A1498" s="1" t="s">
        <v>3036</v>
      </c>
      <c r="B1498" s="1" t="s">
        <v>1523</v>
      </c>
      <c r="C1498" s="5">
        <v>5</v>
      </c>
      <c r="D1498" s="15">
        <v>21133509</v>
      </c>
      <c r="E1498" s="1" t="s">
        <v>2504</v>
      </c>
      <c r="F1498" s="18">
        <v>3431338</v>
      </c>
      <c r="G1498" s="9">
        <v>45840</v>
      </c>
      <c r="H1498" s="1" t="s">
        <v>1543</v>
      </c>
      <c r="I1498" s="12" t="s">
        <v>1518</v>
      </c>
      <c r="J1498" s="6">
        <v>354043</v>
      </c>
      <c r="K1498" s="3">
        <v>15354043</v>
      </c>
    </row>
    <row r="1499" spans="1:11" x14ac:dyDescent="0.25">
      <c r="A1499" s="1" t="s">
        <v>2501</v>
      </c>
      <c r="B1499" s="1" t="s">
        <v>1514</v>
      </c>
      <c r="C1499" s="5">
        <v>2</v>
      </c>
      <c r="D1499" s="14">
        <v>13141336</v>
      </c>
      <c r="E1499" s="1" t="s">
        <v>1515</v>
      </c>
      <c r="F1499" s="17">
        <v>717116</v>
      </c>
      <c r="G1499" s="8">
        <v>45826</v>
      </c>
      <c r="H1499" s="1" t="s">
        <v>2512</v>
      </c>
      <c r="I1499" s="11" t="s">
        <v>2511</v>
      </c>
      <c r="J1499" s="6">
        <v>248484</v>
      </c>
      <c r="K1499" s="3">
        <v>15248484</v>
      </c>
    </row>
    <row r="1500" spans="1:11" x14ac:dyDescent="0.25">
      <c r="A1500" s="1" t="s">
        <v>2502</v>
      </c>
      <c r="B1500" s="1" t="s">
        <v>1514</v>
      </c>
      <c r="C1500" s="5">
        <v>5</v>
      </c>
      <c r="D1500" s="15">
        <v>2029324</v>
      </c>
      <c r="E1500" s="1" t="s">
        <v>1538</v>
      </c>
      <c r="F1500" s="18">
        <v>4364439</v>
      </c>
      <c r="G1500" s="9">
        <v>45497</v>
      </c>
      <c r="H1500" s="1" t="s">
        <v>1543</v>
      </c>
      <c r="I1500" s="12" t="s">
        <v>2507</v>
      </c>
      <c r="J1500" s="6">
        <v>318576</v>
      </c>
      <c r="K1500" s="3">
        <v>15318576</v>
      </c>
    </row>
  </sheetData>
  <mergeCells count="1">
    <mergeCell ref="A1:K1"/>
  </mergeCells>
  <dataValidations count="3">
    <dataValidation type="date" allowBlank="1" showInputMessage="1" showErrorMessage="1" errorTitle="ERROR DE FECHA" error="Solo ingresar fechas validas entre el 01/01/2024 y 31/12/2025_x000a_" sqref="G3:G1500" xr:uid="{C3721164-7B15-41FC-9DD4-8F7C4BCECD0F}">
      <formula1>45292</formula1>
      <formula2>46022</formula2>
    </dataValidation>
    <dataValidation type="list" allowBlank="1" showInputMessage="1" showErrorMessage="1" errorTitle="SUCURSAL INEXISTENTE" error="Solo puede insertar sucursales validas en esta celda." promptTitle="Sucursales" sqref="I3:I1500" xr:uid="{79E333C2-07E3-44A4-A228-28FFE54817FB}">
      <formula1>"General Paz, San Vicente, Villa Allende, Córdoba Centro, Alta Córdoba, Nueva Córdoba"</formula1>
    </dataValidation>
    <dataValidation type="list" allowBlank="1" showInputMessage="1" showErrorMessage="1" errorTitle="ERROR" error="solo rellenar celdas con datos de lista (efectivo, transferencia o crédito)" promptTitle="Medios de pago" prompt="Solo medios de pago validos" sqref="E3:E1500" xr:uid="{705E25A9-199D-4042-B77F-42489E302152}">
      <formula1>"Efectivo,Transferencia,Crédito"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62EA7-D341-4E12-AB39-9B2E5BE14C58}">
  <sheetPr>
    <tabColor rgb="FF00B0F0"/>
  </sheetPr>
  <dimension ref="A1:T21"/>
  <sheetViews>
    <sheetView showGridLines="0" tabSelected="1" workbookViewId="0">
      <selection activeCell="O24" sqref="O24"/>
    </sheetView>
  </sheetViews>
  <sheetFormatPr baseColWidth="10" defaultRowHeight="15" x14ac:dyDescent="0.25"/>
  <cols>
    <col min="4" max="4" width="29.5703125" customWidth="1"/>
    <col min="9" max="9" width="21" customWidth="1"/>
    <col min="10" max="10" width="11.85546875" bestFit="1" customWidth="1"/>
    <col min="14" max="14" width="22.85546875" customWidth="1"/>
    <col min="19" max="19" width="18.42578125" customWidth="1"/>
  </cols>
  <sheetData>
    <row r="1" spans="1:20" ht="45.75" customHeight="1" x14ac:dyDescent="0.25">
      <c r="A1" s="72" t="s">
        <v>3040</v>
      </c>
      <c r="B1" s="72"/>
      <c r="C1" s="72"/>
      <c r="D1" s="72"/>
      <c r="E1" s="75"/>
      <c r="F1" s="72" t="s">
        <v>3042</v>
      </c>
      <c r="G1" s="72"/>
      <c r="H1" s="72"/>
      <c r="I1" s="72"/>
      <c r="J1" s="75"/>
      <c r="K1" s="72" t="s">
        <v>3041</v>
      </c>
      <c r="L1" s="72"/>
      <c r="M1" s="72"/>
      <c r="N1" s="72"/>
      <c r="O1" s="75"/>
      <c r="P1" s="72" t="s">
        <v>3039</v>
      </c>
      <c r="Q1" s="72"/>
      <c r="R1" s="72"/>
      <c r="S1" s="72"/>
      <c r="T1" s="71"/>
    </row>
    <row r="2" spans="1:20" x14ac:dyDescent="0.25">
      <c r="A2" s="73">
        <f>SUMIFS('Dataset de ventas'!D3:D1500,'Dataset de ventas'!I3:I1500, "General Paz",'Dataset de ventas'!E3:E1500, "Efectivo")</f>
        <v>1678375025</v>
      </c>
      <c r="B2" s="73"/>
      <c r="C2" s="73"/>
      <c r="D2" s="73"/>
      <c r="E2" s="75"/>
      <c r="F2" s="73">
        <f>_xlfn.MAXIFS('Dataset de ventas'!J3:J1500,'Dataset de ventas'!I3:I1500,"San vicente")</f>
        <v>976668</v>
      </c>
      <c r="G2" s="73"/>
      <c r="H2" s="73"/>
      <c r="I2" s="73"/>
      <c r="J2" s="75"/>
      <c r="K2" s="73" t="str">
        <f>_xlfn.XLOOKUP(MAX('Dataset de ventas'!K3:K1500), 'Dataset de ventas'!K3:K1500, 'Dataset de ventas'!H3:H1500)</f>
        <v>Luís Chaparro Borja</v>
      </c>
      <c r="L2" s="73"/>
      <c r="M2" s="73"/>
      <c r="N2" s="73"/>
      <c r="O2" s="75"/>
      <c r="P2" s="74" t="str">
        <f>_xlfn.XLOOKUP(MAX('Dataset de ventas'!C3:C1500), 'Dataset de ventas'!C3:C1500,'Dataset de ventas'!B3:B1500)</f>
        <v>Notebook Lenovo</v>
      </c>
      <c r="Q2" s="74"/>
      <c r="R2" s="74"/>
      <c r="S2" s="74"/>
      <c r="T2" s="71"/>
    </row>
    <row r="3" spans="1:20" x14ac:dyDescent="0.25">
      <c r="A3" s="73"/>
      <c r="B3" s="73"/>
      <c r="C3" s="73"/>
      <c r="D3" s="73"/>
      <c r="E3" s="75"/>
      <c r="F3" s="73"/>
      <c r="G3" s="73"/>
      <c r="H3" s="73"/>
      <c r="I3" s="73"/>
      <c r="J3" s="75"/>
      <c r="K3" s="73"/>
      <c r="L3" s="73"/>
      <c r="M3" s="73"/>
      <c r="N3" s="73"/>
      <c r="O3" s="75"/>
      <c r="P3" s="74"/>
      <c r="Q3" s="74"/>
      <c r="R3" s="74"/>
      <c r="S3" s="74"/>
      <c r="T3" s="71"/>
    </row>
    <row r="4" spans="1:20" x14ac:dyDescent="0.25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</row>
    <row r="5" spans="1:20" x14ac:dyDescent="0.25">
      <c r="A5" s="76"/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</row>
    <row r="6" spans="1:20" x14ac:dyDescent="0.25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</row>
    <row r="7" spans="1:20" ht="64.5" customHeight="1" x14ac:dyDescent="0.25">
      <c r="A7" s="72" t="s">
        <v>3043</v>
      </c>
      <c r="B7" s="72"/>
      <c r="C7" s="72"/>
      <c r="D7" s="72"/>
      <c r="E7" s="75"/>
      <c r="F7" s="72" t="s">
        <v>3046</v>
      </c>
      <c r="G7" s="72"/>
      <c r="H7" s="72"/>
      <c r="I7" s="72"/>
      <c r="J7" s="75"/>
      <c r="K7" s="72" t="s">
        <v>3044</v>
      </c>
      <c r="L7" s="72"/>
      <c r="M7" s="72"/>
      <c r="N7" s="72"/>
      <c r="O7" s="75"/>
      <c r="P7" s="72" t="s">
        <v>3045</v>
      </c>
      <c r="Q7" s="72"/>
      <c r="R7" s="72"/>
      <c r="S7" s="72"/>
    </row>
    <row r="8" spans="1:20" x14ac:dyDescent="0.25">
      <c r="A8" s="74" t="str">
        <f>_xlfn.XLOOKUP(MIN('Dataset de ventas'!C3:C1500), 'Dataset de ventas'!C3:C1500, 'Dataset de ventas'!I3:I1500)</f>
        <v>General Paz</v>
      </c>
      <c r="B8" s="74"/>
      <c r="C8" s="74"/>
      <c r="D8" s="74"/>
      <c r="E8" s="75"/>
      <c r="F8" s="73">
        <f>AVERAGEIFS('Dataset de ventas'!D3:D1500, 'Dataset de ventas'!I3:I1500, "villa allende", 'Dataset de ventas'!E3:E1500, "transferencia")</f>
        <v>22998674.277108435</v>
      </c>
      <c r="G8" s="73"/>
      <c r="H8" s="73"/>
      <c r="I8" s="73"/>
      <c r="J8" s="75"/>
      <c r="K8" s="77" t="str">
        <f>_xlfn.XLOOKUP(MAX('Dataset de ventas'!C1464:C1500),'Dataset de ventas'!C1464:C1500, 'Dataset de ventas'!A1464:A1500)</f>
        <v>Piedad Ferrera</v>
      </c>
      <c r="L8" s="77"/>
      <c r="M8" s="77"/>
      <c r="N8" s="77"/>
      <c r="O8" s="75"/>
      <c r="P8" s="74" t="str">
        <f>_xlfn.XLOOKUP(MIN('Dataset de ventas'!C3:C1500),'Dataset de ventas'!C3:C1500,'Dataset de ventas'!B3:B1500)</f>
        <v>Mouse Logitech</v>
      </c>
      <c r="Q8" s="74"/>
      <c r="R8" s="74"/>
      <c r="S8" s="74"/>
    </row>
    <row r="9" spans="1:20" x14ac:dyDescent="0.25">
      <c r="A9" s="74"/>
      <c r="B9" s="74"/>
      <c r="C9" s="74"/>
      <c r="D9" s="74"/>
      <c r="E9" s="75"/>
      <c r="F9" s="73"/>
      <c r="G9" s="73"/>
      <c r="H9" s="73"/>
      <c r="I9" s="73"/>
      <c r="J9" s="75"/>
      <c r="K9" s="77"/>
      <c r="L9" s="77"/>
      <c r="M9" s="77"/>
      <c r="N9" s="77"/>
      <c r="O9" s="75"/>
      <c r="P9" s="74"/>
      <c r="Q9" s="74"/>
      <c r="R9" s="74"/>
      <c r="S9" s="74"/>
    </row>
    <row r="13" spans="1:20" ht="42.95" customHeight="1" x14ac:dyDescent="0.35">
      <c r="A13" s="78" t="s">
        <v>3060</v>
      </c>
      <c r="B13" s="78"/>
      <c r="C13" s="78"/>
      <c r="D13" s="78"/>
      <c r="F13" s="72" t="s">
        <v>3061</v>
      </c>
      <c r="G13" s="72"/>
      <c r="H13" s="72"/>
      <c r="I13" s="72"/>
      <c r="K13" s="79" t="s">
        <v>3084</v>
      </c>
      <c r="L13" s="79"/>
      <c r="M13" s="79"/>
      <c r="N13" s="79"/>
      <c r="P13" s="78" t="s">
        <v>3069</v>
      </c>
      <c r="Q13" s="78"/>
      <c r="R13" s="78"/>
      <c r="S13" s="78"/>
    </row>
    <row r="14" spans="1:20" x14ac:dyDescent="0.25">
      <c r="A14" s="80" cm="1">
        <f t="array" ref="A14">SUMPRODUCT(1/COUNTIF('Dataset de ventas'!H3:H1500,'Dataset de ventas'!H3:H1500))</f>
        <v>10.000000000000021</v>
      </c>
      <c r="B14" s="80"/>
      <c r="C14" s="80"/>
      <c r="D14" s="80"/>
      <c r="F14" s="80" cm="1">
        <f t="array" ref="F14">SUMPRODUCT(1/COUNTIF('Dataset de ventas'!I3:I1500,'Dataset de ventas'!I3:I1500))</f>
        <v>6.0000000000000808</v>
      </c>
      <c r="G14" s="80"/>
      <c r="H14" s="80"/>
      <c r="I14" s="80"/>
      <c r="K14" s="73">
        <f>SUMIFS('Dataset de ventas'!D3:D1500,'Dataset de ventas'!I3:I1500, "San vicente",'Dataset de ventas'!E3:E1500, "Crédito")</f>
        <v>1928149540</v>
      </c>
      <c r="L14" s="73"/>
      <c r="M14" s="73"/>
      <c r="N14" s="73"/>
      <c r="P14" s="74" t="str">
        <f>_xlfn.XLOOKUP(MAX('Dataset de ventas'!C3:C1500), 'Dataset de ventas'!C3:C1500, 'Dataset de ventas'!I3:I1500)</f>
        <v>Villa Allende</v>
      </c>
      <c r="Q14" s="74"/>
      <c r="R14" s="74"/>
      <c r="S14" s="74"/>
    </row>
    <row r="15" spans="1:20" x14ac:dyDescent="0.25">
      <c r="A15" s="80"/>
      <c r="B15" s="80"/>
      <c r="C15" s="80"/>
      <c r="D15" s="80"/>
      <c r="F15" s="80"/>
      <c r="G15" s="80"/>
      <c r="H15" s="80"/>
      <c r="I15" s="80"/>
      <c r="K15" s="73"/>
      <c r="L15" s="73"/>
      <c r="M15" s="73"/>
      <c r="N15" s="73"/>
      <c r="P15" s="74"/>
      <c r="Q15" s="74"/>
      <c r="R15" s="74"/>
      <c r="S15" s="74"/>
    </row>
    <row r="19" spans="1:19" ht="75" customHeight="1" x14ac:dyDescent="0.25">
      <c r="A19" s="78" t="s">
        <v>3070</v>
      </c>
      <c r="B19" s="78"/>
      <c r="C19" s="78"/>
      <c r="D19" s="78"/>
      <c r="F19" s="72" t="s">
        <v>3085</v>
      </c>
      <c r="G19" s="72"/>
      <c r="H19" s="72"/>
      <c r="I19" s="72"/>
      <c r="K19" s="72" t="s">
        <v>3086</v>
      </c>
      <c r="L19" s="72"/>
      <c r="M19" s="72"/>
      <c r="N19" s="72"/>
      <c r="P19" s="72" t="s">
        <v>3087</v>
      </c>
      <c r="Q19" s="72"/>
      <c r="R19" s="72"/>
      <c r="S19" s="72"/>
    </row>
    <row r="20" spans="1:19" x14ac:dyDescent="0.25">
      <c r="A20" s="74" t="str">
        <f>_xlfn.XLOOKUP(MAX('Dataset de ventas'!J3:J1500),'Dataset de ventas'!J3:J1500,'Dataset de ventas'!H3:H1500)</f>
        <v>Luís Chaparro Borja</v>
      </c>
      <c r="B20" s="74"/>
      <c r="C20" s="74"/>
      <c r="D20" s="74"/>
      <c r="F20" s="82">
        <f>AVERAGEIF('Dataset de ventas'!I3:I1500, "Nueva Córdoba",'Dataset de ventas'!C3:C1500)</f>
        <v>3.0118577075098814</v>
      </c>
      <c r="G20" s="82"/>
      <c r="H20" s="82"/>
      <c r="I20" s="82"/>
      <c r="K20" s="74" t="str">
        <f>_xlfn.XLOOKUP(MIN('Dataset de ventas'!C3:C1500),'Dataset de ventas'!C3:C1500,'Dataset de ventas'!H3:H1500)</f>
        <v>Rosa de Bou</v>
      </c>
      <c r="L20" s="74"/>
      <c r="M20" s="74"/>
      <c r="N20" s="74"/>
      <c r="P20" s="81">
        <f>_xlfn.MINIFS('Dataset de ventas'!J3:J1500,'Dataset de ventas'!I3:I1500, "Córdoba Centro")</f>
        <v>2819</v>
      </c>
      <c r="Q20" s="81"/>
      <c r="R20" s="81"/>
      <c r="S20" s="81"/>
    </row>
    <row r="21" spans="1:19" x14ac:dyDescent="0.25">
      <c r="A21" s="74"/>
      <c r="B21" s="74"/>
      <c r="C21" s="74"/>
      <c r="D21" s="74"/>
      <c r="F21" s="82"/>
      <c r="G21" s="82"/>
      <c r="H21" s="82"/>
      <c r="I21" s="82"/>
      <c r="K21" s="74"/>
      <c r="L21" s="74"/>
      <c r="M21" s="74"/>
      <c r="N21" s="74"/>
      <c r="P21" s="81"/>
      <c r="Q21" s="81"/>
      <c r="R21" s="81"/>
      <c r="S21" s="81"/>
    </row>
  </sheetData>
  <mergeCells count="40">
    <mergeCell ref="P19:S19"/>
    <mergeCell ref="P20:S21"/>
    <mergeCell ref="A19:D19"/>
    <mergeCell ref="F19:I19"/>
    <mergeCell ref="K19:N19"/>
    <mergeCell ref="A20:D21"/>
    <mergeCell ref="F20:I21"/>
    <mergeCell ref="K20:N21"/>
    <mergeCell ref="A13:D13"/>
    <mergeCell ref="F13:I13"/>
    <mergeCell ref="K13:N13"/>
    <mergeCell ref="P13:S13"/>
    <mergeCell ref="A14:D15"/>
    <mergeCell ref="F14:I15"/>
    <mergeCell ref="K14:N15"/>
    <mergeCell ref="P14:S15"/>
    <mergeCell ref="P8:S9"/>
    <mergeCell ref="A4:S6"/>
    <mergeCell ref="E7:E9"/>
    <mergeCell ref="J7:J9"/>
    <mergeCell ref="O7:O9"/>
    <mergeCell ref="P7:S7"/>
    <mergeCell ref="A7:D7"/>
    <mergeCell ref="A8:D9"/>
    <mergeCell ref="F7:I7"/>
    <mergeCell ref="F8:I9"/>
    <mergeCell ref="K7:N7"/>
    <mergeCell ref="K8:N9"/>
    <mergeCell ref="T1:T3"/>
    <mergeCell ref="A1:D1"/>
    <mergeCell ref="F1:I1"/>
    <mergeCell ref="K1:N1"/>
    <mergeCell ref="P1:S1"/>
    <mergeCell ref="A2:D3"/>
    <mergeCell ref="F2:I3"/>
    <mergeCell ref="K2:N3"/>
    <mergeCell ref="P2:S3"/>
    <mergeCell ref="E1:E3"/>
    <mergeCell ref="J1:J3"/>
    <mergeCell ref="O1:O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360F-3869-40F0-9043-F015F9FC690F}">
  <sheetPr>
    <tabColor rgb="FF7030A0"/>
  </sheetPr>
  <dimension ref="A1:U1525"/>
  <sheetViews>
    <sheetView workbookViewId="0">
      <selection activeCell="A6" sqref="A6"/>
    </sheetView>
  </sheetViews>
  <sheetFormatPr baseColWidth="10" defaultRowHeight="15" x14ac:dyDescent="0.25"/>
  <cols>
    <col min="1" max="1" width="22.85546875" bestFit="1" customWidth="1"/>
    <col min="5" max="5" width="20.28515625" bestFit="1" customWidth="1"/>
    <col min="6" max="6" width="24.5703125" bestFit="1" customWidth="1"/>
    <col min="7" max="7" width="17.85546875" bestFit="1" customWidth="1"/>
    <col min="8" max="12" width="14.140625" bestFit="1" customWidth="1"/>
    <col min="13" max="13" width="15.140625" bestFit="1" customWidth="1"/>
    <col min="14" max="14" width="14.28515625" bestFit="1" customWidth="1"/>
    <col min="15" max="15" width="13.140625" bestFit="1" customWidth="1"/>
    <col min="16" max="17" width="14.140625" bestFit="1" customWidth="1"/>
    <col min="18" max="18" width="15" bestFit="1" customWidth="1"/>
    <col min="19" max="19" width="13.140625" bestFit="1" customWidth="1"/>
    <col min="20" max="23" width="14.140625" bestFit="1" customWidth="1"/>
    <col min="24" max="24" width="15.42578125" bestFit="1" customWidth="1"/>
    <col min="25" max="25" width="15.7109375" bestFit="1" customWidth="1"/>
    <col min="26" max="30" width="14.140625" bestFit="1" customWidth="1"/>
    <col min="31" max="31" width="14.7109375" bestFit="1" customWidth="1"/>
    <col min="32" max="32" width="14.140625" bestFit="1" customWidth="1"/>
    <col min="33" max="33" width="15.85546875" bestFit="1" customWidth="1"/>
    <col min="34" max="34" width="14.85546875" bestFit="1" customWidth="1"/>
    <col min="35" max="35" width="15.5703125" bestFit="1" customWidth="1"/>
    <col min="36" max="36" width="14.140625" bestFit="1" customWidth="1"/>
    <col min="37" max="37" width="16.85546875" bestFit="1" customWidth="1"/>
    <col min="38" max="39" width="14.140625" bestFit="1" customWidth="1"/>
    <col min="40" max="40" width="14.28515625" bestFit="1" customWidth="1"/>
    <col min="41" max="41" width="14.140625" bestFit="1" customWidth="1"/>
    <col min="42" max="42" width="14.7109375" bestFit="1" customWidth="1"/>
    <col min="43" max="43" width="13.7109375" bestFit="1" customWidth="1"/>
    <col min="44" max="44" width="14.140625" bestFit="1" customWidth="1"/>
    <col min="45" max="45" width="14.7109375" bestFit="1" customWidth="1"/>
    <col min="46" max="46" width="14.85546875" bestFit="1" customWidth="1"/>
    <col min="47" max="48" width="14.140625" bestFit="1" customWidth="1"/>
    <col min="49" max="49" width="15.28515625" bestFit="1" customWidth="1"/>
    <col min="50" max="57" width="14.140625" bestFit="1" customWidth="1"/>
    <col min="58" max="58" width="13.140625" bestFit="1" customWidth="1"/>
    <col min="59" max="60" width="14.140625" bestFit="1" customWidth="1"/>
    <col min="61" max="61" width="14.28515625" bestFit="1" customWidth="1"/>
    <col min="62" max="63" width="14.140625" bestFit="1" customWidth="1"/>
    <col min="64" max="64" width="16.85546875" bestFit="1" customWidth="1"/>
    <col min="65" max="65" width="13.5703125" bestFit="1" customWidth="1"/>
    <col min="66" max="66" width="13.140625" bestFit="1" customWidth="1"/>
    <col min="67" max="70" width="14.140625" bestFit="1" customWidth="1"/>
    <col min="71" max="71" width="15.5703125" bestFit="1" customWidth="1"/>
    <col min="72" max="72" width="15.28515625" bestFit="1" customWidth="1"/>
    <col min="73" max="73" width="15.85546875" bestFit="1" customWidth="1"/>
    <col min="74" max="76" width="14.140625" bestFit="1" customWidth="1"/>
    <col min="77" max="77" width="13.42578125" bestFit="1" customWidth="1"/>
    <col min="78" max="78" width="15.42578125" bestFit="1" customWidth="1"/>
    <col min="79" max="79" width="17" bestFit="1" customWidth="1"/>
    <col min="80" max="80" width="14.7109375" bestFit="1" customWidth="1"/>
    <col min="81" max="81" width="15.5703125" bestFit="1" customWidth="1"/>
    <col min="82" max="82" width="14.85546875" bestFit="1" customWidth="1"/>
    <col min="83" max="83" width="14.140625" bestFit="1" customWidth="1"/>
    <col min="84" max="84" width="14.7109375" bestFit="1" customWidth="1"/>
    <col min="85" max="85" width="14.140625" bestFit="1" customWidth="1"/>
    <col min="86" max="86" width="13.140625" bestFit="1" customWidth="1"/>
    <col min="87" max="87" width="15.140625" bestFit="1" customWidth="1"/>
    <col min="88" max="90" width="14.140625" bestFit="1" customWidth="1"/>
    <col min="91" max="91" width="13.140625" bestFit="1" customWidth="1"/>
    <col min="92" max="92" width="14.42578125" bestFit="1" customWidth="1"/>
    <col min="93" max="93" width="14.28515625" bestFit="1" customWidth="1"/>
    <col min="94" max="94" width="17.42578125" bestFit="1" customWidth="1"/>
    <col min="95" max="95" width="16.42578125" bestFit="1" customWidth="1"/>
    <col min="96" max="97" width="14.140625" bestFit="1" customWidth="1"/>
    <col min="98" max="98" width="15.7109375" bestFit="1" customWidth="1"/>
    <col min="99" max="99" width="14.140625" bestFit="1" customWidth="1"/>
    <col min="100" max="100" width="13.140625" bestFit="1" customWidth="1"/>
    <col min="101" max="101" width="14.140625" bestFit="1" customWidth="1"/>
    <col min="102" max="102" width="13.140625" bestFit="1" customWidth="1"/>
    <col min="103" max="103" width="13.28515625" bestFit="1" customWidth="1"/>
    <col min="104" max="105" width="14.140625" bestFit="1" customWidth="1"/>
    <col min="106" max="106" width="17.42578125" bestFit="1" customWidth="1"/>
    <col min="107" max="107" width="17.140625" bestFit="1" customWidth="1"/>
    <col min="108" max="108" width="14" bestFit="1" customWidth="1"/>
    <col min="109" max="113" width="14.140625" bestFit="1" customWidth="1"/>
    <col min="114" max="114" width="16.140625" bestFit="1" customWidth="1"/>
    <col min="115" max="115" width="14.140625" bestFit="1" customWidth="1"/>
    <col min="116" max="116" width="14.42578125" bestFit="1" customWidth="1"/>
    <col min="117" max="117" width="17.5703125" bestFit="1" customWidth="1"/>
    <col min="118" max="118" width="15.7109375" bestFit="1" customWidth="1"/>
    <col min="119" max="119" width="18.5703125" bestFit="1" customWidth="1"/>
    <col min="120" max="120" width="17.140625" bestFit="1" customWidth="1"/>
    <col min="121" max="121" width="14.140625" bestFit="1" customWidth="1"/>
    <col min="122" max="122" width="19.42578125" bestFit="1" customWidth="1"/>
    <col min="123" max="123" width="20.7109375" bestFit="1" customWidth="1"/>
    <col min="124" max="124" width="14.140625" bestFit="1" customWidth="1"/>
    <col min="125" max="125" width="14.5703125" bestFit="1" customWidth="1"/>
    <col min="126" max="126" width="13.140625" bestFit="1" customWidth="1"/>
    <col min="127" max="127" width="14.28515625" bestFit="1" customWidth="1"/>
    <col min="128" max="128" width="13.42578125" bestFit="1" customWidth="1"/>
    <col min="129" max="129" width="16.5703125" bestFit="1" customWidth="1"/>
    <col min="130" max="130" width="17.7109375" bestFit="1" customWidth="1"/>
    <col min="131" max="131" width="17" bestFit="1" customWidth="1"/>
    <col min="132" max="132" width="16.140625" bestFit="1" customWidth="1"/>
    <col min="133" max="133" width="14.7109375" bestFit="1" customWidth="1"/>
    <col min="134" max="134" width="14.85546875" bestFit="1" customWidth="1"/>
    <col min="135" max="135" width="14.42578125" bestFit="1" customWidth="1"/>
    <col min="136" max="136" width="14.140625" bestFit="1" customWidth="1"/>
    <col min="137" max="137" width="14.42578125" bestFit="1" customWidth="1"/>
    <col min="138" max="138" width="18.28515625" bestFit="1" customWidth="1"/>
    <col min="139" max="143" width="14.140625" bestFit="1" customWidth="1"/>
    <col min="144" max="144" width="16.140625" bestFit="1" customWidth="1"/>
    <col min="145" max="145" width="14.140625" bestFit="1" customWidth="1"/>
    <col min="146" max="146" width="18.42578125" bestFit="1" customWidth="1"/>
    <col min="147" max="149" width="14.140625" bestFit="1" customWidth="1"/>
    <col min="150" max="150" width="15.28515625" bestFit="1" customWidth="1"/>
    <col min="151" max="151" width="15.42578125" bestFit="1" customWidth="1"/>
    <col min="152" max="152" width="20" bestFit="1" customWidth="1"/>
    <col min="153" max="153" width="15.28515625" bestFit="1" customWidth="1"/>
    <col min="154" max="154" width="19.28515625" bestFit="1" customWidth="1"/>
    <col min="155" max="155" width="14.140625" bestFit="1" customWidth="1"/>
    <col min="156" max="156" width="17.28515625" bestFit="1" customWidth="1"/>
    <col min="157" max="157" width="13.28515625" bestFit="1" customWidth="1"/>
    <col min="158" max="158" width="17.28515625" bestFit="1" customWidth="1"/>
    <col min="159" max="159" width="15.28515625" bestFit="1" customWidth="1"/>
    <col min="160" max="160" width="13.140625" bestFit="1" customWidth="1"/>
    <col min="161" max="161" width="14.42578125" bestFit="1" customWidth="1"/>
    <col min="162" max="162" width="15.140625" bestFit="1" customWidth="1"/>
    <col min="163" max="163" width="14.140625" bestFit="1" customWidth="1"/>
    <col min="164" max="164" width="14.42578125" bestFit="1" customWidth="1"/>
    <col min="165" max="165" width="17.28515625" bestFit="1" customWidth="1"/>
    <col min="166" max="166" width="16.5703125" bestFit="1" customWidth="1"/>
    <col min="167" max="167" width="14.140625" bestFit="1" customWidth="1"/>
    <col min="168" max="168" width="13.140625" bestFit="1" customWidth="1"/>
    <col min="169" max="170" width="14.140625" bestFit="1" customWidth="1"/>
    <col min="171" max="171" width="14.28515625" bestFit="1" customWidth="1"/>
    <col min="172" max="172" width="17.42578125" bestFit="1" customWidth="1"/>
    <col min="173" max="173" width="17.5703125" bestFit="1" customWidth="1"/>
    <col min="174" max="174" width="14.140625" bestFit="1" customWidth="1"/>
    <col min="175" max="175" width="16.28515625" bestFit="1" customWidth="1"/>
    <col min="176" max="176" width="15.42578125" bestFit="1" customWidth="1"/>
    <col min="177" max="177" width="14.28515625" bestFit="1" customWidth="1"/>
    <col min="178" max="178" width="14.140625" bestFit="1" customWidth="1"/>
    <col min="179" max="179" width="14.42578125" bestFit="1" customWidth="1"/>
    <col min="180" max="180" width="13.140625" bestFit="1" customWidth="1"/>
    <col min="181" max="181" width="14.28515625" bestFit="1" customWidth="1"/>
    <col min="182" max="182" width="17.140625" bestFit="1" customWidth="1"/>
    <col min="183" max="183" width="15.28515625" bestFit="1" customWidth="1"/>
    <col min="184" max="184" width="15.7109375" bestFit="1" customWidth="1"/>
    <col min="185" max="185" width="15.28515625" bestFit="1" customWidth="1"/>
    <col min="186" max="186" width="14.42578125" bestFit="1" customWidth="1"/>
    <col min="187" max="188" width="14.140625" bestFit="1" customWidth="1"/>
    <col min="189" max="189" width="13.28515625" bestFit="1" customWidth="1"/>
    <col min="190" max="190" width="13.85546875" bestFit="1" customWidth="1"/>
    <col min="191" max="191" width="16.7109375" bestFit="1" customWidth="1"/>
    <col min="192" max="192" width="14.140625" bestFit="1" customWidth="1"/>
    <col min="193" max="193" width="15.28515625" bestFit="1" customWidth="1"/>
    <col min="194" max="194" width="15.140625" bestFit="1" customWidth="1"/>
    <col min="195" max="195" width="16.42578125" bestFit="1" customWidth="1"/>
    <col min="196" max="196" width="13.42578125" bestFit="1" customWidth="1"/>
    <col min="197" max="197" width="15.42578125" bestFit="1" customWidth="1"/>
    <col min="198" max="198" width="14.5703125" bestFit="1" customWidth="1"/>
    <col min="199" max="199" width="14.140625" bestFit="1" customWidth="1"/>
    <col min="200" max="200" width="13.7109375" bestFit="1" customWidth="1"/>
    <col min="201" max="201" width="18" bestFit="1" customWidth="1"/>
    <col min="202" max="202" width="14.140625" bestFit="1" customWidth="1"/>
    <col min="203" max="203" width="14.28515625" bestFit="1" customWidth="1"/>
    <col min="204" max="204" width="17.7109375" bestFit="1" customWidth="1"/>
    <col min="205" max="205" width="14.140625" bestFit="1" customWidth="1"/>
    <col min="206" max="206" width="14.7109375" bestFit="1" customWidth="1"/>
    <col min="207" max="207" width="15.140625" bestFit="1" customWidth="1"/>
    <col min="208" max="208" width="14.7109375" bestFit="1" customWidth="1"/>
    <col min="209" max="210" width="14.140625" bestFit="1" customWidth="1"/>
    <col min="211" max="211" width="13.85546875" bestFit="1" customWidth="1"/>
    <col min="212" max="212" width="14.28515625" bestFit="1" customWidth="1"/>
    <col min="213" max="213" width="15.5703125" bestFit="1" customWidth="1"/>
    <col min="214" max="215" width="13.140625" bestFit="1" customWidth="1"/>
    <col min="216" max="216" width="14.140625" bestFit="1" customWidth="1"/>
    <col min="217" max="217" width="14.28515625" bestFit="1" customWidth="1"/>
    <col min="218" max="219" width="14.140625" bestFit="1" customWidth="1"/>
    <col min="220" max="220" width="13.140625" bestFit="1" customWidth="1"/>
    <col min="221" max="221" width="16.7109375" bestFit="1" customWidth="1"/>
    <col min="222" max="222" width="15.140625" bestFit="1" customWidth="1"/>
    <col min="223" max="223" width="17.5703125" bestFit="1" customWidth="1"/>
    <col min="224" max="224" width="14.42578125" bestFit="1" customWidth="1"/>
    <col min="225" max="225" width="14.85546875" bestFit="1" customWidth="1"/>
    <col min="226" max="226" width="17.140625" bestFit="1" customWidth="1"/>
    <col min="227" max="227" width="15.28515625" bestFit="1" customWidth="1"/>
    <col min="228" max="228" width="15.42578125" bestFit="1" customWidth="1"/>
    <col min="229" max="229" width="17.7109375" bestFit="1" customWidth="1"/>
    <col min="230" max="230" width="17.85546875" bestFit="1" customWidth="1"/>
    <col min="231" max="231" width="16.85546875" bestFit="1" customWidth="1"/>
    <col min="232" max="235" width="14.140625" bestFit="1" customWidth="1"/>
    <col min="236" max="236" width="19.42578125" bestFit="1" customWidth="1"/>
    <col min="237" max="237" width="18.28515625" bestFit="1" customWidth="1"/>
    <col min="238" max="239" width="14.140625" bestFit="1" customWidth="1"/>
    <col min="240" max="240" width="16.42578125" bestFit="1" customWidth="1"/>
    <col min="241" max="245" width="14.140625" bestFit="1" customWidth="1"/>
    <col min="246" max="246" width="13.42578125" bestFit="1" customWidth="1"/>
    <col min="247" max="248" width="14.140625" bestFit="1" customWidth="1"/>
    <col min="249" max="249" width="16.42578125" bestFit="1" customWidth="1"/>
    <col min="250" max="250" width="15.140625" bestFit="1" customWidth="1"/>
    <col min="251" max="252" width="14.140625" bestFit="1" customWidth="1"/>
    <col min="253" max="253" width="15.140625" bestFit="1" customWidth="1"/>
    <col min="254" max="254" width="14.140625" bestFit="1" customWidth="1"/>
    <col min="255" max="255" width="15.140625" bestFit="1" customWidth="1"/>
    <col min="256" max="256" width="13.5703125" bestFit="1" customWidth="1"/>
    <col min="257" max="257" width="14.140625" bestFit="1" customWidth="1"/>
    <col min="258" max="258" width="18" bestFit="1" customWidth="1"/>
    <col min="259" max="259" width="16.140625" bestFit="1" customWidth="1"/>
    <col min="260" max="260" width="14.7109375" bestFit="1" customWidth="1"/>
    <col min="261" max="261" width="15" bestFit="1" customWidth="1"/>
    <col min="262" max="262" width="17" bestFit="1" customWidth="1"/>
    <col min="263" max="263" width="18.140625" bestFit="1" customWidth="1"/>
    <col min="264" max="264" width="15.5703125" bestFit="1" customWidth="1"/>
    <col min="265" max="265" width="15.85546875" bestFit="1" customWidth="1"/>
    <col min="266" max="266" width="17.140625" bestFit="1" customWidth="1"/>
    <col min="267" max="267" width="14.140625" bestFit="1" customWidth="1"/>
    <col min="268" max="268" width="13.140625" bestFit="1" customWidth="1"/>
    <col min="269" max="269" width="14.7109375" bestFit="1" customWidth="1"/>
    <col min="270" max="270" width="17.85546875" bestFit="1" customWidth="1"/>
    <col min="271" max="271" width="15.28515625" bestFit="1" customWidth="1"/>
    <col min="272" max="272" width="14.140625" bestFit="1" customWidth="1"/>
    <col min="273" max="274" width="13.140625" bestFit="1" customWidth="1"/>
    <col min="275" max="275" width="14.85546875" bestFit="1" customWidth="1"/>
    <col min="276" max="276" width="13.140625" bestFit="1" customWidth="1"/>
    <col min="277" max="277" width="14.140625" bestFit="1" customWidth="1"/>
    <col min="278" max="278" width="17.140625" bestFit="1" customWidth="1"/>
    <col min="279" max="279" width="14.140625" bestFit="1" customWidth="1"/>
    <col min="280" max="280" width="14.7109375" bestFit="1" customWidth="1"/>
    <col min="281" max="281" width="15.5703125" bestFit="1" customWidth="1"/>
    <col min="282" max="282" width="14.28515625" bestFit="1" customWidth="1"/>
    <col min="283" max="283" width="14.140625" bestFit="1" customWidth="1"/>
    <col min="284" max="284" width="14.28515625" bestFit="1" customWidth="1"/>
    <col min="285" max="285" width="17.5703125" bestFit="1" customWidth="1"/>
    <col min="286" max="286" width="18.28515625" bestFit="1" customWidth="1"/>
    <col min="287" max="287" width="16.42578125" bestFit="1" customWidth="1"/>
    <col min="288" max="288" width="15.140625" bestFit="1" customWidth="1"/>
    <col min="289" max="289" width="12.5703125" bestFit="1" customWidth="1"/>
    <col min="290" max="290" width="15.85546875" bestFit="1" customWidth="1"/>
    <col min="291" max="291" width="16.140625" bestFit="1" customWidth="1"/>
    <col min="292" max="292" width="15.7109375" bestFit="1" customWidth="1"/>
    <col min="293" max="293" width="17.42578125" bestFit="1" customWidth="1"/>
    <col min="294" max="294" width="17.85546875" bestFit="1" customWidth="1"/>
    <col min="295" max="295" width="15.28515625" bestFit="1" customWidth="1"/>
    <col min="296" max="296" width="14.7109375" bestFit="1" customWidth="1"/>
    <col min="297" max="297" width="14.140625" bestFit="1" customWidth="1"/>
    <col min="298" max="298" width="13.140625" bestFit="1" customWidth="1"/>
    <col min="299" max="299" width="17" bestFit="1" customWidth="1"/>
    <col min="300" max="300" width="14.85546875" bestFit="1" customWidth="1"/>
    <col min="301" max="301" width="17.42578125" bestFit="1" customWidth="1"/>
    <col min="302" max="302" width="15.7109375" bestFit="1" customWidth="1"/>
    <col min="303" max="303" width="16.7109375" bestFit="1" customWidth="1"/>
    <col min="304" max="304" width="16.42578125" bestFit="1" customWidth="1"/>
    <col min="305" max="305" width="14.7109375" bestFit="1" customWidth="1"/>
    <col min="306" max="306" width="13.140625" bestFit="1" customWidth="1"/>
    <col min="307" max="309" width="14.140625" bestFit="1" customWidth="1"/>
    <col min="310" max="310" width="13.140625" bestFit="1" customWidth="1"/>
    <col min="311" max="311" width="14.140625" bestFit="1" customWidth="1"/>
    <col min="312" max="312" width="13.140625" bestFit="1" customWidth="1"/>
    <col min="313" max="313" width="14.140625" bestFit="1" customWidth="1"/>
    <col min="314" max="314" width="13.140625" bestFit="1" customWidth="1"/>
    <col min="315" max="315" width="14.140625" bestFit="1" customWidth="1"/>
    <col min="316" max="316" width="13.140625" bestFit="1" customWidth="1"/>
    <col min="317" max="319" width="14.140625" bestFit="1" customWidth="1"/>
    <col min="320" max="321" width="13.140625" bestFit="1" customWidth="1"/>
    <col min="322" max="324" width="14.140625" bestFit="1" customWidth="1"/>
    <col min="325" max="325" width="13.140625" bestFit="1" customWidth="1"/>
    <col min="326" max="326" width="16.42578125" bestFit="1" customWidth="1"/>
    <col min="327" max="327" width="14.28515625" bestFit="1" customWidth="1"/>
    <col min="328" max="328" width="14.42578125" bestFit="1" customWidth="1"/>
    <col min="329" max="329" width="13.7109375" bestFit="1" customWidth="1"/>
    <col min="330" max="330" width="14.140625" bestFit="1" customWidth="1"/>
    <col min="331" max="331" width="11.5703125" bestFit="1" customWidth="1"/>
    <col min="332" max="332" width="14.140625" bestFit="1" customWidth="1"/>
    <col min="333" max="333" width="17.85546875" bestFit="1" customWidth="1"/>
    <col min="334" max="334" width="14.5703125" bestFit="1" customWidth="1"/>
    <col min="335" max="335" width="14.140625" bestFit="1" customWidth="1"/>
    <col min="336" max="336" width="15.85546875" bestFit="1" customWidth="1"/>
    <col min="337" max="337" width="15.42578125" bestFit="1" customWidth="1"/>
    <col min="338" max="338" width="14.28515625" bestFit="1" customWidth="1"/>
    <col min="339" max="340" width="14.140625" bestFit="1" customWidth="1"/>
    <col min="341" max="342" width="13.140625" bestFit="1" customWidth="1"/>
    <col min="343" max="343" width="14.140625" bestFit="1" customWidth="1"/>
    <col min="344" max="344" width="19.28515625" bestFit="1" customWidth="1"/>
    <col min="345" max="345" width="17.85546875" bestFit="1" customWidth="1"/>
    <col min="346" max="347" width="14.140625" bestFit="1" customWidth="1"/>
    <col min="348" max="348" width="13.140625" bestFit="1" customWidth="1"/>
    <col min="349" max="349" width="14.5703125" bestFit="1" customWidth="1"/>
    <col min="350" max="350" width="15.7109375" bestFit="1" customWidth="1"/>
    <col min="351" max="351" width="17" bestFit="1" customWidth="1"/>
    <col min="352" max="352" width="15.42578125" bestFit="1" customWidth="1"/>
    <col min="353" max="353" width="17.5703125" bestFit="1" customWidth="1"/>
    <col min="354" max="355" width="14.140625" bestFit="1" customWidth="1"/>
    <col min="356" max="356" width="13.140625" bestFit="1" customWidth="1"/>
    <col min="357" max="357" width="16.5703125" bestFit="1" customWidth="1"/>
    <col min="358" max="358" width="14.28515625" bestFit="1" customWidth="1"/>
    <col min="359" max="360" width="14.140625" bestFit="1" customWidth="1"/>
    <col min="361" max="361" width="15.42578125" bestFit="1" customWidth="1"/>
    <col min="362" max="362" width="16.42578125" bestFit="1" customWidth="1"/>
    <col min="363" max="363" width="16.7109375" bestFit="1" customWidth="1"/>
    <col min="364" max="366" width="14.140625" bestFit="1" customWidth="1"/>
    <col min="367" max="367" width="13.140625" bestFit="1" customWidth="1"/>
    <col min="368" max="368" width="14.140625" bestFit="1" customWidth="1"/>
    <col min="369" max="369" width="13.28515625" bestFit="1" customWidth="1"/>
    <col min="370" max="370" width="14.140625" bestFit="1" customWidth="1"/>
    <col min="371" max="371" width="17.85546875" bestFit="1" customWidth="1"/>
    <col min="372" max="372" width="14.85546875" bestFit="1" customWidth="1"/>
    <col min="373" max="373" width="19.28515625" bestFit="1" customWidth="1"/>
    <col min="374" max="376" width="14.140625" bestFit="1" customWidth="1"/>
    <col min="377" max="377" width="13.140625" bestFit="1" customWidth="1"/>
    <col min="378" max="379" width="14.140625" bestFit="1" customWidth="1"/>
    <col min="380" max="380" width="15.140625" bestFit="1" customWidth="1"/>
    <col min="381" max="381" width="15.7109375" bestFit="1" customWidth="1"/>
    <col min="382" max="382" width="14.5703125" bestFit="1" customWidth="1"/>
    <col min="383" max="383" width="13.5703125" bestFit="1" customWidth="1"/>
    <col min="384" max="384" width="13.140625" bestFit="1" customWidth="1"/>
    <col min="385" max="385" width="15.28515625" bestFit="1" customWidth="1"/>
    <col min="386" max="386" width="15" bestFit="1" customWidth="1"/>
    <col min="387" max="387" width="14.140625" bestFit="1" customWidth="1"/>
    <col min="388" max="389" width="13.140625" bestFit="1" customWidth="1"/>
    <col min="390" max="391" width="14.140625" bestFit="1" customWidth="1"/>
    <col min="392" max="392" width="15.28515625" bestFit="1" customWidth="1"/>
    <col min="393" max="398" width="14.140625" bestFit="1" customWidth="1"/>
    <col min="399" max="399" width="13.140625" bestFit="1" customWidth="1"/>
    <col min="400" max="400" width="16.7109375" bestFit="1" customWidth="1"/>
    <col min="401" max="401" width="15.85546875" bestFit="1" customWidth="1"/>
    <col min="402" max="402" width="14.7109375" bestFit="1" customWidth="1"/>
    <col min="403" max="404" width="14.140625" bestFit="1" customWidth="1"/>
    <col min="405" max="405" width="17.28515625" bestFit="1" customWidth="1"/>
    <col min="406" max="406" width="20" bestFit="1" customWidth="1"/>
    <col min="407" max="410" width="14.140625" bestFit="1" customWidth="1"/>
    <col min="411" max="411" width="13.28515625" bestFit="1" customWidth="1"/>
    <col min="412" max="413" width="13.140625" bestFit="1" customWidth="1"/>
    <col min="414" max="414" width="14.140625" bestFit="1" customWidth="1"/>
    <col min="415" max="415" width="14.85546875" bestFit="1" customWidth="1"/>
    <col min="416" max="417" width="14.140625" bestFit="1" customWidth="1"/>
    <col min="418" max="418" width="14.7109375" bestFit="1" customWidth="1"/>
    <col min="419" max="419" width="14.140625" bestFit="1" customWidth="1"/>
    <col min="420" max="420" width="13.42578125" bestFit="1" customWidth="1"/>
    <col min="421" max="421" width="14.42578125" bestFit="1" customWidth="1"/>
    <col min="422" max="422" width="14.140625" bestFit="1" customWidth="1"/>
    <col min="423" max="423" width="16.140625" bestFit="1" customWidth="1"/>
    <col min="424" max="424" width="14.140625" bestFit="1" customWidth="1"/>
    <col min="425" max="425" width="18.42578125" bestFit="1" customWidth="1"/>
    <col min="426" max="426" width="14.5703125" bestFit="1" customWidth="1"/>
    <col min="427" max="427" width="15.28515625" bestFit="1" customWidth="1"/>
    <col min="428" max="428" width="15.140625" bestFit="1" customWidth="1"/>
    <col min="429" max="429" width="14.140625" bestFit="1" customWidth="1"/>
    <col min="430" max="430" width="14.42578125" bestFit="1" customWidth="1"/>
    <col min="431" max="431" width="16.140625" bestFit="1" customWidth="1"/>
    <col min="432" max="433" width="14.140625" bestFit="1" customWidth="1"/>
    <col min="434" max="434" width="15.140625" bestFit="1" customWidth="1"/>
    <col min="435" max="436" width="13.140625" bestFit="1" customWidth="1"/>
    <col min="437" max="437" width="14.140625" bestFit="1" customWidth="1"/>
    <col min="438" max="438" width="14.5703125" bestFit="1" customWidth="1"/>
    <col min="439" max="440" width="15.7109375" bestFit="1" customWidth="1"/>
    <col min="441" max="443" width="14.140625" bestFit="1" customWidth="1"/>
    <col min="444" max="444" width="13.140625" bestFit="1" customWidth="1"/>
    <col min="445" max="445" width="13.5703125" bestFit="1" customWidth="1"/>
    <col min="446" max="446" width="14.140625" bestFit="1" customWidth="1"/>
    <col min="447" max="447" width="15.5703125" bestFit="1" customWidth="1"/>
    <col min="448" max="448" width="14.140625" bestFit="1" customWidth="1"/>
    <col min="449" max="449" width="14.42578125" bestFit="1" customWidth="1"/>
    <col min="450" max="451" width="14.140625" bestFit="1" customWidth="1"/>
    <col min="452" max="452" width="14.7109375" bestFit="1" customWidth="1"/>
    <col min="453" max="454" width="14.140625" bestFit="1" customWidth="1"/>
    <col min="455" max="455" width="15.85546875" bestFit="1" customWidth="1"/>
    <col min="456" max="456" width="14.28515625" bestFit="1" customWidth="1"/>
    <col min="457" max="457" width="13.140625" bestFit="1" customWidth="1"/>
    <col min="458" max="458" width="14.140625" bestFit="1" customWidth="1"/>
    <col min="459" max="459" width="15" bestFit="1" customWidth="1"/>
    <col min="460" max="460" width="13.140625" bestFit="1" customWidth="1"/>
    <col min="461" max="465" width="14.140625" bestFit="1" customWidth="1"/>
    <col min="466" max="466" width="14.5703125" bestFit="1" customWidth="1"/>
    <col min="467" max="467" width="14.140625" bestFit="1" customWidth="1"/>
    <col min="468" max="468" width="13.140625" bestFit="1" customWidth="1"/>
    <col min="469" max="472" width="14.140625" bestFit="1" customWidth="1"/>
    <col min="473" max="473" width="13.28515625" bestFit="1" customWidth="1"/>
    <col min="474" max="475" width="14.140625" bestFit="1" customWidth="1"/>
    <col min="476" max="476" width="13.140625" bestFit="1" customWidth="1"/>
    <col min="477" max="477" width="14.140625" bestFit="1" customWidth="1"/>
    <col min="478" max="478" width="17.140625" bestFit="1" customWidth="1"/>
    <col min="479" max="479" width="17.28515625" bestFit="1" customWidth="1"/>
    <col min="480" max="480" width="14.140625" bestFit="1" customWidth="1"/>
    <col min="481" max="481" width="13.42578125" bestFit="1" customWidth="1"/>
    <col min="482" max="484" width="14.140625" bestFit="1" customWidth="1"/>
    <col min="485" max="485" width="16.7109375" bestFit="1" customWidth="1"/>
    <col min="486" max="486" width="16.28515625" bestFit="1" customWidth="1"/>
    <col min="487" max="487" width="14.7109375" bestFit="1" customWidth="1"/>
    <col min="488" max="488" width="14.85546875" bestFit="1" customWidth="1"/>
    <col min="489" max="489" width="15.140625" bestFit="1" customWidth="1"/>
    <col min="490" max="490" width="14.7109375" bestFit="1" customWidth="1"/>
    <col min="491" max="491" width="18" bestFit="1" customWidth="1"/>
    <col min="492" max="492" width="16.42578125" bestFit="1" customWidth="1"/>
    <col min="493" max="493" width="14.140625" bestFit="1" customWidth="1"/>
    <col min="494" max="494" width="13.140625" bestFit="1" customWidth="1"/>
    <col min="495" max="495" width="16.7109375" bestFit="1" customWidth="1"/>
    <col min="496" max="496" width="15.42578125" bestFit="1" customWidth="1"/>
    <col min="497" max="497" width="14.140625" bestFit="1" customWidth="1"/>
    <col min="498" max="498" width="17.140625" bestFit="1" customWidth="1"/>
    <col min="499" max="499" width="15.5703125" bestFit="1" customWidth="1"/>
    <col min="500" max="500" width="16.140625" bestFit="1" customWidth="1"/>
    <col min="501" max="503" width="14.140625" bestFit="1" customWidth="1"/>
    <col min="504" max="504" width="14.28515625" bestFit="1" customWidth="1"/>
    <col min="505" max="505" width="14.7109375" bestFit="1" customWidth="1"/>
    <col min="506" max="506" width="14.5703125" bestFit="1" customWidth="1"/>
    <col min="507" max="507" width="16.5703125" bestFit="1" customWidth="1"/>
    <col min="508" max="508" width="14.140625" bestFit="1" customWidth="1"/>
    <col min="509" max="509" width="16.42578125" bestFit="1" customWidth="1"/>
    <col min="510" max="513" width="14.140625" bestFit="1" customWidth="1"/>
    <col min="514" max="514" width="17.5703125" bestFit="1" customWidth="1"/>
    <col min="515" max="515" width="18.42578125" bestFit="1" customWidth="1"/>
    <col min="516" max="516" width="20.7109375" bestFit="1" customWidth="1"/>
    <col min="517" max="517" width="16.42578125" bestFit="1" customWidth="1"/>
    <col min="518" max="518" width="15.140625" bestFit="1" customWidth="1"/>
    <col min="519" max="519" width="14.85546875" bestFit="1" customWidth="1"/>
    <col min="520" max="520" width="14.140625" bestFit="1" customWidth="1"/>
    <col min="521" max="521" width="16.140625" bestFit="1" customWidth="1"/>
    <col min="522" max="522" width="14.28515625" bestFit="1" customWidth="1"/>
    <col min="523" max="523" width="14.7109375" bestFit="1" customWidth="1"/>
    <col min="524" max="524" width="18.42578125" bestFit="1" customWidth="1"/>
    <col min="525" max="525" width="13.42578125" bestFit="1" customWidth="1"/>
    <col min="526" max="526" width="15" bestFit="1" customWidth="1"/>
    <col min="527" max="527" width="14.140625" bestFit="1" customWidth="1"/>
    <col min="528" max="528" width="13.140625" bestFit="1" customWidth="1"/>
    <col min="529" max="530" width="14.140625" bestFit="1" customWidth="1"/>
    <col min="531" max="531" width="14" bestFit="1" customWidth="1"/>
    <col min="532" max="532" width="13.140625" bestFit="1" customWidth="1"/>
    <col min="533" max="533" width="14.140625" bestFit="1" customWidth="1"/>
    <col min="534" max="534" width="14.28515625" bestFit="1" customWidth="1"/>
    <col min="535" max="535" width="14.140625" bestFit="1" customWidth="1"/>
    <col min="536" max="536" width="14.42578125" bestFit="1" customWidth="1"/>
    <col min="537" max="541" width="14.140625" bestFit="1" customWidth="1"/>
    <col min="542" max="542" width="18" bestFit="1" customWidth="1"/>
    <col min="543" max="543" width="14.5703125" bestFit="1" customWidth="1"/>
    <col min="544" max="544" width="14.140625" bestFit="1" customWidth="1"/>
    <col min="545" max="545" width="13.140625" bestFit="1" customWidth="1"/>
    <col min="546" max="546" width="13.5703125" bestFit="1" customWidth="1"/>
    <col min="547" max="547" width="16.7109375" bestFit="1" customWidth="1"/>
    <col min="548" max="548" width="17.5703125" bestFit="1" customWidth="1"/>
    <col min="549" max="549" width="17" bestFit="1" customWidth="1"/>
    <col min="550" max="550" width="15" bestFit="1" customWidth="1"/>
    <col min="551" max="551" width="15.42578125" bestFit="1" customWidth="1"/>
    <col min="552" max="552" width="16.85546875" bestFit="1" customWidth="1"/>
    <col min="553" max="553" width="14.42578125" bestFit="1" customWidth="1"/>
    <col min="554" max="554" width="15.5703125" bestFit="1" customWidth="1"/>
    <col min="555" max="555" width="14.5703125" bestFit="1" customWidth="1"/>
    <col min="556" max="557" width="14.140625" bestFit="1" customWidth="1"/>
    <col min="558" max="558" width="13.140625" bestFit="1" customWidth="1"/>
    <col min="559" max="560" width="14.140625" bestFit="1" customWidth="1"/>
    <col min="561" max="561" width="12.7109375" bestFit="1" customWidth="1"/>
    <col min="562" max="563" width="14.140625" bestFit="1" customWidth="1"/>
    <col min="564" max="564" width="13.140625" bestFit="1" customWidth="1"/>
    <col min="565" max="565" width="14.140625" bestFit="1" customWidth="1"/>
    <col min="566" max="566" width="14.7109375" bestFit="1" customWidth="1"/>
    <col min="567" max="567" width="13.42578125" bestFit="1" customWidth="1"/>
    <col min="568" max="568" width="16.85546875" bestFit="1" customWidth="1"/>
    <col min="569" max="569" width="14.42578125" bestFit="1" customWidth="1"/>
    <col min="570" max="570" width="13.140625" bestFit="1" customWidth="1"/>
    <col min="571" max="573" width="14.140625" bestFit="1" customWidth="1"/>
    <col min="574" max="574" width="18.140625" bestFit="1" customWidth="1"/>
    <col min="575" max="576" width="14.140625" bestFit="1" customWidth="1"/>
    <col min="577" max="577" width="16.5703125" bestFit="1" customWidth="1"/>
    <col min="578" max="581" width="14.140625" bestFit="1" customWidth="1"/>
    <col min="582" max="582" width="14.28515625" bestFit="1" customWidth="1"/>
    <col min="583" max="583" width="18.28515625" bestFit="1" customWidth="1"/>
    <col min="584" max="584" width="17.7109375" bestFit="1" customWidth="1"/>
    <col min="585" max="587" width="14.140625" bestFit="1" customWidth="1"/>
    <col min="588" max="588" width="17" bestFit="1" customWidth="1"/>
    <col min="589" max="589" width="16.7109375" bestFit="1" customWidth="1"/>
    <col min="590" max="590" width="14.140625" bestFit="1" customWidth="1"/>
    <col min="591" max="591" width="14.7109375" bestFit="1" customWidth="1"/>
    <col min="592" max="593" width="20.140625" bestFit="1" customWidth="1"/>
    <col min="594" max="594" width="14.140625" bestFit="1" customWidth="1"/>
    <col min="595" max="595" width="13.42578125" bestFit="1" customWidth="1"/>
    <col min="596" max="596" width="14.5703125" bestFit="1" customWidth="1"/>
    <col min="597" max="597" width="14.28515625" bestFit="1" customWidth="1"/>
    <col min="598" max="598" width="14.140625" bestFit="1" customWidth="1"/>
    <col min="599" max="599" width="14.28515625" bestFit="1" customWidth="1"/>
    <col min="600" max="600" width="14.140625" bestFit="1" customWidth="1"/>
    <col min="601" max="601" width="15.5703125" bestFit="1" customWidth="1"/>
    <col min="602" max="602" width="13.140625" bestFit="1" customWidth="1"/>
    <col min="603" max="603" width="14.140625" bestFit="1" customWidth="1"/>
    <col min="604" max="604" width="17" bestFit="1" customWidth="1"/>
    <col min="605" max="605" width="15.5703125" bestFit="1" customWidth="1"/>
    <col min="606" max="606" width="14.7109375" bestFit="1" customWidth="1"/>
    <col min="607" max="607" width="15.28515625" bestFit="1" customWidth="1"/>
    <col min="608" max="608" width="15.85546875" bestFit="1" customWidth="1"/>
    <col min="609" max="609" width="17.42578125" bestFit="1" customWidth="1"/>
    <col min="610" max="610" width="14.140625" bestFit="1" customWidth="1"/>
    <col min="611" max="611" width="15.42578125" bestFit="1" customWidth="1"/>
    <col min="612" max="612" width="14.140625" bestFit="1" customWidth="1"/>
    <col min="613" max="613" width="19.28515625" bestFit="1" customWidth="1"/>
    <col min="614" max="614" width="13.85546875" bestFit="1" customWidth="1"/>
    <col min="615" max="615" width="16.85546875" bestFit="1" customWidth="1"/>
    <col min="616" max="616" width="15.42578125" bestFit="1" customWidth="1"/>
    <col min="617" max="617" width="15.85546875" bestFit="1" customWidth="1"/>
    <col min="618" max="618" width="18.28515625" bestFit="1" customWidth="1"/>
    <col min="619" max="619" width="16.28515625" bestFit="1" customWidth="1"/>
    <col min="620" max="620" width="16.5703125" bestFit="1" customWidth="1"/>
    <col min="621" max="622" width="13.140625" bestFit="1" customWidth="1"/>
    <col min="623" max="623" width="15.5703125" bestFit="1" customWidth="1"/>
    <col min="624" max="624" width="13.28515625" bestFit="1" customWidth="1"/>
    <col min="625" max="629" width="14.140625" bestFit="1" customWidth="1"/>
    <col min="630" max="630" width="17.85546875" bestFit="1" customWidth="1"/>
    <col min="631" max="631" width="18.5703125" bestFit="1" customWidth="1"/>
    <col min="632" max="632" width="16.28515625" bestFit="1" customWidth="1"/>
    <col min="633" max="637" width="14.140625" bestFit="1" customWidth="1"/>
    <col min="638" max="638" width="15.140625" bestFit="1" customWidth="1"/>
    <col min="639" max="639" width="16.42578125" bestFit="1" customWidth="1"/>
    <col min="640" max="640" width="18" bestFit="1" customWidth="1"/>
    <col min="641" max="641" width="15.42578125" bestFit="1" customWidth="1"/>
    <col min="642" max="642" width="14.140625" bestFit="1" customWidth="1"/>
    <col min="643" max="643" width="17" bestFit="1" customWidth="1"/>
    <col min="644" max="644" width="15.85546875" bestFit="1" customWidth="1"/>
    <col min="645" max="645" width="14" bestFit="1" customWidth="1"/>
    <col min="646" max="646" width="19.42578125" bestFit="1" customWidth="1"/>
    <col min="647" max="647" width="17.5703125" bestFit="1" customWidth="1"/>
    <col min="648" max="648" width="14.7109375" bestFit="1" customWidth="1"/>
    <col min="649" max="649" width="17.42578125" bestFit="1" customWidth="1"/>
    <col min="650" max="650" width="14.140625" bestFit="1" customWidth="1"/>
    <col min="651" max="651" width="12.5703125" bestFit="1" customWidth="1"/>
    <col min="652" max="652" width="16.42578125" bestFit="1" customWidth="1"/>
    <col min="653" max="653" width="14.140625" bestFit="1" customWidth="1"/>
    <col min="654" max="654" width="15.7109375" bestFit="1" customWidth="1"/>
    <col min="655" max="655" width="17.7109375" bestFit="1" customWidth="1"/>
    <col min="656" max="656" width="13.140625" bestFit="1" customWidth="1"/>
    <col min="657" max="657" width="14.85546875" bestFit="1" customWidth="1"/>
    <col min="658" max="658" width="17.5703125" bestFit="1" customWidth="1"/>
    <col min="659" max="660" width="14.140625" bestFit="1" customWidth="1"/>
    <col min="661" max="661" width="14.42578125" bestFit="1" customWidth="1"/>
    <col min="662" max="663" width="15.140625" bestFit="1" customWidth="1"/>
    <col min="664" max="664" width="13.5703125" bestFit="1" customWidth="1"/>
    <col min="665" max="665" width="14.5703125" bestFit="1" customWidth="1"/>
    <col min="666" max="666" width="15.140625" bestFit="1" customWidth="1"/>
    <col min="667" max="667" width="14.140625" bestFit="1" customWidth="1"/>
    <col min="668" max="668" width="16.5703125" bestFit="1" customWidth="1"/>
    <col min="669" max="669" width="20.28515625" bestFit="1" customWidth="1"/>
    <col min="670" max="670" width="19.140625" bestFit="1" customWidth="1"/>
    <col min="671" max="671" width="16.7109375" bestFit="1" customWidth="1"/>
    <col min="672" max="672" width="15" bestFit="1" customWidth="1"/>
    <col min="673" max="674" width="15.42578125" bestFit="1" customWidth="1"/>
    <col min="675" max="675" width="18.140625" bestFit="1" customWidth="1"/>
    <col min="676" max="676" width="17.5703125" bestFit="1" customWidth="1"/>
    <col min="677" max="677" width="16.85546875" bestFit="1" customWidth="1"/>
    <col min="678" max="678" width="15" bestFit="1" customWidth="1"/>
    <col min="679" max="679" width="17.7109375" bestFit="1" customWidth="1"/>
    <col min="680" max="680" width="15.42578125" bestFit="1" customWidth="1"/>
    <col min="681" max="681" width="13.140625" bestFit="1" customWidth="1"/>
    <col min="682" max="682" width="14.140625" bestFit="1" customWidth="1"/>
    <col min="683" max="683" width="15.28515625" bestFit="1" customWidth="1"/>
    <col min="684" max="684" width="14.42578125" bestFit="1" customWidth="1"/>
    <col min="685" max="685" width="15.42578125" bestFit="1" customWidth="1"/>
    <col min="686" max="686" width="13.140625" bestFit="1" customWidth="1"/>
    <col min="687" max="687" width="14.140625" bestFit="1" customWidth="1"/>
    <col min="688" max="688" width="14.7109375" bestFit="1" customWidth="1"/>
    <col min="689" max="689" width="18.7109375" bestFit="1" customWidth="1"/>
    <col min="690" max="690" width="14.42578125" bestFit="1" customWidth="1"/>
    <col min="691" max="691" width="14.140625" bestFit="1" customWidth="1"/>
    <col min="692" max="692" width="14.28515625" bestFit="1" customWidth="1"/>
    <col min="693" max="693" width="15.140625" bestFit="1" customWidth="1"/>
    <col min="694" max="694" width="14.140625" bestFit="1" customWidth="1"/>
    <col min="695" max="695" width="15.140625" bestFit="1" customWidth="1"/>
    <col min="696" max="700" width="14.140625" bestFit="1" customWidth="1"/>
    <col min="701" max="701" width="18.85546875" bestFit="1" customWidth="1"/>
    <col min="702" max="702" width="16.140625" bestFit="1" customWidth="1"/>
    <col min="703" max="703" width="17.28515625" bestFit="1" customWidth="1"/>
    <col min="704" max="704" width="15.28515625" bestFit="1" customWidth="1"/>
    <col min="705" max="705" width="18" bestFit="1" customWidth="1"/>
    <col min="706" max="706" width="14.140625" bestFit="1" customWidth="1"/>
    <col min="707" max="707" width="16.28515625" bestFit="1" customWidth="1"/>
    <col min="708" max="709" width="14.140625" bestFit="1" customWidth="1"/>
    <col min="710" max="710" width="14.85546875" bestFit="1" customWidth="1"/>
    <col min="711" max="714" width="14.140625" bestFit="1" customWidth="1"/>
    <col min="715" max="715" width="14.7109375" bestFit="1" customWidth="1"/>
    <col min="716" max="717" width="14.140625" bestFit="1" customWidth="1"/>
    <col min="718" max="718" width="14.28515625" bestFit="1" customWidth="1"/>
    <col min="719" max="723" width="14.140625" bestFit="1" customWidth="1"/>
    <col min="724" max="724" width="13.7109375" bestFit="1" customWidth="1"/>
    <col min="725" max="725" width="15.140625" bestFit="1" customWidth="1"/>
    <col min="726" max="726" width="13.7109375" bestFit="1" customWidth="1"/>
    <col min="727" max="727" width="13.140625" bestFit="1" customWidth="1"/>
    <col min="728" max="735" width="14.140625" bestFit="1" customWidth="1"/>
    <col min="736" max="736" width="13.140625" bestFit="1" customWidth="1"/>
    <col min="737" max="745" width="14.140625" bestFit="1" customWidth="1"/>
    <col min="746" max="746" width="12.42578125" bestFit="1" customWidth="1"/>
    <col min="747" max="747" width="14.140625" bestFit="1" customWidth="1"/>
    <col min="748" max="748" width="15.7109375" bestFit="1" customWidth="1"/>
    <col min="749" max="749" width="17.42578125" bestFit="1" customWidth="1"/>
    <col min="750" max="750" width="14.140625" bestFit="1" customWidth="1"/>
    <col min="751" max="751" width="14" bestFit="1" customWidth="1"/>
    <col min="752" max="752" width="13.28515625" bestFit="1" customWidth="1"/>
    <col min="753" max="753" width="14.140625" bestFit="1" customWidth="1"/>
    <col min="754" max="754" width="13.140625" bestFit="1" customWidth="1"/>
    <col min="755" max="755" width="13.28515625" bestFit="1" customWidth="1"/>
    <col min="756" max="756" width="14.140625" bestFit="1" customWidth="1"/>
    <col min="757" max="757" width="17.28515625" bestFit="1" customWidth="1"/>
    <col min="758" max="758" width="15.5703125" bestFit="1" customWidth="1"/>
    <col min="759" max="759" width="13.140625" bestFit="1" customWidth="1"/>
    <col min="760" max="760" width="14.140625" bestFit="1" customWidth="1"/>
    <col min="761" max="761" width="16.140625" bestFit="1" customWidth="1"/>
    <col min="762" max="762" width="13.5703125" bestFit="1" customWidth="1"/>
    <col min="763" max="763" width="13.140625" bestFit="1" customWidth="1"/>
    <col min="764" max="765" width="14.140625" bestFit="1" customWidth="1"/>
    <col min="766" max="766" width="17.28515625" bestFit="1" customWidth="1"/>
    <col min="767" max="767" width="14.140625" bestFit="1" customWidth="1"/>
    <col min="768" max="768" width="13.140625" bestFit="1" customWidth="1"/>
    <col min="769" max="775" width="14.140625" bestFit="1" customWidth="1"/>
    <col min="776" max="776" width="18.28515625" bestFit="1" customWidth="1"/>
    <col min="777" max="777" width="15.7109375" bestFit="1" customWidth="1"/>
    <col min="778" max="778" width="20.7109375" bestFit="1" customWidth="1"/>
    <col min="779" max="779" width="18" bestFit="1" customWidth="1"/>
    <col min="780" max="780" width="20.28515625" bestFit="1" customWidth="1"/>
    <col min="781" max="781" width="19.42578125" bestFit="1" customWidth="1"/>
    <col min="782" max="782" width="21" bestFit="1" customWidth="1"/>
    <col min="783" max="783" width="14.140625" bestFit="1" customWidth="1"/>
    <col min="784" max="784" width="17.7109375" bestFit="1" customWidth="1"/>
    <col min="785" max="785" width="14.140625" bestFit="1" customWidth="1"/>
    <col min="786" max="786" width="16.85546875" bestFit="1" customWidth="1"/>
    <col min="787" max="787" width="17" bestFit="1" customWidth="1"/>
    <col min="788" max="788" width="13.140625" bestFit="1" customWidth="1"/>
    <col min="789" max="789" width="17.7109375" bestFit="1" customWidth="1"/>
    <col min="790" max="790" width="17.28515625" bestFit="1" customWidth="1"/>
    <col min="791" max="791" width="14.28515625" bestFit="1" customWidth="1"/>
    <col min="792" max="792" width="16.42578125" bestFit="1" customWidth="1"/>
    <col min="793" max="793" width="20.28515625" bestFit="1" customWidth="1"/>
    <col min="794" max="794" width="15.140625" bestFit="1" customWidth="1"/>
    <col min="795" max="795" width="17.5703125" bestFit="1" customWidth="1"/>
    <col min="796" max="796" width="16.85546875" bestFit="1" customWidth="1"/>
    <col min="797" max="797" width="19" bestFit="1" customWidth="1"/>
    <col min="798" max="798" width="18" bestFit="1" customWidth="1"/>
    <col min="799" max="799" width="18.28515625" bestFit="1" customWidth="1"/>
    <col min="800" max="800" width="13.140625" bestFit="1" customWidth="1"/>
    <col min="801" max="801" width="17.5703125" bestFit="1" customWidth="1"/>
    <col min="802" max="802" width="15.7109375" bestFit="1" customWidth="1"/>
    <col min="803" max="803" width="18.140625" bestFit="1" customWidth="1"/>
    <col min="804" max="804" width="15.42578125" bestFit="1" customWidth="1"/>
    <col min="805" max="806" width="14.140625" bestFit="1" customWidth="1"/>
    <col min="807" max="807" width="11.5703125" bestFit="1" customWidth="1"/>
    <col min="808" max="808" width="14.140625" bestFit="1" customWidth="1"/>
    <col min="809" max="809" width="16.140625" bestFit="1" customWidth="1"/>
    <col min="810" max="810" width="20.28515625" bestFit="1" customWidth="1"/>
    <col min="811" max="811" width="19" bestFit="1" customWidth="1"/>
    <col min="812" max="812" width="17.5703125" bestFit="1" customWidth="1"/>
    <col min="813" max="813" width="17.28515625" bestFit="1" customWidth="1"/>
    <col min="814" max="814" width="18.28515625" bestFit="1" customWidth="1"/>
    <col min="815" max="815" width="22" bestFit="1" customWidth="1"/>
    <col min="816" max="816" width="20.42578125" bestFit="1" customWidth="1"/>
    <col min="817" max="817" width="16.85546875" bestFit="1" customWidth="1"/>
    <col min="818" max="818" width="15.85546875" bestFit="1" customWidth="1"/>
    <col min="819" max="819" width="19.85546875" bestFit="1" customWidth="1"/>
    <col min="820" max="820" width="18" bestFit="1" customWidth="1"/>
    <col min="821" max="821" width="14.140625" bestFit="1" customWidth="1"/>
    <col min="822" max="822" width="16.42578125" bestFit="1" customWidth="1"/>
    <col min="823" max="824" width="14.140625" bestFit="1" customWidth="1"/>
    <col min="825" max="825" width="15" bestFit="1" customWidth="1"/>
    <col min="826" max="826" width="14.7109375" bestFit="1" customWidth="1"/>
    <col min="827" max="829" width="14.140625" bestFit="1" customWidth="1"/>
    <col min="830" max="830" width="16.5703125" bestFit="1" customWidth="1"/>
    <col min="831" max="831" width="11.85546875" bestFit="1" customWidth="1"/>
    <col min="832" max="832" width="13.7109375" bestFit="1" customWidth="1"/>
    <col min="833" max="834" width="14.140625" bestFit="1" customWidth="1"/>
    <col min="835" max="835" width="13.85546875" bestFit="1" customWidth="1"/>
    <col min="836" max="836" width="14.28515625" bestFit="1" customWidth="1"/>
    <col min="837" max="837" width="13.140625" bestFit="1" customWidth="1"/>
    <col min="838" max="839" width="15.140625" bestFit="1" customWidth="1"/>
    <col min="840" max="841" width="14.140625" bestFit="1" customWidth="1"/>
    <col min="842" max="842" width="15" bestFit="1" customWidth="1"/>
    <col min="843" max="843" width="15.140625" bestFit="1" customWidth="1"/>
    <col min="844" max="844" width="14.140625" bestFit="1" customWidth="1"/>
    <col min="845" max="845" width="17.85546875" bestFit="1" customWidth="1"/>
    <col min="846" max="846" width="15.7109375" bestFit="1" customWidth="1"/>
    <col min="847" max="847" width="17.85546875" bestFit="1" customWidth="1"/>
    <col min="848" max="848" width="14.7109375" bestFit="1" customWidth="1"/>
    <col min="849" max="849" width="15.7109375" bestFit="1" customWidth="1"/>
    <col min="850" max="854" width="14.140625" bestFit="1" customWidth="1"/>
    <col min="855" max="856" width="13.140625" bestFit="1" customWidth="1"/>
    <col min="857" max="857" width="13.7109375" bestFit="1" customWidth="1"/>
    <col min="858" max="858" width="15.85546875" bestFit="1" customWidth="1"/>
    <col min="859" max="861" width="14.140625" bestFit="1" customWidth="1"/>
    <col min="862" max="863" width="13.140625" bestFit="1" customWidth="1"/>
    <col min="864" max="867" width="14.140625" bestFit="1" customWidth="1"/>
    <col min="868" max="868" width="13.140625" bestFit="1" customWidth="1"/>
    <col min="869" max="869" width="14.140625" bestFit="1" customWidth="1"/>
    <col min="870" max="870" width="13.140625" bestFit="1" customWidth="1"/>
    <col min="871" max="871" width="14.140625" bestFit="1" customWidth="1"/>
    <col min="872" max="872" width="14" bestFit="1" customWidth="1"/>
    <col min="873" max="873" width="17.85546875" bestFit="1" customWidth="1"/>
    <col min="874" max="874" width="16.42578125" bestFit="1" customWidth="1"/>
    <col min="875" max="875" width="14.140625" bestFit="1" customWidth="1"/>
    <col min="876" max="876" width="13.140625" bestFit="1" customWidth="1"/>
    <col min="877" max="878" width="14.140625" bestFit="1" customWidth="1"/>
    <col min="879" max="879" width="15.5703125" bestFit="1" customWidth="1"/>
    <col min="880" max="880" width="13.42578125" bestFit="1" customWidth="1"/>
    <col min="881" max="882" width="14.140625" bestFit="1" customWidth="1"/>
    <col min="883" max="883" width="16.28515625" bestFit="1" customWidth="1"/>
    <col min="884" max="885" width="14.140625" bestFit="1" customWidth="1"/>
    <col min="886" max="886" width="15.42578125" bestFit="1" customWidth="1"/>
    <col min="887" max="887" width="13.140625" bestFit="1" customWidth="1"/>
    <col min="888" max="888" width="14.140625" bestFit="1" customWidth="1"/>
    <col min="889" max="889" width="14.85546875" bestFit="1" customWidth="1"/>
    <col min="890" max="890" width="13.140625" bestFit="1" customWidth="1"/>
    <col min="891" max="891" width="13.85546875" bestFit="1" customWidth="1"/>
    <col min="892" max="892" width="16.5703125" bestFit="1" customWidth="1"/>
    <col min="893" max="893" width="14.85546875" bestFit="1" customWidth="1"/>
    <col min="894" max="894" width="14.28515625" bestFit="1" customWidth="1"/>
    <col min="895" max="896" width="14.140625" bestFit="1" customWidth="1"/>
    <col min="897" max="897" width="19" bestFit="1" customWidth="1"/>
    <col min="898" max="898" width="17.85546875" bestFit="1" customWidth="1"/>
    <col min="899" max="901" width="14.140625" bestFit="1" customWidth="1"/>
    <col min="902" max="902" width="16.42578125" bestFit="1" customWidth="1"/>
    <col min="903" max="903" width="14.85546875" bestFit="1" customWidth="1"/>
    <col min="904" max="905" width="14.140625" bestFit="1" customWidth="1"/>
    <col min="906" max="906" width="13.140625" bestFit="1" customWidth="1"/>
    <col min="907" max="907" width="14.140625" bestFit="1" customWidth="1"/>
    <col min="908" max="908" width="14.42578125" bestFit="1" customWidth="1"/>
    <col min="909" max="909" width="13.140625" bestFit="1" customWidth="1"/>
    <col min="910" max="910" width="14.140625" bestFit="1" customWidth="1"/>
    <col min="911" max="911" width="18.140625" bestFit="1" customWidth="1"/>
    <col min="912" max="913" width="14.140625" bestFit="1" customWidth="1"/>
    <col min="914" max="914" width="15.140625" bestFit="1" customWidth="1"/>
    <col min="915" max="915" width="14.7109375" bestFit="1" customWidth="1"/>
    <col min="916" max="916" width="15.28515625" bestFit="1" customWidth="1"/>
    <col min="917" max="917" width="15.7109375" bestFit="1" customWidth="1"/>
    <col min="918" max="918" width="18.42578125" bestFit="1" customWidth="1"/>
    <col min="919" max="919" width="16.85546875" bestFit="1" customWidth="1"/>
    <col min="920" max="920" width="14.140625" bestFit="1" customWidth="1"/>
    <col min="921" max="921" width="15.42578125" bestFit="1" customWidth="1"/>
    <col min="922" max="922" width="13.85546875" bestFit="1" customWidth="1"/>
    <col min="923" max="923" width="17.140625" bestFit="1" customWidth="1"/>
    <col min="924" max="924" width="14.42578125" bestFit="1" customWidth="1"/>
    <col min="925" max="925" width="17.140625" bestFit="1" customWidth="1"/>
    <col min="926" max="927" width="14.140625" bestFit="1" customWidth="1"/>
    <col min="928" max="928" width="15.42578125" bestFit="1" customWidth="1"/>
    <col min="929" max="929" width="13.140625" bestFit="1" customWidth="1"/>
    <col min="930" max="930" width="14.5703125" bestFit="1" customWidth="1"/>
    <col min="931" max="933" width="14.140625" bestFit="1" customWidth="1"/>
    <col min="934" max="934" width="18.140625" bestFit="1" customWidth="1"/>
    <col min="935" max="935" width="14.140625" bestFit="1" customWidth="1"/>
    <col min="936" max="936" width="14.85546875" bestFit="1" customWidth="1"/>
    <col min="937" max="937" width="15" bestFit="1" customWidth="1"/>
    <col min="938" max="938" width="13.140625" bestFit="1" customWidth="1"/>
    <col min="939" max="939" width="18" bestFit="1" customWidth="1"/>
    <col min="940" max="940" width="14.140625" bestFit="1" customWidth="1"/>
    <col min="941" max="941" width="15.42578125" bestFit="1" customWidth="1"/>
    <col min="942" max="942" width="15.28515625" bestFit="1" customWidth="1"/>
    <col min="943" max="943" width="15.85546875" bestFit="1" customWidth="1"/>
    <col min="944" max="944" width="16.85546875" bestFit="1" customWidth="1"/>
    <col min="945" max="946" width="14.140625" bestFit="1" customWidth="1"/>
    <col min="947" max="947" width="17.42578125" bestFit="1" customWidth="1"/>
    <col min="948" max="948" width="20.7109375" bestFit="1" customWidth="1"/>
    <col min="949" max="949" width="21.7109375" bestFit="1" customWidth="1"/>
    <col min="950" max="950" width="22" bestFit="1" customWidth="1"/>
    <col min="951" max="951" width="19.7109375" bestFit="1" customWidth="1"/>
    <col min="952" max="952" width="18.5703125" bestFit="1" customWidth="1"/>
    <col min="953" max="953" width="19.5703125" bestFit="1" customWidth="1"/>
    <col min="954" max="954" width="14.140625" bestFit="1" customWidth="1"/>
    <col min="955" max="955" width="18" bestFit="1" customWidth="1"/>
    <col min="956" max="956" width="24.85546875" bestFit="1" customWidth="1"/>
    <col min="957" max="957" width="18" bestFit="1" customWidth="1"/>
    <col min="958" max="958" width="20.42578125" bestFit="1" customWidth="1"/>
    <col min="959" max="959" width="17.28515625" bestFit="1" customWidth="1"/>
    <col min="960" max="960" width="19.5703125" bestFit="1" customWidth="1"/>
    <col min="961" max="961" width="18.28515625" bestFit="1" customWidth="1"/>
    <col min="962" max="962" width="17.85546875" bestFit="1" customWidth="1"/>
    <col min="963" max="963" width="19.42578125" bestFit="1" customWidth="1"/>
    <col min="964" max="964" width="16.85546875" bestFit="1" customWidth="1"/>
    <col min="965" max="965" width="21" bestFit="1" customWidth="1"/>
    <col min="966" max="968" width="14.140625" bestFit="1" customWidth="1"/>
    <col min="969" max="969" width="18.28515625" bestFit="1" customWidth="1"/>
    <col min="970" max="970" width="21" bestFit="1" customWidth="1"/>
    <col min="971" max="971" width="14.140625" bestFit="1" customWidth="1"/>
    <col min="972" max="972" width="15.28515625" bestFit="1" customWidth="1"/>
    <col min="973" max="973" width="15.7109375" bestFit="1" customWidth="1"/>
    <col min="974" max="974" width="14.42578125" bestFit="1" customWidth="1"/>
    <col min="975" max="975" width="13.28515625" bestFit="1" customWidth="1"/>
    <col min="976" max="976" width="15.140625" bestFit="1" customWidth="1"/>
    <col min="977" max="977" width="15" bestFit="1" customWidth="1"/>
    <col min="978" max="978" width="16.42578125" bestFit="1" customWidth="1"/>
    <col min="979" max="979" width="16.140625" bestFit="1" customWidth="1"/>
    <col min="980" max="980" width="15.28515625" bestFit="1" customWidth="1"/>
    <col min="981" max="981" width="15" bestFit="1" customWidth="1"/>
    <col min="982" max="982" width="14.140625" bestFit="1" customWidth="1"/>
    <col min="983" max="983" width="15.7109375" bestFit="1" customWidth="1"/>
    <col min="984" max="984" width="16.28515625" bestFit="1" customWidth="1"/>
    <col min="985" max="985" width="13.5703125" bestFit="1" customWidth="1"/>
    <col min="986" max="988" width="14.140625" bestFit="1" customWidth="1"/>
    <col min="989" max="989" width="16.5703125" bestFit="1" customWidth="1"/>
    <col min="990" max="990" width="14.140625" bestFit="1" customWidth="1"/>
    <col min="991" max="991" width="13.140625" bestFit="1" customWidth="1"/>
    <col min="992" max="992" width="14.140625" bestFit="1" customWidth="1"/>
    <col min="993" max="993" width="13.7109375" bestFit="1" customWidth="1"/>
    <col min="994" max="994" width="14.42578125" bestFit="1" customWidth="1"/>
    <col min="995" max="995" width="15.85546875" bestFit="1" customWidth="1"/>
    <col min="996" max="996" width="13.5703125" bestFit="1" customWidth="1"/>
    <col min="997" max="997" width="15.5703125" bestFit="1" customWidth="1"/>
    <col min="998" max="998" width="14.7109375" bestFit="1" customWidth="1"/>
    <col min="999" max="999" width="15" bestFit="1" customWidth="1"/>
    <col min="1000" max="1000" width="14.140625" bestFit="1" customWidth="1"/>
    <col min="1001" max="1001" width="15.42578125" bestFit="1" customWidth="1"/>
    <col min="1002" max="1002" width="14.140625" bestFit="1" customWidth="1"/>
    <col min="1003" max="1003" width="14.42578125" bestFit="1" customWidth="1"/>
    <col min="1004" max="1004" width="13.140625" bestFit="1" customWidth="1"/>
    <col min="1005" max="1005" width="14.140625" bestFit="1" customWidth="1"/>
    <col min="1006" max="1006" width="17.140625" bestFit="1" customWidth="1"/>
    <col min="1007" max="1007" width="17.7109375" bestFit="1" customWidth="1"/>
    <col min="1008" max="1008" width="16.42578125" bestFit="1" customWidth="1"/>
    <col min="1009" max="1009" width="15.42578125" bestFit="1" customWidth="1"/>
    <col min="1010" max="1010" width="14.85546875" bestFit="1" customWidth="1"/>
    <col min="1011" max="1011" width="15.28515625" bestFit="1" customWidth="1"/>
    <col min="1012" max="1012" width="15.42578125" bestFit="1" customWidth="1"/>
    <col min="1013" max="1013" width="15" bestFit="1" customWidth="1"/>
    <col min="1014" max="1015" width="14.140625" bestFit="1" customWidth="1"/>
    <col min="1016" max="1016" width="17.28515625" bestFit="1" customWidth="1"/>
    <col min="1017" max="1017" width="15.85546875" bestFit="1" customWidth="1"/>
    <col min="1018" max="1018" width="14.140625" bestFit="1" customWidth="1"/>
    <col min="1019" max="1019" width="15.140625" bestFit="1" customWidth="1"/>
    <col min="1020" max="1020" width="14.140625" bestFit="1" customWidth="1"/>
    <col min="1021" max="1021" width="18.42578125" bestFit="1" customWidth="1"/>
    <col min="1022" max="1022" width="16.42578125" bestFit="1" customWidth="1"/>
    <col min="1023" max="1023" width="14.7109375" bestFit="1" customWidth="1"/>
    <col min="1024" max="1024" width="14.140625" bestFit="1" customWidth="1"/>
    <col min="1025" max="1025" width="17.5703125" bestFit="1" customWidth="1"/>
    <col min="1026" max="1026" width="14.140625" bestFit="1" customWidth="1"/>
    <col min="1027" max="1027" width="15.28515625" bestFit="1" customWidth="1"/>
    <col min="1028" max="1028" width="14.140625" bestFit="1" customWidth="1"/>
    <col min="1029" max="1029" width="15" bestFit="1" customWidth="1"/>
    <col min="1030" max="1030" width="15.28515625" bestFit="1" customWidth="1"/>
    <col min="1031" max="1031" width="14.140625" bestFit="1" customWidth="1"/>
    <col min="1032" max="1032" width="15.28515625" bestFit="1" customWidth="1"/>
    <col min="1033" max="1033" width="15.7109375" bestFit="1" customWidth="1"/>
    <col min="1034" max="1034" width="14.140625" bestFit="1" customWidth="1"/>
    <col min="1035" max="1035" width="16.28515625" bestFit="1" customWidth="1"/>
    <col min="1036" max="1036" width="14.140625" bestFit="1" customWidth="1"/>
    <col min="1037" max="1037" width="14.5703125" bestFit="1" customWidth="1"/>
    <col min="1038" max="1038" width="14.140625" bestFit="1" customWidth="1"/>
    <col min="1039" max="1039" width="14.85546875" bestFit="1" customWidth="1"/>
    <col min="1040" max="1040" width="18.140625" bestFit="1" customWidth="1"/>
    <col min="1041" max="1041" width="17.85546875" bestFit="1" customWidth="1"/>
    <col min="1042" max="1044" width="14.140625" bestFit="1" customWidth="1"/>
    <col min="1045" max="1045" width="14.42578125" bestFit="1" customWidth="1"/>
    <col min="1046" max="1046" width="15.85546875" bestFit="1" customWidth="1"/>
    <col min="1047" max="1047" width="13.28515625" bestFit="1" customWidth="1"/>
    <col min="1048" max="1051" width="14.140625" bestFit="1" customWidth="1"/>
    <col min="1052" max="1052" width="14.7109375" bestFit="1" customWidth="1"/>
    <col min="1053" max="1053" width="14.140625" bestFit="1" customWidth="1"/>
    <col min="1054" max="1054" width="16.140625" bestFit="1" customWidth="1"/>
    <col min="1055" max="1055" width="14.5703125" bestFit="1" customWidth="1"/>
    <col min="1056" max="1056" width="15.85546875" bestFit="1" customWidth="1"/>
    <col min="1057" max="1057" width="17.5703125" bestFit="1" customWidth="1"/>
    <col min="1058" max="1058" width="15.140625" bestFit="1" customWidth="1"/>
    <col min="1059" max="1059" width="16.42578125" bestFit="1" customWidth="1"/>
    <col min="1060" max="1060" width="15.5703125" bestFit="1" customWidth="1"/>
    <col min="1061" max="1061" width="13.28515625" bestFit="1" customWidth="1"/>
    <col min="1062" max="1062" width="14.85546875" bestFit="1" customWidth="1"/>
    <col min="1063" max="1063" width="14.28515625" bestFit="1" customWidth="1"/>
    <col min="1064" max="1064" width="13.5703125" bestFit="1" customWidth="1"/>
    <col min="1065" max="1065" width="14.28515625" bestFit="1" customWidth="1"/>
    <col min="1066" max="1066" width="13.140625" bestFit="1" customWidth="1"/>
    <col min="1067" max="1067" width="14.42578125" bestFit="1" customWidth="1"/>
    <col min="1068" max="1068" width="14.140625" bestFit="1" customWidth="1"/>
    <col min="1069" max="1069" width="13.140625" bestFit="1" customWidth="1"/>
    <col min="1070" max="1071" width="14.140625" bestFit="1" customWidth="1"/>
    <col min="1072" max="1072" width="18.5703125" bestFit="1" customWidth="1"/>
    <col min="1073" max="1073" width="15" bestFit="1" customWidth="1"/>
    <col min="1074" max="1074" width="16.42578125" bestFit="1" customWidth="1"/>
    <col min="1075" max="1075" width="14.28515625" bestFit="1" customWidth="1"/>
    <col min="1076" max="1076" width="16.28515625" bestFit="1" customWidth="1"/>
    <col min="1077" max="1077" width="14.42578125" bestFit="1" customWidth="1"/>
    <col min="1078" max="1078" width="13.7109375" bestFit="1" customWidth="1"/>
    <col min="1079" max="1079" width="13.42578125" bestFit="1" customWidth="1"/>
    <col min="1080" max="1081" width="14.140625" bestFit="1" customWidth="1"/>
    <col min="1082" max="1082" width="13.140625" bestFit="1" customWidth="1"/>
    <col min="1083" max="1084" width="14.140625" bestFit="1" customWidth="1"/>
    <col min="1085" max="1085" width="13.140625" bestFit="1" customWidth="1"/>
    <col min="1086" max="1090" width="14.140625" bestFit="1" customWidth="1"/>
    <col min="1091" max="1091" width="14.28515625" bestFit="1" customWidth="1"/>
    <col min="1092" max="1092" width="15.42578125" bestFit="1" customWidth="1"/>
    <col min="1093" max="1093" width="14.140625" bestFit="1" customWidth="1"/>
    <col min="1094" max="1094" width="15.7109375" bestFit="1" customWidth="1"/>
    <col min="1095" max="1096" width="14.140625" bestFit="1" customWidth="1"/>
    <col min="1097" max="1097" width="14.28515625" bestFit="1" customWidth="1"/>
    <col min="1098" max="1098" width="13.7109375" bestFit="1" customWidth="1"/>
    <col min="1099" max="1099" width="15.28515625" bestFit="1" customWidth="1"/>
    <col min="1100" max="1100" width="14.7109375" bestFit="1" customWidth="1"/>
    <col min="1101" max="1101" width="14.140625" bestFit="1" customWidth="1"/>
    <col min="1102" max="1102" width="15.85546875" bestFit="1" customWidth="1"/>
    <col min="1103" max="1108" width="14.140625" bestFit="1" customWidth="1"/>
    <col min="1109" max="1109" width="14.5703125" bestFit="1" customWidth="1"/>
    <col min="1110" max="1112" width="14.140625" bestFit="1" customWidth="1"/>
    <col min="1113" max="1113" width="14.85546875" bestFit="1" customWidth="1"/>
    <col min="1114" max="1116" width="14.140625" bestFit="1" customWidth="1"/>
    <col min="1117" max="1117" width="13.140625" bestFit="1" customWidth="1"/>
    <col min="1118" max="1118" width="16.42578125" bestFit="1" customWidth="1"/>
    <col min="1119" max="1119" width="14.140625" bestFit="1" customWidth="1"/>
    <col min="1120" max="1120" width="15" bestFit="1" customWidth="1"/>
    <col min="1121" max="1121" width="14.7109375" bestFit="1" customWidth="1"/>
    <col min="1122" max="1122" width="15" bestFit="1" customWidth="1"/>
    <col min="1123" max="1124" width="14.140625" bestFit="1" customWidth="1"/>
    <col min="1125" max="1125" width="14.85546875" bestFit="1" customWidth="1"/>
    <col min="1126" max="1126" width="15.85546875" bestFit="1" customWidth="1"/>
    <col min="1127" max="1128" width="14.140625" bestFit="1" customWidth="1"/>
    <col min="1129" max="1129" width="17.28515625" bestFit="1" customWidth="1"/>
    <col min="1130" max="1131" width="14.140625" bestFit="1" customWidth="1"/>
    <col min="1132" max="1132" width="15.140625" bestFit="1" customWidth="1"/>
    <col min="1133" max="1133" width="16.28515625" bestFit="1" customWidth="1"/>
    <col min="1134" max="1134" width="14.140625" bestFit="1" customWidth="1"/>
    <col min="1135" max="1135" width="14.5703125" bestFit="1" customWidth="1"/>
    <col min="1136" max="1136" width="13.140625" bestFit="1" customWidth="1"/>
    <col min="1137" max="1137" width="15" bestFit="1" customWidth="1"/>
    <col min="1138" max="1138" width="14" bestFit="1" customWidth="1"/>
    <col min="1139" max="1139" width="14.85546875" bestFit="1" customWidth="1"/>
    <col min="1140" max="1140" width="14.42578125" bestFit="1" customWidth="1"/>
    <col min="1141" max="1141" width="14.140625" bestFit="1" customWidth="1"/>
    <col min="1142" max="1142" width="13.140625" bestFit="1" customWidth="1"/>
    <col min="1143" max="1143" width="14.42578125" bestFit="1" customWidth="1"/>
    <col min="1144" max="1145" width="14.140625" bestFit="1" customWidth="1"/>
    <col min="1146" max="1146" width="15.85546875" bestFit="1" customWidth="1"/>
    <col min="1147" max="1147" width="14.85546875" bestFit="1" customWidth="1"/>
    <col min="1148" max="1148" width="14.140625" bestFit="1" customWidth="1"/>
    <col min="1149" max="1149" width="17.7109375" bestFit="1" customWidth="1"/>
    <col min="1150" max="1150" width="14.5703125" bestFit="1" customWidth="1"/>
    <col min="1151" max="1151" width="14.140625" bestFit="1" customWidth="1"/>
    <col min="1152" max="1152" width="15.42578125" bestFit="1" customWidth="1"/>
    <col min="1153" max="1153" width="13.140625" bestFit="1" customWidth="1"/>
    <col min="1154" max="1154" width="14.140625" bestFit="1" customWidth="1"/>
    <col min="1155" max="1155" width="15.7109375" bestFit="1" customWidth="1"/>
    <col min="1156" max="1156" width="14.7109375" bestFit="1" customWidth="1"/>
    <col min="1157" max="1157" width="14.42578125" bestFit="1" customWidth="1"/>
    <col min="1158" max="1159" width="14.140625" bestFit="1" customWidth="1"/>
    <col min="1160" max="1160" width="14.85546875" bestFit="1" customWidth="1"/>
    <col min="1161" max="1161" width="13.140625" bestFit="1" customWidth="1"/>
    <col min="1162" max="1165" width="14.140625" bestFit="1" customWidth="1"/>
    <col min="1166" max="1166" width="15.140625" bestFit="1" customWidth="1"/>
    <col min="1167" max="1168" width="14.140625" bestFit="1" customWidth="1"/>
    <col min="1169" max="1169" width="14.28515625" bestFit="1" customWidth="1"/>
    <col min="1170" max="1170" width="14.140625" bestFit="1" customWidth="1"/>
    <col min="1171" max="1171" width="15.28515625" bestFit="1" customWidth="1"/>
    <col min="1172" max="1172" width="14.140625" bestFit="1" customWidth="1"/>
    <col min="1173" max="1173" width="13.140625" bestFit="1" customWidth="1"/>
    <col min="1174" max="1174" width="14.140625" bestFit="1" customWidth="1"/>
    <col min="1175" max="1175" width="16.42578125" bestFit="1" customWidth="1"/>
    <col min="1176" max="1176" width="13.140625" bestFit="1" customWidth="1"/>
    <col min="1177" max="1177" width="15.140625" bestFit="1" customWidth="1"/>
    <col min="1178" max="1179" width="14.140625" bestFit="1" customWidth="1"/>
    <col min="1180" max="1181" width="17" bestFit="1" customWidth="1"/>
    <col min="1182" max="1182" width="14.85546875" bestFit="1" customWidth="1"/>
    <col min="1183" max="1183" width="14.140625" bestFit="1" customWidth="1"/>
    <col min="1184" max="1184" width="14.5703125" bestFit="1" customWidth="1"/>
    <col min="1185" max="1185" width="15.28515625" bestFit="1" customWidth="1"/>
    <col min="1186" max="1192" width="14.140625" bestFit="1" customWidth="1"/>
    <col min="1193" max="1193" width="13.140625" bestFit="1" customWidth="1"/>
    <col min="1194" max="1194" width="14.7109375" bestFit="1" customWidth="1"/>
    <col min="1195" max="1195" width="14.140625" bestFit="1" customWidth="1"/>
    <col min="1196" max="1196" width="13.7109375" bestFit="1" customWidth="1"/>
    <col min="1197" max="1197" width="13.140625" bestFit="1" customWidth="1"/>
    <col min="1198" max="1198" width="14.42578125" bestFit="1" customWidth="1"/>
    <col min="1199" max="1200" width="14.140625" bestFit="1" customWidth="1"/>
    <col min="1201" max="1201" width="15.28515625" bestFit="1" customWidth="1"/>
    <col min="1202" max="1202" width="13.7109375" bestFit="1" customWidth="1"/>
    <col min="1203" max="1203" width="16.7109375" bestFit="1" customWidth="1"/>
    <col min="1204" max="1204" width="18.5703125" bestFit="1" customWidth="1"/>
    <col min="1205" max="1205" width="18.140625" bestFit="1" customWidth="1"/>
    <col min="1206" max="1206" width="18.28515625" bestFit="1" customWidth="1"/>
    <col min="1207" max="1207" width="18" bestFit="1" customWidth="1"/>
    <col min="1208" max="1208" width="14.7109375" bestFit="1" customWidth="1"/>
    <col min="1209" max="1209" width="13.140625" bestFit="1" customWidth="1"/>
    <col min="1210" max="1212" width="14.140625" bestFit="1" customWidth="1"/>
    <col min="1213" max="1213" width="11.5703125" bestFit="1" customWidth="1"/>
    <col min="1214" max="1214" width="15" bestFit="1" customWidth="1"/>
    <col min="1215" max="1215" width="14.85546875" bestFit="1" customWidth="1"/>
    <col min="1216" max="1216" width="15.140625" bestFit="1" customWidth="1"/>
    <col min="1217" max="1217" width="14.7109375" bestFit="1" customWidth="1"/>
    <col min="1218" max="1218" width="17" bestFit="1" customWidth="1"/>
    <col min="1219" max="1219" width="13.140625" bestFit="1" customWidth="1"/>
    <col min="1220" max="1220" width="16.140625" bestFit="1" customWidth="1"/>
    <col min="1221" max="1222" width="14.140625" bestFit="1" customWidth="1"/>
    <col min="1223" max="1223" width="14.42578125" bestFit="1" customWidth="1"/>
    <col min="1224" max="1224" width="15.5703125" bestFit="1" customWidth="1"/>
    <col min="1225" max="1225" width="14.140625" bestFit="1" customWidth="1"/>
    <col min="1226" max="1226" width="13.140625" bestFit="1" customWidth="1"/>
    <col min="1227" max="1227" width="13.5703125" bestFit="1" customWidth="1"/>
    <col min="1228" max="1228" width="14.140625" bestFit="1" customWidth="1"/>
    <col min="1229" max="1229" width="11.5703125" bestFit="1" customWidth="1"/>
    <col min="1230" max="1230" width="14.140625" bestFit="1" customWidth="1"/>
    <col min="1231" max="1231" width="13.42578125" bestFit="1" customWidth="1"/>
    <col min="1232" max="1232" width="13.140625" bestFit="1" customWidth="1"/>
    <col min="1233" max="1233" width="14.140625" bestFit="1" customWidth="1"/>
    <col min="1234" max="1234" width="13.140625" bestFit="1" customWidth="1"/>
    <col min="1235" max="1236" width="14.140625" bestFit="1" customWidth="1"/>
    <col min="1237" max="1237" width="13.140625" bestFit="1" customWidth="1"/>
    <col min="1238" max="1238" width="15.140625" bestFit="1" customWidth="1"/>
    <col min="1239" max="1239" width="17" bestFit="1" customWidth="1"/>
    <col min="1240" max="1240" width="16.85546875" bestFit="1" customWidth="1"/>
    <col min="1241" max="1241" width="14.85546875" bestFit="1" customWidth="1"/>
    <col min="1242" max="1242" width="16.140625" bestFit="1" customWidth="1"/>
    <col min="1243" max="1243" width="13.140625" bestFit="1" customWidth="1"/>
    <col min="1244" max="1244" width="14.140625" bestFit="1" customWidth="1"/>
    <col min="1245" max="1245" width="14.85546875" bestFit="1" customWidth="1"/>
    <col min="1246" max="1246" width="14.140625" bestFit="1" customWidth="1"/>
    <col min="1247" max="1247" width="11.7109375" bestFit="1" customWidth="1"/>
    <col min="1248" max="1249" width="14.140625" bestFit="1" customWidth="1"/>
    <col min="1250" max="1250" width="13.140625" bestFit="1" customWidth="1"/>
    <col min="1251" max="1251" width="17.85546875" bestFit="1" customWidth="1"/>
    <col min="1252" max="1252" width="14.140625" bestFit="1" customWidth="1"/>
    <col min="1253" max="1253" width="14.85546875" bestFit="1" customWidth="1"/>
    <col min="1254" max="1254" width="14.7109375" bestFit="1" customWidth="1"/>
    <col min="1255" max="1256" width="14.140625" bestFit="1" customWidth="1"/>
    <col min="1257" max="1257" width="11.85546875" bestFit="1" customWidth="1"/>
    <col min="1258" max="1258" width="14.140625" bestFit="1" customWidth="1"/>
    <col min="1259" max="1259" width="13.140625" bestFit="1" customWidth="1"/>
    <col min="1260" max="1260" width="16.28515625" bestFit="1" customWidth="1"/>
    <col min="1261" max="1261" width="14.85546875" bestFit="1" customWidth="1"/>
    <col min="1262" max="1262" width="15.28515625" bestFit="1" customWidth="1"/>
    <col min="1263" max="1263" width="17.5703125" bestFit="1" customWidth="1"/>
    <col min="1264" max="1267" width="14.140625" bestFit="1" customWidth="1"/>
    <col min="1268" max="1268" width="14.85546875" bestFit="1" customWidth="1"/>
    <col min="1269" max="1270" width="14.140625" bestFit="1" customWidth="1"/>
    <col min="1271" max="1271" width="15.42578125" bestFit="1" customWidth="1"/>
    <col min="1272" max="1272" width="18.42578125" bestFit="1" customWidth="1"/>
    <col min="1273" max="1273" width="15" bestFit="1" customWidth="1"/>
    <col min="1274" max="1274" width="14" bestFit="1" customWidth="1"/>
    <col min="1275" max="1275" width="14.5703125" bestFit="1" customWidth="1"/>
    <col min="1276" max="1276" width="13.7109375" bestFit="1" customWidth="1"/>
    <col min="1277" max="1277" width="13.140625" bestFit="1" customWidth="1"/>
    <col min="1278" max="1278" width="15" bestFit="1" customWidth="1"/>
    <col min="1279" max="1279" width="15.140625" bestFit="1" customWidth="1"/>
    <col min="1280" max="1281" width="14.140625" bestFit="1" customWidth="1"/>
    <col min="1282" max="1282" width="18" bestFit="1" customWidth="1"/>
    <col min="1283" max="1283" width="14.140625" bestFit="1" customWidth="1"/>
    <col min="1284" max="1284" width="14.42578125" bestFit="1" customWidth="1"/>
    <col min="1285" max="1285" width="16.5703125" bestFit="1" customWidth="1"/>
    <col min="1286" max="1286" width="14.42578125" bestFit="1" customWidth="1"/>
    <col min="1287" max="1287" width="15" bestFit="1" customWidth="1"/>
    <col min="1288" max="1288" width="14.7109375" bestFit="1" customWidth="1"/>
    <col min="1289" max="1289" width="14.85546875" bestFit="1" customWidth="1"/>
    <col min="1290" max="1290" width="14.140625" bestFit="1" customWidth="1"/>
    <col min="1291" max="1291" width="14.42578125" bestFit="1" customWidth="1"/>
    <col min="1292" max="1294" width="14.140625" bestFit="1" customWidth="1"/>
    <col min="1295" max="1295" width="15.28515625" bestFit="1" customWidth="1"/>
    <col min="1296" max="1296" width="16.5703125" bestFit="1" customWidth="1"/>
    <col min="1297" max="1297" width="14.28515625" bestFit="1" customWidth="1"/>
    <col min="1298" max="1298" width="14.140625" bestFit="1" customWidth="1"/>
    <col min="1299" max="1299" width="14.85546875" bestFit="1" customWidth="1"/>
    <col min="1300" max="1300" width="15.85546875" bestFit="1" customWidth="1"/>
    <col min="1301" max="1304" width="14.140625" bestFit="1" customWidth="1"/>
    <col min="1305" max="1305" width="14" bestFit="1" customWidth="1"/>
    <col min="1306" max="1306" width="16.42578125" bestFit="1" customWidth="1"/>
    <col min="1307" max="1307" width="12.5703125" bestFit="1" customWidth="1"/>
    <col min="1308" max="1308" width="15.42578125" bestFit="1" customWidth="1"/>
    <col min="1309" max="1313" width="14.140625" bestFit="1" customWidth="1"/>
    <col min="1314" max="1314" width="13.140625" bestFit="1" customWidth="1"/>
    <col min="1315" max="1317" width="14.140625" bestFit="1" customWidth="1"/>
    <col min="1318" max="1318" width="13.140625" bestFit="1" customWidth="1"/>
    <col min="1319" max="1320" width="14.140625" bestFit="1" customWidth="1"/>
    <col min="1321" max="1321" width="13.140625" bestFit="1" customWidth="1"/>
    <col min="1322" max="1322" width="14.42578125" bestFit="1" customWidth="1"/>
    <col min="1323" max="1323" width="14.85546875" bestFit="1" customWidth="1"/>
    <col min="1324" max="1324" width="15.140625" bestFit="1" customWidth="1"/>
    <col min="1325" max="1325" width="14.28515625" bestFit="1" customWidth="1"/>
    <col min="1326" max="1326" width="13.140625" bestFit="1" customWidth="1"/>
    <col min="1327" max="1327" width="13.7109375" bestFit="1" customWidth="1"/>
    <col min="1328" max="1328" width="15" bestFit="1" customWidth="1"/>
    <col min="1329" max="1329" width="14.140625" bestFit="1" customWidth="1"/>
    <col min="1330" max="1330" width="18.140625" bestFit="1" customWidth="1"/>
    <col min="1331" max="1331" width="14.85546875" bestFit="1" customWidth="1"/>
    <col min="1332" max="1332" width="14.5703125" bestFit="1" customWidth="1"/>
    <col min="1333" max="1333" width="19" bestFit="1" customWidth="1"/>
    <col min="1334" max="1334" width="14.140625" bestFit="1" customWidth="1"/>
    <col min="1335" max="1335" width="13.140625" bestFit="1" customWidth="1"/>
    <col min="1336" max="1336" width="14.140625" bestFit="1" customWidth="1"/>
    <col min="1337" max="1337" width="14.7109375" bestFit="1" customWidth="1"/>
    <col min="1338" max="1341" width="14.140625" bestFit="1" customWidth="1"/>
    <col min="1342" max="1342" width="13.42578125" bestFit="1" customWidth="1"/>
    <col min="1343" max="1343" width="17.85546875" bestFit="1" customWidth="1"/>
    <col min="1344" max="1344" width="18.42578125" bestFit="1" customWidth="1"/>
    <col min="1345" max="1345" width="15.85546875" bestFit="1" customWidth="1"/>
    <col min="1346" max="1346" width="18" bestFit="1" customWidth="1"/>
    <col min="1347" max="1347" width="18.28515625" bestFit="1" customWidth="1"/>
    <col min="1348" max="1348" width="14.85546875" bestFit="1" customWidth="1"/>
    <col min="1349" max="1349" width="15.7109375" bestFit="1" customWidth="1"/>
    <col min="1350" max="1350" width="18.28515625" bestFit="1" customWidth="1"/>
    <col min="1351" max="1351" width="17.28515625" bestFit="1" customWidth="1"/>
    <col min="1352" max="1352" width="15.28515625" bestFit="1" customWidth="1"/>
    <col min="1353" max="1353" width="16.85546875" bestFit="1" customWidth="1"/>
    <col min="1354" max="1354" width="13.28515625" bestFit="1" customWidth="1"/>
    <col min="1355" max="1355" width="17.7109375" bestFit="1" customWidth="1"/>
    <col min="1356" max="1356" width="14.140625" bestFit="1" customWidth="1"/>
    <col min="1357" max="1357" width="15.5703125" bestFit="1" customWidth="1"/>
    <col min="1358" max="1358" width="14.140625" bestFit="1" customWidth="1"/>
    <col min="1359" max="1359" width="13.140625" bestFit="1" customWidth="1"/>
    <col min="1360" max="1360" width="15.7109375" bestFit="1" customWidth="1"/>
    <col min="1361" max="1361" width="16.85546875" bestFit="1" customWidth="1"/>
    <col min="1362" max="1362" width="13.140625" bestFit="1" customWidth="1"/>
    <col min="1363" max="1363" width="14.85546875" bestFit="1" customWidth="1"/>
    <col min="1364" max="1364" width="14.140625" bestFit="1" customWidth="1"/>
    <col min="1365" max="1365" width="16.28515625" bestFit="1" customWidth="1"/>
    <col min="1366" max="1366" width="14.140625" bestFit="1" customWidth="1"/>
    <col min="1367" max="1367" width="14" bestFit="1" customWidth="1"/>
    <col min="1368" max="1374" width="14.140625" bestFit="1" customWidth="1"/>
    <col min="1375" max="1375" width="14.28515625" bestFit="1" customWidth="1"/>
    <col min="1376" max="1376" width="13.140625" bestFit="1" customWidth="1"/>
    <col min="1377" max="1377" width="14.85546875" bestFit="1" customWidth="1"/>
    <col min="1378" max="1383" width="14.140625" bestFit="1" customWidth="1"/>
    <col min="1384" max="1384" width="13.140625" bestFit="1" customWidth="1"/>
    <col min="1385" max="1385" width="14.140625" bestFit="1" customWidth="1"/>
    <col min="1386" max="1386" width="14.28515625" bestFit="1" customWidth="1"/>
    <col min="1387" max="1387" width="14.5703125" bestFit="1" customWidth="1"/>
    <col min="1388" max="1388" width="15.5703125" bestFit="1" customWidth="1"/>
    <col min="1389" max="1391" width="14.140625" bestFit="1" customWidth="1"/>
    <col min="1392" max="1392" width="13.140625" bestFit="1" customWidth="1"/>
    <col min="1393" max="1393" width="14.140625" bestFit="1" customWidth="1"/>
    <col min="1394" max="1394" width="13.140625" bestFit="1" customWidth="1"/>
    <col min="1395" max="1397" width="14.140625" bestFit="1" customWidth="1"/>
    <col min="1398" max="1398" width="14.42578125" bestFit="1" customWidth="1"/>
    <col min="1399" max="1399" width="14.5703125" bestFit="1" customWidth="1"/>
    <col min="1400" max="1400" width="13.140625" bestFit="1" customWidth="1"/>
    <col min="1401" max="1401" width="18.5703125" bestFit="1" customWidth="1"/>
    <col min="1402" max="1403" width="14.140625" bestFit="1" customWidth="1"/>
    <col min="1404" max="1404" width="18.28515625" bestFit="1" customWidth="1"/>
    <col min="1405" max="1405" width="14.140625" bestFit="1" customWidth="1"/>
    <col min="1406" max="1406" width="14.42578125" bestFit="1" customWidth="1"/>
    <col min="1407" max="1407" width="13.5703125" bestFit="1" customWidth="1"/>
    <col min="1408" max="1408" width="14.5703125" bestFit="1" customWidth="1"/>
    <col min="1409" max="1411" width="14.140625" bestFit="1" customWidth="1"/>
    <col min="1412" max="1412" width="13.140625" bestFit="1" customWidth="1"/>
    <col min="1413" max="1413" width="13.42578125" bestFit="1" customWidth="1"/>
    <col min="1414" max="1414" width="14.140625" bestFit="1" customWidth="1"/>
    <col min="1415" max="1415" width="14.5703125" bestFit="1" customWidth="1"/>
    <col min="1416" max="1416" width="15.7109375" bestFit="1" customWidth="1"/>
    <col min="1417" max="1417" width="13.5703125" bestFit="1" customWidth="1"/>
    <col min="1418" max="1421" width="14.140625" bestFit="1" customWidth="1"/>
    <col min="1422" max="1422" width="13.140625" bestFit="1" customWidth="1"/>
    <col min="1423" max="1423" width="15.85546875" bestFit="1" customWidth="1"/>
    <col min="1424" max="1425" width="14.140625" bestFit="1" customWidth="1"/>
    <col min="1426" max="1426" width="13.85546875" bestFit="1" customWidth="1"/>
    <col min="1427" max="1427" width="12.7109375" bestFit="1" customWidth="1"/>
    <col min="1428" max="1430" width="14.140625" bestFit="1" customWidth="1"/>
    <col min="1431" max="1431" width="13.140625" bestFit="1" customWidth="1"/>
    <col min="1432" max="1432" width="14.140625" bestFit="1" customWidth="1"/>
    <col min="1433" max="1433" width="14.42578125" bestFit="1" customWidth="1"/>
    <col min="1434" max="1434" width="14.140625" bestFit="1" customWidth="1"/>
    <col min="1435" max="1435" width="17.140625" bestFit="1" customWidth="1"/>
    <col min="1436" max="1437" width="14.140625" bestFit="1" customWidth="1"/>
    <col min="1438" max="1438" width="14.28515625" bestFit="1" customWidth="1"/>
    <col min="1439" max="1442" width="14.140625" bestFit="1" customWidth="1"/>
    <col min="1443" max="1443" width="15.28515625" bestFit="1" customWidth="1"/>
    <col min="1444" max="1444" width="16.7109375" bestFit="1" customWidth="1"/>
    <col min="1445" max="1445" width="14.140625" bestFit="1" customWidth="1"/>
    <col min="1446" max="1446" width="13.140625" bestFit="1" customWidth="1"/>
    <col min="1447" max="1447" width="15.7109375" bestFit="1" customWidth="1"/>
    <col min="1448" max="1448" width="16.140625" bestFit="1" customWidth="1"/>
    <col min="1449" max="1449" width="14.140625" bestFit="1" customWidth="1"/>
    <col min="1450" max="1450" width="14" bestFit="1" customWidth="1"/>
    <col min="1451" max="1452" width="14.140625" bestFit="1" customWidth="1"/>
    <col min="1453" max="1453" width="13.42578125" bestFit="1" customWidth="1"/>
    <col min="1454" max="1454" width="13.140625" bestFit="1" customWidth="1"/>
    <col min="1455" max="1455" width="14.140625" bestFit="1" customWidth="1"/>
    <col min="1456" max="1456" width="16.85546875" bestFit="1" customWidth="1"/>
    <col min="1457" max="1457" width="15.5703125" bestFit="1" customWidth="1"/>
    <col min="1458" max="1458" width="14.140625" bestFit="1" customWidth="1"/>
    <col min="1459" max="1459" width="14.7109375" bestFit="1" customWidth="1"/>
    <col min="1460" max="1460" width="17" bestFit="1" customWidth="1"/>
    <col min="1461" max="1461" width="14.140625" bestFit="1" customWidth="1"/>
    <col min="1462" max="1462" width="14.28515625" bestFit="1" customWidth="1"/>
    <col min="1463" max="1463" width="16.85546875" bestFit="1" customWidth="1"/>
    <col min="1464" max="1464" width="14.140625" bestFit="1" customWidth="1"/>
    <col min="1465" max="1465" width="15.42578125" bestFit="1" customWidth="1"/>
    <col min="1466" max="1467" width="14.140625" bestFit="1" customWidth="1"/>
    <col min="1468" max="1468" width="19" bestFit="1" customWidth="1"/>
    <col min="1469" max="1470" width="14.140625" bestFit="1" customWidth="1"/>
    <col min="1471" max="1471" width="15.28515625" bestFit="1" customWidth="1"/>
    <col min="1472" max="1472" width="16.140625" bestFit="1" customWidth="1"/>
    <col min="1473" max="1476" width="14.140625" bestFit="1" customWidth="1"/>
    <col min="1477" max="1477" width="15.140625" bestFit="1" customWidth="1"/>
    <col min="1478" max="1478" width="13.140625" bestFit="1" customWidth="1"/>
    <col min="1479" max="1479" width="14.140625" bestFit="1" customWidth="1"/>
    <col min="1480" max="1480" width="16.28515625" bestFit="1" customWidth="1"/>
    <col min="1481" max="1481" width="14.85546875" bestFit="1" customWidth="1"/>
    <col min="1482" max="1482" width="15.7109375" bestFit="1" customWidth="1"/>
    <col min="1483" max="1483" width="14.140625" bestFit="1" customWidth="1"/>
    <col min="1484" max="1484" width="16.5703125" bestFit="1" customWidth="1"/>
    <col min="1485" max="1487" width="14.140625" bestFit="1" customWidth="1"/>
    <col min="1488" max="1488" width="14.85546875" bestFit="1" customWidth="1"/>
    <col min="1489" max="1489" width="14.140625" bestFit="1" customWidth="1"/>
    <col min="1490" max="1490" width="14.5703125" bestFit="1" customWidth="1"/>
    <col min="1491" max="1492" width="13.140625" bestFit="1" customWidth="1"/>
    <col min="1493" max="1494" width="14.140625" bestFit="1" customWidth="1"/>
    <col min="1495" max="1495" width="18.42578125" bestFit="1" customWidth="1"/>
    <col min="1496" max="1496" width="14.140625" bestFit="1" customWidth="1"/>
    <col min="1497" max="1497" width="13.140625" bestFit="1" customWidth="1"/>
    <col min="1498" max="1498" width="14.140625" bestFit="1" customWidth="1"/>
    <col min="1499" max="1501" width="13.140625" bestFit="1" customWidth="1"/>
    <col min="1502" max="1503" width="14.140625" bestFit="1" customWidth="1"/>
    <col min="1504" max="1504" width="17.85546875" bestFit="1" customWidth="1"/>
  </cols>
  <sheetData>
    <row r="1" spans="1:11" x14ac:dyDescent="0.25">
      <c r="A1" t="s">
        <v>3062</v>
      </c>
    </row>
    <row r="2" spans="1:11" x14ac:dyDescent="0.25">
      <c r="A2" cm="1">
        <f t="array" ref="A2">SUMPRODUCT(1/COUNTIF(Ventas2024a2025[Vendedor],Ventas2024a2025[Vendedor]))</f>
        <v>10.000000000000021</v>
      </c>
    </row>
    <row r="4" spans="1:11" x14ac:dyDescent="0.25">
      <c r="A4" t="s">
        <v>3063</v>
      </c>
    </row>
    <row r="5" spans="1:11" x14ac:dyDescent="0.25">
      <c r="A5" cm="1">
        <f t="array" ref="A5">SUMPRODUCT(1/COUNTIF(Ventas2024a2025[Sucursal],Ventas2024a2025[Sucursal]))</f>
        <v>6.0000000000000808</v>
      </c>
      <c r="E5" s="20" t="s">
        <v>3064</v>
      </c>
      <c r="F5" t="s">
        <v>3068</v>
      </c>
    </row>
    <row r="6" spans="1:11" x14ac:dyDescent="0.25">
      <c r="E6" s="21" t="s">
        <v>1545</v>
      </c>
      <c r="F6" s="22">
        <v>477</v>
      </c>
    </row>
    <row r="7" spans="1:11" x14ac:dyDescent="0.25">
      <c r="E7" s="21" t="s">
        <v>1534</v>
      </c>
      <c r="F7" s="22">
        <v>480</v>
      </c>
    </row>
    <row r="8" spans="1:11" x14ac:dyDescent="0.25">
      <c r="E8" s="21" t="s">
        <v>1527</v>
      </c>
      <c r="F8" s="22">
        <v>497</v>
      </c>
    </row>
    <row r="9" spans="1:11" x14ac:dyDescent="0.25">
      <c r="E9" s="21" t="s">
        <v>1532</v>
      </c>
      <c r="F9" s="22">
        <v>425</v>
      </c>
    </row>
    <row r="10" spans="1:11" x14ac:dyDescent="0.25">
      <c r="E10" s="21" t="s">
        <v>1514</v>
      </c>
      <c r="F10" s="22">
        <v>458</v>
      </c>
    </row>
    <row r="11" spans="1:11" x14ac:dyDescent="0.25">
      <c r="E11" s="21" t="s">
        <v>1525</v>
      </c>
      <c r="F11" s="22">
        <v>403</v>
      </c>
    </row>
    <row r="12" spans="1:11" x14ac:dyDescent="0.25">
      <c r="E12" s="21" t="s">
        <v>1536</v>
      </c>
      <c r="F12" s="22">
        <v>421</v>
      </c>
    </row>
    <row r="13" spans="1:11" x14ac:dyDescent="0.25">
      <c r="E13" s="21" t="s">
        <v>1517</v>
      </c>
      <c r="F13" s="22">
        <v>468</v>
      </c>
    </row>
    <row r="14" spans="1:11" x14ac:dyDescent="0.25">
      <c r="E14" s="21" t="s">
        <v>1523</v>
      </c>
      <c r="F14" s="22">
        <v>444</v>
      </c>
      <c r="J14" s="20" t="s">
        <v>1504</v>
      </c>
      <c r="K14" t="s">
        <v>3066</v>
      </c>
    </row>
    <row r="15" spans="1:11" x14ac:dyDescent="0.25">
      <c r="E15" s="21" t="s">
        <v>1540</v>
      </c>
      <c r="F15" s="22">
        <v>405</v>
      </c>
      <c r="J15" s="20" t="s">
        <v>1506</v>
      </c>
      <c r="K15" t="s">
        <v>3066</v>
      </c>
    </row>
    <row r="16" spans="1:11" x14ac:dyDescent="0.25">
      <c r="E16" s="21" t="s">
        <v>3065</v>
      </c>
      <c r="F16" s="22">
        <v>4478</v>
      </c>
    </row>
    <row r="17" spans="6:21" x14ac:dyDescent="0.25">
      <c r="J17" s="20" t="s">
        <v>3071</v>
      </c>
      <c r="K17" s="20" t="s">
        <v>3067</v>
      </c>
    </row>
    <row r="18" spans="6:21" x14ac:dyDescent="0.25">
      <c r="J18" s="20" t="s">
        <v>3064</v>
      </c>
      <c r="K18" t="s">
        <v>2519</v>
      </c>
      <c r="L18" t="s">
        <v>1519</v>
      </c>
      <c r="M18" t="s">
        <v>2510</v>
      </c>
      <c r="N18" t="s">
        <v>1516</v>
      </c>
      <c r="O18" t="s">
        <v>2515</v>
      </c>
      <c r="P18" t="s">
        <v>2512</v>
      </c>
      <c r="Q18" t="s">
        <v>1522</v>
      </c>
      <c r="R18" t="s">
        <v>1543</v>
      </c>
      <c r="S18" t="s">
        <v>2508</v>
      </c>
      <c r="T18" t="s">
        <v>1513</v>
      </c>
      <c r="U18" t="s">
        <v>3065</v>
      </c>
    </row>
    <row r="19" spans="6:21" x14ac:dyDescent="0.25">
      <c r="J19" s="23">
        <v>1</v>
      </c>
      <c r="K19" s="19">
        <v>953228110</v>
      </c>
      <c r="L19" s="19">
        <v>745651139</v>
      </c>
      <c r="M19" s="19">
        <v>799169211</v>
      </c>
      <c r="N19" s="19">
        <v>717848424</v>
      </c>
      <c r="O19" s="19">
        <v>533677312</v>
      </c>
      <c r="P19" s="19">
        <v>586889521</v>
      </c>
      <c r="Q19" s="19">
        <v>750652877</v>
      </c>
      <c r="R19" s="19">
        <v>586348637</v>
      </c>
      <c r="S19" s="19">
        <v>484544451</v>
      </c>
      <c r="T19" s="19">
        <v>792822304</v>
      </c>
      <c r="U19" s="19">
        <v>6950831986</v>
      </c>
    </row>
    <row r="20" spans="6:21" x14ac:dyDescent="0.25">
      <c r="J20" s="23">
        <v>2</v>
      </c>
      <c r="K20" s="19">
        <v>718188122</v>
      </c>
      <c r="L20" s="19">
        <v>730723626</v>
      </c>
      <c r="M20" s="19">
        <v>684916286</v>
      </c>
      <c r="N20" s="19">
        <v>462560158</v>
      </c>
      <c r="O20" s="19">
        <v>611918016</v>
      </c>
      <c r="P20" s="19">
        <v>689266789</v>
      </c>
      <c r="Q20" s="19">
        <v>661354011</v>
      </c>
      <c r="R20" s="19">
        <v>881280267</v>
      </c>
      <c r="S20" s="19">
        <v>892326616</v>
      </c>
      <c r="T20" s="19">
        <v>740395614</v>
      </c>
      <c r="U20" s="19">
        <v>7072929505</v>
      </c>
    </row>
    <row r="21" spans="6:21" x14ac:dyDescent="0.25">
      <c r="J21" s="23">
        <v>3</v>
      </c>
      <c r="K21" s="19">
        <v>696590377</v>
      </c>
      <c r="L21" s="19">
        <v>843198479</v>
      </c>
      <c r="M21" s="19">
        <v>616287131</v>
      </c>
      <c r="N21" s="19">
        <v>631841591</v>
      </c>
      <c r="O21" s="19">
        <v>820642591</v>
      </c>
      <c r="P21" s="19">
        <v>704649165</v>
      </c>
      <c r="Q21" s="19">
        <v>672586830</v>
      </c>
      <c r="R21" s="19">
        <v>862240833</v>
      </c>
      <c r="S21" s="19">
        <v>635134762</v>
      </c>
      <c r="T21" s="19">
        <v>602950705</v>
      </c>
      <c r="U21" s="19">
        <v>7086122464</v>
      </c>
    </row>
    <row r="22" spans="6:21" x14ac:dyDescent="0.25">
      <c r="F22" s="20" t="s">
        <v>1506</v>
      </c>
      <c r="G22" t="s">
        <v>3066</v>
      </c>
      <c r="J22" s="23">
        <v>4</v>
      </c>
      <c r="K22" s="19">
        <v>746541384</v>
      </c>
      <c r="L22" s="19">
        <v>550100072</v>
      </c>
      <c r="M22" s="19">
        <v>710565674</v>
      </c>
      <c r="N22" s="19">
        <v>738803266</v>
      </c>
      <c r="O22" s="19">
        <v>1014069365</v>
      </c>
      <c r="P22" s="19">
        <v>767269719</v>
      </c>
      <c r="Q22" s="19">
        <v>706271042</v>
      </c>
      <c r="R22" s="19">
        <v>602292921</v>
      </c>
      <c r="S22" s="19">
        <v>515851106</v>
      </c>
      <c r="T22" s="19">
        <v>555923608</v>
      </c>
      <c r="U22" s="19">
        <v>6907688157</v>
      </c>
    </row>
    <row r="23" spans="6:21" x14ac:dyDescent="0.25">
      <c r="F23" s="20" t="s">
        <v>3072</v>
      </c>
      <c r="G23" t="s">
        <v>3066</v>
      </c>
      <c r="J23" s="23">
        <v>5</v>
      </c>
      <c r="K23" s="19">
        <v>568017625</v>
      </c>
      <c r="L23" s="19">
        <v>536102625</v>
      </c>
      <c r="M23" s="19">
        <v>870227089</v>
      </c>
      <c r="N23" s="19">
        <v>636649091</v>
      </c>
      <c r="O23" s="19">
        <v>858596821</v>
      </c>
      <c r="P23" s="19">
        <v>769000621</v>
      </c>
      <c r="Q23" s="19">
        <v>371762493</v>
      </c>
      <c r="R23" s="19">
        <v>446105966</v>
      </c>
      <c r="S23" s="19">
        <v>657905063</v>
      </c>
      <c r="T23" s="19">
        <v>812544310</v>
      </c>
      <c r="U23" s="19">
        <v>6526911704</v>
      </c>
    </row>
    <row r="24" spans="6:21" x14ac:dyDescent="0.25">
      <c r="F24" s="20" t="s">
        <v>3074</v>
      </c>
      <c r="G24" t="s">
        <v>3066</v>
      </c>
      <c r="J24" s="23" t="s">
        <v>3065</v>
      </c>
      <c r="K24" s="19">
        <v>3682565618</v>
      </c>
      <c r="L24" s="19">
        <v>3405775941</v>
      </c>
      <c r="M24" s="19">
        <v>3681165391</v>
      </c>
      <c r="N24" s="19">
        <v>3187702530</v>
      </c>
      <c r="O24" s="19">
        <v>3838904105</v>
      </c>
      <c r="P24" s="19">
        <v>3517075815</v>
      </c>
      <c r="Q24" s="19">
        <v>3162627253</v>
      </c>
      <c r="R24" s="19">
        <v>3378268624</v>
      </c>
      <c r="S24" s="19">
        <v>3185761998</v>
      </c>
      <c r="T24" s="19">
        <v>3504636541</v>
      </c>
      <c r="U24" s="19">
        <v>34544483816</v>
      </c>
    </row>
    <row r="25" spans="6:21" x14ac:dyDescent="0.25">
      <c r="F25" s="20" t="s">
        <v>3073</v>
      </c>
      <c r="G25" t="s">
        <v>3066</v>
      </c>
    </row>
    <row r="27" spans="6:21" x14ac:dyDescent="0.25">
      <c r="F27" s="20" t="s">
        <v>3064</v>
      </c>
      <c r="G27" t="s">
        <v>3071</v>
      </c>
    </row>
    <row r="28" spans="6:21" x14ac:dyDescent="0.25">
      <c r="F28" s="21" t="s">
        <v>2773</v>
      </c>
      <c r="G28" s="19">
        <v>2081908</v>
      </c>
    </row>
    <row r="29" spans="6:21" x14ac:dyDescent="0.25">
      <c r="F29" s="21" t="s">
        <v>2379</v>
      </c>
      <c r="G29" s="19">
        <v>14160178</v>
      </c>
    </row>
    <row r="30" spans="6:21" x14ac:dyDescent="0.25">
      <c r="F30" s="21" t="s">
        <v>2774</v>
      </c>
      <c r="G30" s="19">
        <v>22708086</v>
      </c>
    </row>
    <row r="31" spans="6:21" x14ac:dyDescent="0.25">
      <c r="F31" s="21" t="s">
        <v>1929</v>
      </c>
      <c r="G31" s="19">
        <v>27047768</v>
      </c>
    </row>
    <row r="32" spans="6:21" x14ac:dyDescent="0.25">
      <c r="F32" s="21" t="s">
        <v>2627</v>
      </c>
      <c r="G32" s="19">
        <v>27884727</v>
      </c>
    </row>
    <row r="33" spans="6:7" x14ac:dyDescent="0.25">
      <c r="F33" s="21" t="s">
        <v>2865</v>
      </c>
      <c r="G33" s="19">
        <v>10206511</v>
      </c>
    </row>
    <row r="34" spans="6:7" x14ac:dyDescent="0.25">
      <c r="F34" s="21" t="s">
        <v>2594</v>
      </c>
      <c r="G34" s="19">
        <v>41817038</v>
      </c>
    </row>
    <row r="35" spans="6:7" x14ac:dyDescent="0.25">
      <c r="F35" s="21" t="s">
        <v>2219</v>
      </c>
      <c r="G35" s="19">
        <v>4006310</v>
      </c>
    </row>
    <row r="36" spans="6:7" x14ac:dyDescent="0.25">
      <c r="F36" s="21" t="s">
        <v>2202</v>
      </c>
      <c r="G36" s="19">
        <v>3947306</v>
      </c>
    </row>
    <row r="37" spans="6:7" x14ac:dyDescent="0.25">
      <c r="F37" s="21" t="s">
        <v>1685</v>
      </c>
      <c r="G37" s="19">
        <v>33087535</v>
      </c>
    </row>
    <row r="38" spans="6:7" x14ac:dyDescent="0.25">
      <c r="F38" s="21" t="s">
        <v>2129</v>
      </c>
      <c r="G38" s="19">
        <v>13027768</v>
      </c>
    </row>
    <row r="39" spans="6:7" x14ac:dyDescent="0.25">
      <c r="F39" s="21" t="s">
        <v>1613</v>
      </c>
      <c r="G39" s="19">
        <v>15043405</v>
      </c>
    </row>
    <row r="40" spans="6:7" x14ac:dyDescent="0.25">
      <c r="F40" s="21" t="s">
        <v>2478</v>
      </c>
      <c r="G40" s="19">
        <v>2043321</v>
      </c>
    </row>
    <row r="41" spans="6:7" x14ac:dyDescent="0.25">
      <c r="F41" s="21" t="s">
        <v>2805</v>
      </c>
      <c r="G41" s="19">
        <v>31859637</v>
      </c>
    </row>
    <row r="42" spans="6:7" x14ac:dyDescent="0.25">
      <c r="F42" s="21" t="s">
        <v>2300</v>
      </c>
      <c r="G42" s="19">
        <v>10477673</v>
      </c>
    </row>
    <row r="43" spans="6:7" x14ac:dyDescent="0.25">
      <c r="F43" s="21" t="s">
        <v>1616</v>
      </c>
      <c r="G43" s="19">
        <v>48781326</v>
      </c>
    </row>
    <row r="44" spans="6:7" x14ac:dyDescent="0.25">
      <c r="F44" s="21" t="s">
        <v>2907</v>
      </c>
      <c r="G44" s="19">
        <v>24244906</v>
      </c>
    </row>
    <row r="45" spans="6:7" x14ac:dyDescent="0.25">
      <c r="F45" s="21" t="s">
        <v>1654</v>
      </c>
      <c r="G45" s="19">
        <v>5014294</v>
      </c>
    </row>
    <row r="46" spans="6:7" x14ac:dyDescent="0.25">
      <c r="F46" s="21" t="s">
        <v>1664</v>
      </c>
      <c r="G46" s="19">
        <v>45135166</v>
      </c>
    </row>
    <row r="47" spans="6:7" x14ac:dyDescent="0.25">
      <c r="F47" s="21" t="s">
        <v>2960</v>
      </c>
      <c r="G47" s="19">
        <v>12007448</v>
      </c>
    </row>
    <row r="48" spans="6:7" x14ac:dyDescent="0.25">
      <c r="F48" s="21" t="s">
        <v>2574</v>
      </c>
      <c r="G48" s="19">
        <v>36543019</v>
      </c>
    </row>
    <row r="49" spans="6:7" x14ac:dyDescent="0.25">
      <c r="F49" s="21" t="s">
        <v>2868</v>
      </c>
      <c r="G49" s="19">
        <v>21650459</v>
      </c>
    </row>
    <row r="50" spans="6:7" x14ac:dyDescent="0.25">
      <c r="F50" s="21" t="s">
        <v>2220</v>
      </c>
      <c r="G50" s="19">
        <v>24338528</v>
      </c>
    </row>
    <row r="51" spans="6:7" x14ac:dyDescent="0.25">
      <c r="F51" s="21" t="s">
        <v>2223</v>
      </c>
      <c r="G51" s="19">
        <v>12862802</v>
      </c>
    </row>
    <row r="52" spans="6:7" x14ac:dyDescent="0.25">
      <c r="F52" s="21" t="s">
        <v>1618</v>
      </c>
      <c r="G52" s="19">
        <v>27661621</v>
      </c>
    </row>
    <row r="53" spans="6:7" x14ac:dyDescent="0.25">
      <c r="F53" s="21" t="s">
        <v>2748</v>
      </c>
      <c r="G53" s="19">
        <v>45097955</v>
      </c>
    </row>
    <row r="54" spans="6:7" x14ac:dyDescent="0.25">
      <c r="F54" s="21" t="s">
        <v>1714</v>
      </c>
      <c r="G54" s="19">
        <v>2078882</v>
      </c>
    </row>
    <row r="55" spans="6:7" x14ac:dyDescent="0.25">
      <c r="F55" s="21" t="s">
        <v>1556</v>
      </c>
      <c r="G55" s="19">
        <v>48527841</v>
      </c>
    </row>
    <row r="56" spans="6:7" x14ac:dyDescent="0.25">
      <c r="F56" s="21" t="s">
        <v>1754</v>
      </c>
      <c r="G56" s="19">
        <v>4313748</v>
      </c>
    </row>
    <row r="57" spans="6:7" x14ac:dyDescent="0.25">
      <c r="F57" s="21" t="s">
        <v>1611</v>
      </c>
      <c r="G57" s="19">
        <v>24971904</v>
      </c>
    </row>
    <row r="58" spans="6:7" x14ac:dyDescent="0.25">
      <c r="F58" s="21" t="s">
        <v>2949</v>
      </c>
      <c r="G58" s="19">
        <v>27988974</v>
      </c>
    </row>
    <row r="59" spans="6:7" x14ac:dyDescent="0.25">
      <c r="F59" s="21" t="s">
        <v>2611</v>
      </c>
      <c r="G59" s="19">
        <v>26896105</v>
      </c>
    </row>
    <row r="60" spans="6:7" x14ac:dyDescent="0.25">
      <c r="F60" s="21" t="s">
        <v>2801</v>
      </c>
      <c r="G60" s="19">
        <v>11722489</v>
      </c>
    </row>
    <row r="61" spans="6:7" x14ac:dyDescent="0.25">
      <c r="F61" s="21" t="s">
        <v>2893</v>
      </c>
      <c r="G61" s="19">
        <v>10896126</v>
      </c>
    </row>
    <row r="62" spans="6:7" x14ac:dyDescent="0.25">
      <c r="F62" s="21" t="s">
        <v>2371</v>
      </c>
      <c r="G62" s="19">
        <v>27534997</v>
      </c>
    </row>
    <row r="63" spans="6:7" x14ac:dyDescent="0.25">
      <c r="F63" s="21" t="s">
        <v>2973</v>
      </c>
      <c r="G63" s="19">
        <v>48197932</v>
      </c>
    </row>
    <row r="64" spans="6:7" x14ac:dyDescent="0.25">
      <c r="F64" s="21" t="s">
        <v>2929</v>
      </c>
      <c r="G64" s="19">
        <v>682518</v>
      </c>
    </row>
    <row r="65" spans="6:7" x14ac:dyDescent="0.25">
      <c r="F65" s="21" t="s">
        <v>2812</v>
      </c>
      <c r="G65" s="19">
        <v>42900024</v>
      </c>
    </row>
    <row r="66" spans="6:7" x14ac:dyDescent="0.25">
      <c r="F66" s="21" t="s">
        <v>1718</v>
      </c>
      <c r="G66" s="19">
        <v>19680679</v>
      </c>
    </row>
    <row r="67" spans="6:7" x14ac:dyDescent="0.25">
      <c r="F67" s="21" t="s">
        <v>2155</v>
      </c>
      <c r="G67" s="19">
        <v>7395751</v>
      </c>
    </row>
    <row r="68" spans="6:7" x14ac:dyDescent="0.25">
      <c r="F68" s="21" t="s">
        <v>2054</v>
      </c>
      <c r="G68" s="19">
        <v>48755181</v>
      </c>
    </row>
    <row r="69" spans="6:7" x14ac:dyDescent="0.25">
      <c r="F69" s="21" t="s">
        <v>2813</v>
      </c>
      <c r="G69" s="19">
        <v>13506193</v>
      </c>
    </row>
    <row r="70" spans="6:7" x14ac:dyDescent="0.25">
      <c r="F70" s="21" t="s">
        <v>1953</v>
      </c>
      <c r="G70" s="19">
        <v>20319539</v>
      </c>
    </row>
    <row r="71" spans="6:7" x14ac:dyDescent="0.25">
      <c r="F71" s="21" t="s">
        <v>1848</v>
      </c>
      <c r="G71" s="19">
        <v>23239673</v>
      </c>
    </row>
    <row r="72" spans="6:7" x14ac:dyDescent="0.25">
      <c r="F72" s="21" t="s">
        <v>2281</v>
      </c>
      <c r="G72" s="19">
        <v>27999567</v>
      </c>
    </row>
    <row r="73" spans="6:7" x14ac:dyDescent="0.25">
      <c r="F73" s="21" t="s">
        <v>1810</v>
      </c>
      <c r="G73" s="19">
        <v>11262132</v>
      </c>
    </row>
    <row r="74" spans="6:7" x14ac:dyDescent="0.25">
      <c r="F74" s="21" t="s">
        <v>2083</v>
      </c>
      <c r="G74" s="19">
        <v>24110262</v>
      </c>
    </row>
    <row r="75" spans="6:7" x14ac:dyDescent="0.25">
      <c r="F75" s="21" t="s">
        <v>1807</v>
      </c>
      <c r="G75" s="19">
        <v>39208581</v>
      </c>
    </row>
    <row r="76" spans="6:7" x14ac:dyDescent="0.25">
      <c r="F76" s="21" t="s">
        <v>1640</v>
      </c>
      <c r="G76" s="19">
        <v>30079652</v>
      </c>
    </row>
    <row r="77" spans="6:7" x14ac:dyDescent="0.25">
      <c r="F77" s="21" t="s">
        <v>2541</v>
      </c>
      <c r="G77" s="19">
        <v>28462984</v>
      </c>
    </row>
    <row r="78" spans="6:7" x14ac:dyDescent="0.25">
      <c r="F78" s="21" t="s">
        <v>2137</v>
      </c>
      <c r="G78" s="19">
        <v>21969048</v>
      </c>
    </row>
    <row r="79" spans="6:7" x14ac:dyDescent="0.25">
      <c r="F79" s="21" t="s">
        <v>2459</v>
      </c>
      <c r="G79" s="19">
        <v>1917829</v>
      </c>
    </row>
    <row r="80" spans="6:7" x14ac:dyDescent="0.25">
      <c r="F80" s="21" t="s">
        <v>1961</v>
      </c>
      <c r="G80" s="19">
        <v>36289531</v>
      </c>
    </row>
    <row r="81" spans="6:7" x14ac:dyDescent="0.25">
      <c r="F81" s="21" t="s">
        <v>2483</v>
      </c>
      <c r="G81" s="19">
        <v>32923989</v>
      </c>
    </row>
    <row r="82" spans="6:7" x14ac:dyDescent="0.25">
      <c r="F82" s="21" t="s">
        <v>1868</v>
      </c>
      <c r="G82" s="19">
        <v>1525825</v>
      </c>
    </row>
    <row r="83" spans="6:7" x14ac:dyDescent="0.25">
      <c r="F83" s="21" t="s">
        <v>1769</v>
      </c>
      <c r="G83" s="19">
        <v>33845206</v>
      </c>
    </row>
    <row r="84" spans="6:7" x14ac:dyDescent="0.25">
      <c r="F84" s="21" t="s">
        <v>1529</v>
      </c>
      <c r="G84" s="19">
        <v>37703722</v>
      </c>
    </row>
    <row r="85" spans="6:7" x14ac:dyDescent="0.25">
      <c r="F85" s="21" t="s">
        <v>2094</v>
      </c>
      <c r="G85" s="19">
        <v>9954043</v>
      </c>
    </row>
    <row r="86" spans="6:7" x14ac:dyDescent="0.25">
      <c r="F86" s="21" t="s">
        <v>2269</v>
      </c>
      <c r="G86" s="19">
        <v>4444287</v>
      </c>
    </row>
    <row r="87" spans="6:7" x14ac:dyDescent="0.25">
      <c r="F87" s="21" t="s">
        <v>1867</v>
      </c>
      <c r="G87" s="19">
        <v>1100003</v>
      </c>
    </row>
    <row r="88" spans="6:7" x14ac:dyDescent="0.25">
      <c r="F88" s="21" t="s">
        <v>1563</v>
      </c>
      <c r="G88" s="19">
        <v>47056451</v>
      </c>
    </row>
    <row r="89" spans="6:7" x14ac:dyDescent="0.25">
      <c r="F89" s="21" t="s">
        <v>1932</v>
      </c>
      <c r="G89" s="19">
        <v>28051112</v>
      </c>
    </row>
    <row r="90" spans="6:7" x14ac:dyDescent="0.25">
      <c r="F90" s="21" t="s">
        <v>2456</v>
      </c>
      <c r="G90" s="19">
        <v>45198237</v>
      </c>
    </row>
    <row r="91" spans="6:7" x14ac:dyDescent="0.25">
      <c r="F91" s="21" t="s">
        <v>2196</v>
      </c>
      <c r="G91" s="19">
        <v>15467026</v>
      </c>
    </row>
    <row r="92" spans="6:7" x14ac:dyDescent="0.25">
      <c r="F92" s="21" t="s">
        <v>2450</v>
      </c>
      <c r="G92" s="19">
        <v>8691719</v>
      </c>
    </row>
    <row r="93" spans="6:7" x14ac:dyDescent="0.25">
      <c r="F93" s="21" t="s">
        <v>2182</v>
      </c>
      <c r="G93" s="19">
        <v>10159989</v>
      </c>
    </row>
    <row r="94" spans="6:7" x14ac:dyDescent="0.25">
      <c r="F94" s="21" t="s">
        <v>2018</v>
      </c>
      <c r="G94" s="19">
        <v>4194052</v>
      </c>
    </row>
    <row r="95" spans="6:7" x14ac:dyDescent="0.25">
      <c r="F95" s="21" t="s">
        <v>2267</v>
      </c>
      <c r="G95" s="19">
        <v>46804834</v>
      </c>
    </row>
    <row r="96" spans="6:7" x14ac:dyDescent="0.25">
      <c r="F96" s="21" t="s">
        <v>2044</v>
      </c>
      <c r="G96" s="19">
        <v>22092549</v>
      </c>
    </row>
    <row r="97" spans="6:7" x14ac:dyDescent="0.25">
      <c r="F97" s="21" t="s">
        <v>2952</v>
      </c>
      <c r="G97" s="19">
        <v>40869147</v>
      </c>
    </row>
    <row r="98" spans="6:7" x14ac:dyDescent="0.25">
      <c r="F98" s="21" t="s">
        <v>2845</v>
      </c>
      <c r="G98" s="19">
        <v>4910231</v>
      </c>
    </row>
    <row r="99" spans="6:7" x14ac:dyDescent="0.25">
      <c r="F99" s="21" t="s">
        <v>1862</v>
      </c>
      <c r="G99" s="19">
        <v>1073284</v>
      </c>
    </row>
    <row r="100" spans="6:7" x14ac:dyDescent="0.25">
      <c r="F100" s="21" t="s">
        <v>2370</v>
      </c>
      <c r="G100" s="19">
        <v>7265809</v>
      </c>
    </row>
    <row r="101" spans="6:7" x14ac:dyDescent="0.25">
      <c r="F101" s="21" t="s">
        <v>2398</v>
      </c>
      <c r="G101" s="19">
        <v>10226832</v>
      </c>
    </row>
    <row r="102" spans="6:7" x14ac:dyDescent="0.25">
      <c r="F102" s="21" t="s">
        <v>2099</v>
      </c>
      <c r="G102" s="19">
        <v>356319</v>
      </c>
    </row>
    <row r="103" spans="6:7" x14ac:dyDescent="0.25">
      <c r="F103" s="21" t="s">
        <v>2742</v>
      </c>
      <c r="G103" s="19">
        <v>30598238</v>
      </c>
    </row>
    <row r="104" spans="6:7" x14ac:dyDescent="0.25">
      <c r="F104" s="21" t="s">
        <v>1910</v>
      </c>
      <c r="G104" s="19">
        <v>49453973</v>
      </c>
    </row>
    <row r="105" spans="6:7" x14ac:dyDescent="0.25">
      <c r="F105" s="21" t="s">
        <v>2051</v>
      </c>
      <c r="G105" s="19">
        <v>35775938</v>
      </c>
    </row>
    <row r="106" spans="6:7" x14ac:dyDescent="0.25">
      <c r="F106" s="21" t="s">
        <v>2513</v>
      </c>
      <c r="G106" s="19">
        <v>12150377</v>
      </c>
    </row>
    <row r="107" spans="6:7" x14ac:dyDescent="0.25">
      <c r="F107" s="21" t="s">
        <v>2290</v>
      </c>
      <c r="G107" s="19">
        <v>3155393</v>
      </c>
    </row>
    <row r="108" spans="6:7" x14ac:dyDescent="0.25">
      <c r="F108" s="21" t="s">
        <v>2682</v>
      </c>
      <c r="G108" s="19">
        <v>43774387</v>
      </c>
    </row>
    <row r="109" spans="6:7" x14ac:dyDescent="0.25">
      <c r="F109" s="21" t="s">
        <v>1904</v>
      </c>
      <c r="G109" s="19">
        <v>21316494</v>
      </c>
    </row>
    <row r="110" spans="6:7" x14ac:dyDescent="0.25">
      <c r="F110" s="21" t="s">
        <v>2404</v>
      </c>
      <c r="G110" s="19">
        <v>31705844</v>
      </c>
    </row>
    <row r="111" spans="6:7" x14ac:dyDescent="0.25">
      <c r="F111" s="21" t="s">
        <v>2469</v>
      </c>
      <c r="G111" s="19">
        <v>21350991</v>
      </c>
    </row>
    <row r="112" spans="6:7" x14ac:dyDescent="0.25">
      <c r="F112" s="21" t="s">
        <v>2853</v>
      </c>
      <c r="G112" s="19">
        <v>4003124</v>
      </c>
    </row>
    <row r="113" spans="6:7" x14ac:dyDescent="0.25">
      <c r="F113" s="21" t="s">
        <v>1606</v>
      </c>
      <c r="G113" s="19">
        <v>28403553</v>
      </c>
    </row>
    <row r="114" spans="6:7" x14ac:dyDescent="0.25">
      <c r="F114" s="21" t="s">
        <v>2127</v>
      </c>
      <c r="G114" s="19">
        <v>415243</v>
      </c>
    </row>
    <row r="115" spans="6:7" x14ac:dyDescent="0.25">
      <c r="F115" s="21" t="s">
        <v>1623</v>
      </c>
      <c r="G115" s="19">
        <v>23975413</v>
      </c>
    </row>
    <row r="116" spans="6:7" x14ac:dyDescent="0.25">
      <c r="F116" s="21" t="s">
        <v>1719</v>
      </c>
      <c r="G116" s="19">
        <v>224302</v>
      </c>
    </row>
    <row r="117" spans="6:7" x14ac:dyDescent="0.25">
      <c r="F117" s="21" t="s">
        <v>1696</v>
      </c>
      <c r="G117" s="19">
        <v>34382808</v>
      </c>
    </row>
    <row r="118" spans="6:7" x14ac:dyDescent="0.25">
      <c r="F118" s="21" t="s">
        <v>2056</v>
      </c>
      <c r="G118" s="19">
        <v>28823952</v>
      </c>
    </row>
    <row r="119" spans="6:7" x14ac:dyDescent="0.25">
      <c r="F119" s="21" t="s">
        <v>2245</v>
      </c>
      <c r="G119" s="19">
        <v>15744167</v>
      </c>
    </row>
    <row r="120" spans="6:7" x14ac:dyDescent="0.25">
      <c r="F120" s="21" t="s">
        <v>2842</v>
      </c>
      <c r="G120" s="19">
        <v>35116398</v>
      </c>
    </row>
    <row r="121" spans="6:7" x14ac:dyDescent="0.25">
      <c r="F121" s="21" t="s">
        <v>2014</v>
      </c>
      <c r="G121" s="19">
        <v>3386747</v>
      </c>
    </row>
    <row r="122" spans="6:7" x14ac:dyDescent="0.25">
      <c r="F122" s="21" t="s">
        <v>1790</v>
      </c>
      <c r="G122" s="19">
        <v>40374236</v>
      </c>
    </row>
    <row r="123" spans="6:7" x14ac:dyDescent="0.25">
      <c r="F123" s="21" t="s">
        <v>2111</v>
      </c>
      <c r="G123" s="19">
        <v>6513302</v>
      </c>
    </row>
    <row r="124" spans="6:7" x14ac:dyDescent="0.25">
      <c r="F124" s="21" t="s">
        <v>2540</v>
      </c>
      <c r="G124" s="19">
        <v>2004624</v>
      </c>
    </row>
    <row r="125" spans="6:7" x14ac:dyDescent="0.25">
      <c r="F125" s="21" t="s">
        <v>2861</v>
      </c>
      <c r="G125" s="19">
        <v>41646326</v>
      </c>
    </row>
    <row r="126" spans="6:7" x14ac:dyDescent="0.25">
      <c r="F126" s="21" t="s">
        <v>2809</v>
      </c>
      <c r="G126" s="19">
        <v>42895717</v>
      </c>
    </row>
    <row r="127" spans="6:7" x14ac:dyDescent="0.25">
      <c r="F127" s="21" t="s">
        <v>1612</v>
      </c>
      <c r="G127" s="19">
        <v>40708685</v>
      </c>
    </row>
    <row r="128" spans="6:7" x14ac:dyDescent="0.25">
      <c r="F128" s="21" t="s">
        <v>2662</v>
      </c>
      <c r="G128" s="19">
        <v>32478877</v>
      </c>
    </row>
    <row r="129" spans="6:7" x14ac:dyDescent="0.25">
      <c r="F129" s="21" t="s">
        <v>2330</v>
      </c>
      <c r="G129" s="19">
        <v>1792671</v>
      </c>
    </row>
    <row r="130" spans="6:7" x14ac:dyDescent="0.25">
      <c r="F130" s="21" t="s">
        <v>2347</v>
      </c>
      <c r="G130" s="19">
        <v>44402871</v>
      </c>
    </row>
    <row r="131" spans="6:7" x14ac:dyDescent="0.25">
      <c r="F131" s="21" t="s">
        <v>2583</v>
      </c>
      <c r="G131" s="19">
        <v>24328044</v>
      </c>
    </row>
    <row r="132" spans="6:7" x14ac:dyDescent="0.25">
      <c r="F132" s="21" t="s">
        <v>2274</v>
      </c>
      <c r="G132" s="19">
        <v>20140208</v>
      </c>
    </row>
    <row r="133" spans="6:7" x14ac:dyDescent="0.25">
      <c r="F133" s="21" t="s">
        <v>2405</v>
      </c>
      <c r="G133" s="19">
        <v>27542294</v>
      </c>
    </row>
    <row r="134" spans="6:7" x14ac:dyDescent="0.25">
      <c r="F134" s="21" t="s">
        <v>2053</v>
      </c>
      <c r="G134" s="19">
        <v>12534091</v>
      </c>
    </row>
    <row r="135" spans="6:7" x14ac:dyDescent="0.25">
      <c r="F135" s="21" t="s">
        <v>2918</v>
      </c>
      <c r="G135" s="19">
        <v>25812788</v>
      </c>
    </row>
    <row r="136" spans="6:7" x14ac:dyDescent="0.25">
      <c r="F136" s="21" t="s">
        <v>1706</v>
      </c>
      <c r="G136" s="19">
        <v>19342302</v>
      </c>
    </row>
    <row r="137" spans="6:7" x14ac:dyDescent="0.25">
      <c r="F137" s="21" t="s">
        <v>2320</v>
      </c>
      <c r="G137" s="19">
        <v>15350183</v>
      </c>
    </row>
    <row r="138" spans="6:7" x14ac:dyDescent="0.25">
      <c r="F138" s="21" t="s">
        <v>2632</v>
      </c>
      <c r="G138" s="19">
        <v>37895654</v>
      </c>
    </row>
    <row r="139" spans="6:7" x14ac:dyDescent="0.25">
      <c r="F139" s="21" t="s">
        <v>1969</v>
      </c>
      <c r="G139" s="19">
        <v>35302058</v>
      </c>
    </row>
    <row r="140" spans="6:7" x14ac:dyDescent="0.25">
      <c r="F140" s="21" t="s">
        <v>2199</v>
      </c>
      <c r="G140" s="19">
        <v>23732197</v>
      </c>
    </row>
    <row r="141" spans="6:7" x14ac:dyDescent="0.25">
      <c r="F141" s="21" t="s">
        <v>2730</v>
      </c>
      <c r="G141" s="19">
        <v>1602682</v>
      </c>
    </row>
    <row r="142" spans="6:7" x14ac:dyDescent="0.25">
      <c r="F142" s="21" t="s">
        <v>2378</v>
      </c>
      <c r="G142" s="19">
        <v>20189621</v>
      </c>
    </row>
    <row r="143" spans="6:7" x14ac:dyDescent="0.25">
      <c r="F143" s="21" t="s">
        <v>3012</v>
      </c>
      <c r="G143" s="19">
        <v>648280</v>
      </c>
    </row>
    <row r="144" spans="6:7" x14ac:dyDescent="0.25">
      <c r="F144" s="21" t="s">
        <v>2856</v>
      </c>
      <c r="G144" s="19">
        <v>6301592</v>
      </c>
    </row>
    <row r="145" spans="6:7" x14ac:dyDescent="0.25">
      <c r="F145" s="21" t="s">
        <v>2619</v>
      </c>
      <c r="G145" s="19">
        <v>33209767</v>
      </c>
    </row>
    <row r="146" spans="6:7" x14ac:dyDescent="0.25">
      <c r="F146" s="21" t="s">
        <v>2524</v>
      </c>
      <c r="G146" s="19">
        <v>40591406</v>
      </c>
    </row>
    <row r="147" spans="6:7" x14ac:dyDescent="0.25">
      <c r="F147" s="21" t="s">
        <v>2810</v>
      </c>
      <c r="G147" s="19">
        <v>2586999</v>
      </c>
    </row>
    <row r="148" spans="6:7" x14ac:dyDescent="0.25">
      <c r="F148" s="21" t="s">
        <v>2833</v>
      </c>
      <c r="G148" s="19">
        <v>48016205</v>
      </c>
    </row>
    <row r="149" spans="6:7" x14ac:dyDescent="0.25">
      <c r="F149" s="21" t="s">
        <v>2913</v>
      </c>
      <c r="G149" s="19">
        <v>3677800</v>
      </c>
    </row>
    <row r="150" spans="6:7" x14ac:dyDescent="0.25">
      <c r="F150" s="21" t="s">
        <v>2814</v>
      </c>
      <c r="G150" s="19">
        <v>36175463</v>
      </c>
    </row>
    <row r="151" spans="6:7" x14ac:dyDescent="0.25">
      <c r="F151" s="21" t="s">
        <v>2533</v>
      </c>
      <c r="G151" s="19">
        <v>34372474</v>
      </c>
    </row>
    <row r="152" spans="6:7" x14ac:dyDescent="0.25">
      <c r="F152" s="21" t="s">
        <v>2924</v>
      </c>
      <c r="G152" s="19">
        <v>13397142</v>
      </c>
    </row>
    <row r="153" spans="6:7" x14ac:dyDescent="0.25">
      <c r="F153" s="21" t="s">
        <v>2002</v>
      </c>
      <c r="G153" s="19">
        <v>32598939</v>
      </c>
    </row>
    <row r="154" spans="6:7" x14ac:dyDescent="0.25">
      <c r="F154" s="21" t="s">
        <v>2173</v>
      </c>
      <c r="G154" s="19">
        <v>41517025</v>
      </c>
    </row>
    <row r="155" spans="6:7" x14ac:dyDescent="0.25">
      <c r="F155" s="21" t="s">
        <v>1725</v>
      </c>
      <c r="G155" s="19">
        <v>31690153</v>
      </c>
    </row>
    <row r="156" spans="6:7" x14ac:dyDescent="0.25">
      <c r="F156" s="21" t="s">
        <v>2176</v>
      </c>
      <c r="G156" s="19">
        <v>10415993</v>
      </c>
    </row>
    <row r="157" spans="6:7" x14ac:dyDescent="0.25">
      <c r="F157" s="21" t="s">
        <v>1751</v>
      </c>
      <c r="G157" s="19">
        <v>28237278</v>
      </c>
    </row>
    <row r="158" spans="6:7" x14ac:dyDescent="0.25">
      <c r="F158" s="21" t="s">
        <v>2832</v>
      </c>
      <c r="G158" s="19">
        <v>2629604</v>
      </c>
    </row>
    <row r="159" spans="6:7" x14ac:dyDescent="0.25">
      <c r="F159" s="21" t="s">
        <v>1908</v>
      </c>
      <c r="G159" s="19">
        <v>14741835</v>
      </c>
    </row>
    <row r="160" spans="6:7" x14ac:dyDescent="0.25">
      <c r="F160" s="21" t="s">
        <v>2780</v>
      </c>
      <c r="G160" s="19">
        <v>20996166</v>
      </c>
    </row>
    <row r="161" spans="6:7" x14ac:dyDescent="0.25">
      <c r="F161" s="21" t="s">
        <v>2287</v>
      </c>
      <c r="G161" s="19">
        <v>40074349</v>
      </c>
    </row>
    <row r="162" spans="6:7" x14ac:dyDescent="0.25">
      <c r="F162" s="21" t="s">
        <v>2198</v>
      </c>
      <c r="G162" s="19">
        <v>13977514</v>
      </c>
    </row>
    <row r="163" spans="6:7" x14ac:dyDescent="0.25">
      <c r="F163" s="21" t="s">
        <v>2331</v>
      </c>
      <c r="G163" s="19">
        <v>26759139</v>
      </c>
    </row>
    <row r="164" spans="6:7" x14ac:dyDescent="0.25">
      <c r="F164" s="21" t="s">
        <v>2937</v>
      </c>
      <c r="G164" s="19">
        <v>21025331</v>
      </c>
    </row>
    <row r="165" spans="6:7" x14ac:dyDescent="0.25">
      <c r="F165" s="21" t="s">
        <v>2090</v>
      </c>
      <c r="G165" s="19">
        <v>47002056</v>
      </c>
    </row>
    <row r="166" spans="6:7" x14ac:dyDescent="0.25">
      <c r="F166" s="21" t="s">
        <v>1856</v>
      </c>
      <c r="G166" s="19">
        <v>25074406</v>
      </c>
    </row>
    <row r="167" spans="6:7" x14ac:dyDescent="0.25">
      <c r="F167" s="21" t="s">
        <v>2329</v>
      </c>
      <c r="G167" s="19">
        <v>1723311</v>
      </c>
    </row>
    <row r="168" spans="6:7" x14ac:dyDescent="0.25">
      <c r="F168" s="21" t="s">
        <v>2338</v>
      </c>
      <c r="G168" s="19">
        <v>17523589</v>
      </c>
    </row>
    <row r="169" spans="6:7" x14ac:dyDescent="0.25">
      <c r="F169" s="21" t="s">
        <v>2144</v>
      </c>
      <c r="G169" s="19">
        <v>46507518</v>
      </c>
    </row>
    <row r="170" spans="6:7" x14ac:dyDescent="0.25">
      <c r="F170" s="21" t="s">
        <v>1604</v>
      </c>
      <c r="G170" s="19">
        <v>42871577</v>
      </c>
    </row>
    <row r="171" spans="6:7" x14ac:dyDescent="0.25">
      <c r="F171" s="21" t="s">
        <v>1975</v>
      </c>
      <c r="G171" s="19">
        <v>14874093</v>
      </c>
    </row>
    <row r="172" spans="6:7" x14ac:dyDescent="0.25">
      <c r="F172" s="21" t="s">
        <v>1736</v>
      </c>
      <c r="G172" s="19">
        <v>914421</v>
      </c>
    </row>
    <row r="173" spans="6:7" x14ac:dyDescent="0.25">
      <c r="F173" s="21" t="s">
        <v>2823</v>
      </c>
      <c r="G173" s="19">
        <v>21547378</v>
      </c>
    </row>
    <row r="174" spans="6:7" x14ac:dyDescent="0.25">
      <c r="F174" s="21" t="s">
        <v>1630</v>
      </c>
      <c r="G174" s="19">
        <v>36960253</v>
      </c>
    </row>
    <row r="175" spans="6:7" x14ac:dyDescent="0.25">
      <c r="F175" s="21" t="s">
        <v>1739</v>
      </c>
      <c r="G175" s="19">
        <v>41887902</v>
      </c>
    </row>
    <row r="176" spans="6:7" x14ac:dyDescent="0.25">
      <c r="F176" s="21" t="s">
        <v>2983</v>
      </c>
      <c r="G176" s="19">
        <v>14271917</v>
      </c>
    </row>
    <row r="177" spans="6:7" x14ac:dyDescent="0.25">
      <c r="F177" s="21" t="s">
        <v>2894</v>
      </c>
      <c r="G177" s="19">
        <v>21703686</v>
      </c>
    </row>
    <row r="178" spans="6:7" x14ac:dyDescent="0.25">
      <c r="F178" s="21" t="s">
        <v>2102</v>
      </c>
      <c r="G178" s="19">
        <v>4107215</v>
      </c>
    </row>
    <row r="179" spans="6:7" x14ac:dyDescent="0.25">
      <c r="F179" s="21" t="s">
        <v>2628</v>
      </c>
      <c r="G179" s="19">
        <v>40346672</v>
      </c>
    </row>
    <row r="180" spans="6:7" x14ac:dyDescent="0.25">
      <c r="F180" s="21" t="s">
        <v>1659</v>
      </c>
      <c r="G180" s="19">
        <v>1736958</v>
      </c>
    </row>
    <row r="181" spans="6:7" x14ac:dyDescent="0.25">
      <c r="F181" s="21" t="s">
        <v>2423</v>
      </c>
      <c r="G181" s="19">
        <v>6211036</v>
      </c>
    </row>
    <row r="182" spans="6:7" x14ac:dyDescent="0.25">
      <c r="F182" s="21" t="s">
        <v>1649</v>
      </c>
      <c r="G182" s="19">
        <v>20309037</v>
      </c>
    </row>
    <row r="183" spans="6:7" x14ac:dyDescent="0.25">
      <c r="F183" s="21" t="s">
        <v>1821</v>
      </c>
      <c r="G183" s="19">
        <v>11928038</v>
      </c>
    </row>
    <row r="184" spans="6:7" x14ac:dyDescent="0.25">
      <c r="F184" s="21" t="s">
        <v>2042</v>
      </c>
      <c r="G184" s="19">
        <v>37918982</v>
      </c>
    </row>
    <row r="185" spans="6:7" x14ac:dyDescent="0.25">
      <c r="F185" s="21" t="s">
        <v>2996</v>
      </c>
      <c r="G185" s="19">
        <v>49383436</v>
      </c>
    </row>
    <row r="186" spans="6:7" x14ac:dyDescent="0.25">
      <c r="F186" s="21" t="s">
        <v>1815</v>
      </c>
      <c r="G186" s="19">
        <v>28279606</v>
      </c>
    </row>
    <row r="187" spans="6:7" x14ac:dyDescent="0.25">
      <c r="F187" s="21" t="s">
        <v>2255</v>
      </c>
      <c r="G187" s="19">
        <v>32152833</v>
      </c>
    </row>
    <row r="188" spans="6:7" x14ac:dyDescent="0.25">
      <c r="F188" s="21" t="s">
        <v>2495</v>
      </c>
      <c r="G188" s="19">
        <v>49410581</v>
      </c>
    </row>
    <row r="189" spans="6:7" x14ac:dyDescent="0.25">
      <c r="F189" s="21" t="s">
        <v>1907</v>
      </c>
      <c r="G189" s="19">
        <v>4755438</v>
      </c>
    </row>
    <row r="190" spans="6:7" x14ac:dyDescent="0.25">
      <c r="F190" s="21" t="s">
        <v>2282</v>
      </c>
      <c r="G190" s="19">
        <v>21490005</v>
      </c>
    </row>
    <row r="191" spans="6:7" x14ac:dyDescent="0.25">
      <c r="F191" s="21" t="s">
        <v>1775</v>
      </c>
      <c r="G191" s="19">
        <v>33263155</v>
      </c>
    </row>
    <row r="192" spans="6:7" x14ac:dyDescent="0.25">
      <c r="F192" s="21" t="s">
        <v>2892</v>
      </c>
      <c r="G192" s="19">
        <v>25102559</v>
      </c>
    </row>
    <row r="193" spans="6:7" x14ac:dyDescent="0.25">
      <c r="F193" s="21" t="s">
        <v>2698</v>
      </c>
      <c r="G193" s="19">
        <v>42034325</v>
      </c>
    </row>
    <row r="194" spans="6:7" x14ac:dyDescent="0.25">
      <c r="F194" s="21" t="s">
        <v>1569</v>
      </c>
      <c r="G194" s="19">
        <v>45249698</v>
      </c>
    </row>
    <row r="195" spans="6:7" x14ac:dyDescent="0.25">
      <c r="F195" s="21" t="s">
        <v>1730</v>
      </c>
      <c r="G195" s="19">
        <v>40116867</v>
      </c>
    </row>
    <row r="196" spans="6:7" x14ac:dyDescent="0.25">
      <c r="F196" s="21" t="s">
        <v>1679</v>
      </c>
      <c r="G196" s="19">
        <v>22187546</v>
      </c>
    </row>
    <row r="197" spans="6:7" x14ac:dyDescent="0.25">
      <c r="F197" s="21" t="s">
        <v>2424</v>
      </c>
      <c r="G197" s="19">
        <v>10594394</v>
      </c>
    </row>
    <row r="198" spans="6:7" x14ac:dyDescent="0.25">
      <c r="F198" s="21" t="s">
        <v>1628</v>
      </c>
      <c r="G198" s="19">
        <v>40156235</v>
      </c>
    </row>
    <row r="199" spans="6:7" x14ac:dyDescent="0.25">
      <c r="F199" s="21" t="s">
        <v>2270</v>
      </c>
      <c r="G199" s="19">
        <v>44158485</v>
      </c>
    </row>
    <row r="200" spans="6:7" x14ac:dyDescent="0.25">
      <c r="F200" s="21" t="s">
        <v>2968</v>
      </c>
      <c r="G200" s="19">
        <v>19225017</v>
      </c>
    </row>
    <row r="201" spans="6:7" x14ac:dyDescent="0.25">
      <c r="F201" s="21" t="s">
        <v>2568</v>
      </c>
      <c r="G201" s="19">
        <v>8968804</v>
      </c>
    </row>
    <row r="202" spans="6:7" x14ac:dyDescent="0.25">
      <c r="F202" s="21" t="s">
        <v>2687</v>
      </c>
      <c r="G202" s="19">
        <v>44889541</v>
      </c>
    </row>
    <row r="203" spans="6:7" x14ac:dyDescent="0.25">
      <c r="F203" s="21" t="s">
        <v>2609</v>
      </c>
      <c r="G203" s="19">
        <v>9510711</v>
      </c>
    </row>
    <row r="204" spans="6:7" x14ac:dyDescent="0.25">
      <c r="F204" s="21" t="s">
        <v>2499</v>
      </c>
      <c r="G204" s="19">
        <v>3467096</v>
      </c>
    </row>
    <row r="205" spans="6:7" x14ac:dyDescent="0.25">
      <c r="F205" s="21" t="s">
        <v>2143</v>
      </c>
      <c r="G205" s="19">
        <v>36933556</v>
      </c>
    </row>
    <row r="206" spans="6:7" x14ac:dyDescent="0.25">
      <c r="F206" s="21" t="s">
        <v>2668</v>
      </c>
      <c r="G206" s="19">
        <v>28526061</v>
      </c>
    </row>
    <row r="207" spans="6:7" x14ac:dyDescent="0.25">
      <c r="F207" s="21" t="s">
        <v>2402</v>
      </c>
      <c r="G207" s="19">
        <v>3837014</v>
      </c>
    </row>
    <row r="208" spans="6:7" x14ac:dyDescent="0.25">
      <c r="F208" s="21" t="s">
        <v>3036</v>
      </c>
      <c r="G208" s="19">
        <v>21133509</v>
      </c>
    </row>
    <row r="209" spans="6:7" x14ac:dyDescent="0.25">
      <c r="F209" s="21" t="s">
        <v>2413</v>
      </c>
      <c r="G209" s="19">
        <v>19834639</v>
      </c>
    </row>
    <row r="210" spans="6:7" x14ac:dyDescent="0.25">
      <c r="F210" s="21" t="s">
        <v>2019</v>
      </c>
      <c r="G210" s="19">
        <v>6550504</v>
      </c>
    </row>
    <row r="211" spans="6:7" x14ac:dyDescent="0.25">
      <c r="F211" s="21" t="s">
        <v>2481</v>
      </c>
      <c r="G211" s="19">
        <v>2797862</v>
      </c>
    </row>
    <row r="212" spans="6:7" x14ac:dyDescent="0.25">
      <c r="F212" s="21" t="s">
        <v>2326</v>
      </c>
      <c r="G212" s="19">
        <v>676257</v>
      </c>
    </row>
    <row r="213" spans="6:7" x14ac:dyDescent="0.25">
      <c r="F213" s="21" t="s">
        <v>1701</v>
      </c>
      <c r="G213" s="19">
        <v>12029269</v>
      </c>
    </row>
    <row r="214" spans="6:7" x14ac:dyDescent="0.25">
      <c r="F214" s="21" t="s">
        <v>2777</v>
      </c>
      <c r="G214" s="19">
        <v>12187171</v>
      </c>
    </row>
    <row r="215" spans="6:7" x14ac:dyDescent="0.25">
      <c r="F215" s="21" t="s">
        <v>2808</v>
      </c>
      <c r="G215" s="19">
        <v>23752668</v>
      </c>
    </row>
    <row r="216" spans="6:7" x14ac:dyDescent="0.25">
      <c r="F216" s="21" t="s">
        <v>1610</v>
      </c>
      <c r="G216" s="19">
        <v>37783293</v>
      </c>
    </row>
    <row r="217" spans="6:7" x14ac:dyDescent="0.25">
      <c r="F217" s="21" t="s">
        <v>2117</v>
      </c>
      <c r="G217" s="19">
        <v>106605</v>
      </c>
    </row>
    <row r="218" spans="6:7" x14ac:dyDescent="0.25">
      <c r="F218" s="21" t="s">
        <v>1762</v>
      </c>
      <c r="G218" s="19">
        <v>17260041</v>
      </c>
    </row>
    <row r="219" spans="6:7" x14ac:dyDescent="0.25">
      <c r="F219" s="21" t="s">
        <v>2840</v>
      </c>
      <c r="G219" s="19">
        <v>17364344</v>
      </c>
    </row>
    <row r="220" spans="6:7" x14ac:dyDescent="0.25">
      <c r="F220" s="21" t="s">
        <v>2970</v>
      </c>
      <c r="G220" s="19">
        <v>16336342</v>
      </c>
    </row>
    <row r="221" spans="6:7" x14ac:dyDescent="0.25">
      <c r="F221" s="21" t="s">
        <v>2738</v>
      </c>
      <c r="G221" s="19">
        <v>4360114</v>
      </c>
    </row>
    <row r="222" spans="6:7" x14ac:dyDescent="0.25">
      <c r="F222" s="21" t="s">
        <v>2899</v>
      </c>
      <c r="G222" s="19">
        <v>9390841</v>
      </c>
    </row>
    <row r="223" spans="6:7" x14ac:dyDescent="0.25">
      <c r="F223" s="21" t="s">
        <v>2537</v>
      </c>
      <c r="G223" s="19">
        <v>12278122</v>
      </c>
    </row>
    <row r="224" spans="6:7" x14ac:dyDescent="0.25">
      <c r="F224" s="21" t="s">
        <v>1551</v>
      </c>
      <c r="G224" s="19">
        <v>12260517</v>
      </c>
    </row>
    <row r="225" spans="6:7" x14ac:dyDescent="0.25">
      <c r="F225" s="21" t="s">
        <v>2788</v>
      </c>
      <c r="G225" s="19">
        <v>29709648</v>
      </c>
    </row>
    <row r="226" spans="6:7" x14ac:dyDescent="0.25">
      <c r="F226" s="21" t="s">
        <v>1711</v>
      </c>
      <c r="G226" s="19">
        <v>41282789</v>
      </c>
    </row>
    <row r="227" spans="6:7" x14ac:dyDescent="0.25">
      <c r="F227" s="21" t="s">
        <v>2451</v>
      </c>
      <c r="G227" s="19">
        <v>36664863</v>
      </c>
    </row>
    <row r="228" spans="6:7" x14ac:dyDescent="0.25">
      <c r="F228" s="21" t="s">
        <v>2573</v>
      </c>
      <c r="G228" s="19">
        <v>12639999</v>
      </c>
    </row>
    <row r="229" spans="6:7" x14ac:dyDescent="0.25">
      <c r="F229" s="21" t="s">
        <v>2419</v>
      </c>
      <c r="G229" s="19">
        <v>2663208</v>
      </c>
    </row>
    <row r="230" spans="6:7" x14ac:dyDescent="0.25">
      <c r="F230" s="21" t="s">
        <v>1978</v>
      </c>
      <c r="G230" s="19">
        <v>28998039</v>
      </c>
    </row>
    <row r="231" spans="6:7" x14ac:dyDescent="0.25">
      <c r="F231" s="21" t="s">
        <v>2179</v>
      </c>
      <c r="G231" s="19">
        <v>33258242</v>
      </c>
    </row>
    <row r="232" spans="6:7" x14ac:dyDescent="0.25">
      <c r="F232" s="21" t="s">
        <v>2875</v>
      </c>
      <c r="G232" s="19">
        <v>1173551</v>
      </c>
    </row>
    <row r="233" spans="6:7" x14ac:dyDescent="0.25">
      <c r="F233" s="21" t="s">
        <v>2803</v>
      </c>
      <c r="G233" s="19">
        <v>25243497</v>
      </c>
    </row>
    <row r="234" spans="6:7" x14ac:dyDescent="0.25">
      <c r="F234" s="21" t="s">
        <v>2521</v>
      </c>
      <c r="G234" s="19">
        <v>3753229</v>
      </c>
    </row>
    <row r="235" spans="6:7" x14ac:dyDescent="0.25">
      <c r="F235" s="21" t="s">
        <v>1592</v>
      </c>
      <c r="G235" s="19">
        <v>2128975</v>
      </c>
    </row>
    <row r="236" spans="6:7" x14ac:dyDescent="0.25">
      <c r="F236" s="21" t="s">
        <v>2382</v>
      </c>
      <c r="G236" s="19">
        <v>2442026</v>
      </c>
    </row>
    <row r="237" spans="6:7" x14ac:dyDescent="0.25">
      <c r="F237" s="21" t="s">
        <v>2536</v>
      </c>
      <c r="G237" s="19">
        <v>43746579</v>
      </c>
    </row>
    <row r="238" spans="6:7" x14ac:dyDescent="0.25">
      <c r="F238" s="21" t="s">
        <v>2891</v>
      </c>
      <c r="G238" s="19">
        <v>8199268</v>
      </c>
    </row>
    <row r="239" spans="6:7" x14ac:dyDescent="0.25">
      <c r="F239" s="21" t="s">
        <v>2440</v>
      </c>
      <c r="G239" s="19">
        <v>48264535</v>
      </c>
    </row>
    <row r="240" spans="6:7" x14ac:dyDescent="0.25">
      <c r="F240" s="21" t="s">
        <v>2253</v>
      </c>
      <c r="G240" s="19">
        <v>21416568</v>
      </c>
    </row>
    <row r="241" spans="6:7" x14ac:dyDescent="0.25">
      <c r="F241" s="21" t="s">
        <v>1742</v>
      </c>
      <c r="G241" s="19">
        <v>8741608</v>
      </c>
    </row>
    <row r="242" spans="6:7" x14ac:dyDescent="0.25">
      <c r="F242" s="21" t="s">
        <v>3016</v>
      </c>
      <c r="G242" s="19">
        <v>14195099</v>
      </c>
    </row>
    <row r="243" spans="6:7" x14ac:dyDescent="0.25">
      <c r="F243" s="21" t="s">
        <v>2714</v>
      </c>
      <c r="G243" s="19">
        <v>12483078</v>
      </c>
    </row>
    <row r="244" spans="6:7" x14ac:dyDescent="0.25">
      <c r="F244" s="21" t="s">
        <v>2987</v>
      </c>
      <c r="G244" s="19">
        <v>34386319</v>
      </c>
    </row>
    <row r="245" spans="6:7" x14ac:dyDescent="0.25">
      <c r="F245" s="21" t="s">
        <v>1674</v>
      </c>
      <c r="G245" s="19">
        <v>40733967</v>
      </c>
    </row>
    <row r="246" spans="6:7" x14ac:dyDescent="0.25">
      <c r="F246" s="21" t="s">
        <v>1921</v>
      </c>
      <c r="G246" s="19">
        <v>2724104</v>
      </c>
    </row>
    <row r="247" spans="6:7" x14ac:dyDescent="0.25">
      <c r="F247" s="21" t="s">
        <v>2601</v>
      </c>
      <c r="G247" s="19">
        <v>14415342</v>
      </c>
    </row>
    <row r="248" spans="6:7" x14ac:dyDescent="0.25">
      <c r="F248" s="21" t="s">
        <v>2365</v>
      </c>
      <c r="G248" s="19">
        <v>40146534</v>
      </c>
    </row>
    <row r="249" spans="6:7" x14ac:dyDescent="0.25">
      <c r="F249" s="21" t="s">
        <v>2261</v>
      </c>
      <c r="G249" s="19">
        <v>21515527</v>
      </c>
    </row>
    <row r="250" spans="6:7" x14ac:dyDescent="0.25">
      <c r="F250" s="21" t="s">
        <v>1691</v>
      </c>
      <c r="G250" s="19">
        <v>6213416</v>
      </c>
    </row>
    <row r="251" spans="6:7" x14ac:dyDescent="0.25">
      <c r="F251" s="21" t="s">
        <v>1793</v>
      </c>
      <c r="G251" s="19">
        <v>19325459</v>
      </c>
    </row>
    <row r="252" spans="6:7" x14ac:dyDescent="0.25">
      <c r="F252" s="21" t="s">
        <v>2181</v>
      </c>
      <c r="G252" s="19">
        <v>44709981</v>
      </c>
    </row>
    <row r="253" spans="6:7" x14ac:dyDescent="0.25">
      <c r="F253" s="21" t="s">
        <v>1914</v>
      </c>
      <c r="G253" s="19">
        <v>39953832</v>
      </c>
    </row>
    <row r="254" spans="6:7" x14ac:dyDescent="0.25">
      <c r="F254" s="21" t="s">
        <v>1785</v>
      </c>
      <c r="G254" s="19">
        <v>39816575</v>
      </c>
    </row>
    <row r="255" spans="6:7" x14ac:dyDescent="0.25">
      <c r="F255" s="21" t="s">
        <v>1686</v>
      </c>
      <c r="G255" s="19">
        <v>27481701</v>
      </c>
    </row>
    <row r="256" spans="6:7" x14ac:dyDescent="0.25">
      <c r="F256" s="21" t="s">
        <v>2189</v>
      </c>
      <c r="G256" s="19">
        <v>18745692</v>
      </c>
    </row>
    <row r="257" spans="6:7" x14ac:dyDescent="0.25">
      <c r="F257" s="21" t="s">
        <v>2323</v>
      </c>
      <c r="G257" s="19">
        <v>39979558</v>
      </c>
    </row>
    <row r="258" spans="6:7" x14ac:dyDescent="0.25">
      <c r="F258" s="21" t="s">
        <v>2195</v>
      </c>
      <c r="G258" s="19">
        <v>21696696</v>
      </c>
    </row>
    <row r="259" spans="6:7" x14ac:dyDescent="0.25">
      <c r="F259" s="21" t="s">
        <v>2021</v>
      </c>
      <c r="G259" s="19">
        <v>25815589</v>
      </c>
    </row>
    <row r="260" spans="6:7" x14ac:dyDescent="0.25">
      <c r="F260" s="21" t="s">
        <v>1729</v>
      </c>
      <c r="G260" s="19">
        <v>36291273</v>
      </c>
    </row>
    <row r="261" spans="6:7" x14ac:dyDescent="0.25">
      <c r="F261" s="21" t="s">
        <v>2369</v>
      </c>
      <c r="G261" s="19">
        <v>27679989</v>
      </c>
    </row>
    <row r="262" spans="6:7" x14ac:dyDescent="0.25">
      <c r="F262" s="21" t="s">
        <v>1981</v>
      </c>
      <c r="G262" s="19">
        <v>32463056</v>
      </c>
    </row>
    <row r="263" spans="6:7" x14ac:dyDescent="0.25">
      <c r="F263" s="21" t="s">
        <v>2171</v>
      </c>
      <c r="G263" s="19">
        <v>20161386</v>
      </c>
    </row>
    <row r="264" spans="6:7" x14ac:dyDescent="0.25">
      <c r="F264" s="21" t="s">
        <v>1971</v>
      </c>
      <c r="G264" s="19">
        <v>13631887</v>
      </c>
    </row>
    <row r="265" spans="6:7" x14ac:dyDescent="0.25">
      <c r="F265" s="21" t="s">
        <v>2037</v>
      </c>
      <c r="G265" s="19">
        <v>20107825</v>
      </c>
    </row>
    <row r="266" spans="6:7" x14ac:dyDescent="0.25">
      <c r="F266" s="21" t="s">
        <v>1890</v>
      </c>
      <c r="G266" s="19">
        <v>33024498</v>
      </c>
    </row>
    <row r="267" spans="6:7" x14ac:dyDescent="0.25">
      <c r="F267" s="21" t="s">
        <v>3017</v>
      </c>
      <c r="G267" s="19">
        <v>9863098</v>
      </c>
    </row>
    <row r="268" spans="6:7" x14ac:dyDescent="0.25">
      <c r="F268" s="21" t="s">
        <v>2677</v>
      </c>
      <c r="G268" s="19">
        <v>22188307</v>
      </c>
    </row>
    <row r="269" spans="6:7" x14ac:dyDescent="0.25">
      <c r="F269" s="21" t="s">
        <v>2644</v>
      </c>
      <c r="G269" s="19">
        <v>49607813</v>
      </c>
    </row>
    <row r="270" spans="6:7" x14ac:dyDescent="0.25">
      <c r="F270" s="21" t="s">
        <v>1964</v>
      </c>
      <c r="G270" s="19">
        <v>49605429</v>
      </c>
    </row>
    <row r="271" spans="6:7" x14ac:dyDescent="0.25">
      <c r="F271" s="21" t="s">
        <v>1555</v>
      </c>
      <c r="G271" s="19">
        <v>33471915</v>
      </c>
    </row>
    <row r="272" spans="6:7" x14ac:dyDescent="0.25">
      <c r="F272" s="21" t="s">
        <v>1925</v>
      </c>
      <c r="G272" s="19">
        <v>32115535</v>
      </c>
    </row>
    <row r="273" spans="6:7" x14ac:dyDescent="0.25">
      <c r="F273" s="21" t="s">
        <v>2228</v>
      </c>
      <c r="G273" s="19">
        <v>30404628</v>
      </c>
    </row>
    <row r="274" spans="6:7" x14ac:dyDescent="0.25">
      <c r="F274" s="21" t="s">
        <v>2394</v>
      </c>
      <c r="G274" s="19">
        <v>18240362</v>
      </c>
    </row>
    <row r="275" spans="6:7" x14ac:dyDescent="0.25">
      <c r="F275" s="21" t="s">
        <v>1759</v>
      </c>
      <c r="G275" s="19">
        <v>13177628</v>
      </c>
    </row>
    <row r="276" spans="6:7" x14ac:dyDescent="0.25">
      <c r="F276" s="21" t="s">
        <v>1860</v>
      </c>
      <c r="G276" s="19">
        <v>47766063</v>
      </c>
    </row>
    <row r="277" spans="6:7" x14ac:dyDescent="0.25">
      <c r="F277" s="21" t="s">
        <v>1594</v>
      </c>
      <c r="G277" s="19">
        <v>4679569</v>
      </c>
    </row>
    <row r="278" spans="6:7" x14ac:dyDescent="0.25">
      <c r="F278" s="21" t="s">
        <v>1836</v>
      </c>
      <c r="G278" s="19">
        <v>17268839</v>
      </c>
    </row>
    <row r="279" spans="6:7" x14ac:dyDescent="0.25">
      <c r="F279" s="21" t="s">
        <v>1511</v>
      </c>
      <c r="G279" s="19">
        <v>7028246</v>
      </c>
    </row>
    <row r="280" spans="6:7" x14ac:dyDescent="0.25">
      <c r="F280" s="21" t="s">
        <v>2589</v>
      </c>
      <c r="G280" s="19">
        <v>10190217</v>
      </c>
    </row>
    <row r="281" spans="6:7" x14ac:dyDescent="0.25">
      <c r="F281" s="21" t="s">
        <v>1764</v>
      </c>
      <c r="G281" s="19">
        <v>29348138</v>
      </c>
    </row>
    <row r="282" spans="6:7" x14ac:dyDescent="0.25">
      <c r="F282" s="21" t="s">
        <v>2502</v>
      </c>
      <c r="G282" s="19">
        <v>2029324</v>
      </c>
    </row>
    <row r="283" spans="6:7" x14ac:dyDescent="0.25">
      <c r="F283" s="21" t="s">
        <v>3030</v>
      </c>
      <c r="G283" s="19">
        <v>31683428</v>
      </c>
    </row>
    <row r="284" spans="6:7" x14ac:dyDescent="0.25">
      <c r="F284" s="21" t="s">
        <v>2071</v>
      </c>
      <c r="G284" s="19">
        <v>21439681</v>
      </c>
    </row>
    <row r="285" spans="6:7" x14ac:dyDescent="0.25">
      <c r="F285" s="21" t="s">
        <v>2931</v>
      </c>
      <c r="G285" s="19">
        <v>169056</v>
      </c>
    </row>
    <row r="286" spans="6:7" x14ac:dyDescent="0.25">
      <c r="F286" s="21" t="s">
        <v>2871</v>
      </c>
      <c r="G286" s="19">
        <v>30569066</v>
      </c>
    </row>
    <row r="287" spans="6:7" x14ac:dyDescent="0.25">
      <c r="F287" s="21" t="s">
        <v>2697</v>
      </c>
      <c r="G287" s="19">
        <v>33939784</v>
      </c>
    </row>
    <row r="288" spans="6:7" x14ac:dyDescent="0.25">
      <c r="F288" s="21" t="s">
        <v>2517</v>
      </c>
      <c r="G288" s="19">
        <v>21416691</v>
      </c>
    </row>
    <row r="289" spans="6:7" x14ac:dyDescent="0.25">
      <c r="F289" s="21" t="s">
        <v>2213</v>
      </c>
      <c r="G289" s="19">
        <v>3005997</v>
      </c>
    </row>
    <row r="290" spans="6:7" x14ac:dyDescent="0.25">
      <c r="F290" s="21" t="s">
        <v>1589</v>
      </c>
      <c r="G290" s="19">
        <v>15516819</v>
      </c>
    </row>
    <row r="291" spans="6:7" x14ac:dyDescent="0.25">
      <c r="F291" s="21" t="s">
        <v>1808</v>
      </c>
      <c r="G291" s="19">
        <v>4432081</v>
      </c>
    </row>
    <row r="292" spans="6:7" x14ac:dyDescent="0.25">
      <c r="F292" s="21" t="s">
        <v>1749</v>
      </c>
      <c r="G292" s="19">
        <v>22661334</v>
      </c>
    </row>
    <row r="293" spans="6:7" x14ac:dyDescent="0.25">
      <c r="F293" s="21" t="s">
        <v>2535</v>
      </c>
      <c r="G293" s="19">
        <v>35142452</v>
      </c>
    </row>
    <row r="294" spans="6:7" x14ac:dyDescent="0.25">
      <c r="F294" s="21" t="s">
        <v>1737</v>
      </c>
      <c r="G294" s="19">
        <v>1759602</v>
      </c>
    </row>
    <row r="295" spans="6:7" x14ac:dyDescent="0.25">
      <c r="F295" s="21" t="s">
        <v>2975</v>
      </c>
      <c r="G295" s="19">
        <v>1937083</v>
      </c>
    </row>
    <row r="296" spans="6:7" x14ac:dyDescent="0.25">
      <c r="F296" s="21" t="s">
        <v>2357</v>
      </c>
      <c r="G296" s="19">
        <v>17366005</v>
      </c>
    </row>
    <row r="297" spans="6:7" x14ac:dyDescent="0.25">
      <c r="F297" s="21" t="s">
        <v>2277</v>
      </c>
      <c r="G297" s="19">
        <v>3966387</v>
      </c>
    </row>
    <row r="298" spans="6:7" x14ac:dyDescent="0.25">
      <c r="F298" s="21" t="s">
        <v>2746</v>
      </c>
      <c r="G298" s="19">
        <v>45022376</v>
      </c>
    </row>
    <row r="299" spans="6:7" x14ac:dyDescent="0.25">
      <c r="F299" s="21" t="s">
        <v>1967</v>
      </c>
      <c r="G299" s="19">
        <v>2350058</v>
      </c>
    </row>
    <row r="300" spans="6:7" x14ac:dyDescent="0.25">
      <c r="F300" s="21" t="s">
        <v>1876</v>
      </c>
      <c r="G300" s="19">
        <v>44713032</v>
      </c>
    </row>
    <row r="301" spans="6:7" x14ac:dyDescent="0.25">
      <c r="F301" s="21" t="s">
        <v>1717</v>
      </c>
      <c r="G301" s="19">
        <v>4614284</v>
      </c>
    </row>
    <row r="302" spans="6:7" x14ac:dyDescent="0.25">
      <c r="F302" s="21" t="s">
        <v>2284</v>
      </c>
      <c r="G302" s="19">
        <v>45731048</v>
      </c>
    </row>
    <row r="303" spans="6:7" x14ac:dyDescent="0.25">
      <c r="F303" s="21" t="s">
        <v>2262</v>
      </c>
      <c r="G303" s="19">
        <v>20728229</v>
      </c>
    </row>
    <row r="304" spans="6:7" x14ac:dyDescent="0.25">
      <c r="F304" s="21" t="s">
        <v>2105</v>
      </c>
      <c r="G304" s="19">
        <v>18239694</v>
      </c>
    </row>
    <row r="305" spans="6:7" x14ac:dyDescent="0.25">
      <c r="F305" s="21" t="s">
        <v>2016</v>
      </c>
      <c r="G305" s="19">
        <v>13981366</v>
      </c>
    </row>
    <row r="306" spans="6:7" x14ac:dyDescent="0.25">
      <c r="F306" s="21" t="s">
        <v>2718</v>
      </c>
      <c r="G306" s="19">
        <v>38416619</v>
      </c>
    </row>
    <row r="307" spans="6:7" x14ac:dyDescent="0.25">
      <c r="F307" s="21" t="s">
        <v>2337</v>
      </c>
      <c r="G307" s="19">
        <v>37489151</v>
      </c>
    </row>
    <row r="308" spans="6:7" x14ac:dyDescent="0.25">
      <c r="F308" s="21" t="s">
        <v>2449</v>
      </c>
      <c r="G308" s="19">
        <v>6269359</v>
      </c>
    </row>
    <row r="309" spans="6:7" x14ac:dyDescent="0.25">
      <c r="F309" s="21" t="s">
        <v>1687</v>
      </c>
      <c r="G309" s="19">
        <v>14544449</v>
      </c>
    </row>
    <row r="310" spans="6:7" x14ac:dyDescent="0.25">
      <c r="F310" s="21" t="s">
        <v>1583</v>
      </c>
      <c r="G310" s="19">
        <v>880770</v>
      </c>
    </row>
    <row r="311" spans="6:7" x14ac:dyDescent="0.25">
      <c r="F311" s="21" t="s">
        <v>2303</v>
      </c>
      <c r="G311" s="19">
        <v>5842087</v>
      </c>
    </row>
    <row r="312" spans="6:7" x14ac:dyDescent="0.25">
      <c r="F312" s="21" t="s">
        <v>1638</v>
      </c>
      <c r="G312" s="19">
        <v>41125641</v>
      </c>
    </row>
    <row r="313" spans="6:7" x14ac:dyDescent="0.25">
      <c r="F313" s="21" t="s">
        <v>2096</v>
      </c>
      <c r="G313" s="19">
        <v>39197503</v>
      </c>
    </row>
    <row r="314" spans="6:7" x14ac:dyDescent="0.25">
      <c r="F314" s="21" t="s">
        <v>2421</v>
      </c>
      <c r="G314" s="19">
        <v>27320783</v>
      </c>
    </row>
    <row r="315" spans="6:7" x14ac:dyDescent="0.25">
      <c r="F315" s="21" t="s">
        <v>2745</v>
      </c>
      <c r="G315" s="19">
        <v>45101899</v>
      </c>
    </row>
    <row r="316" spans="6:7" x14ac:dyDescent="0.25">
      <c r="F316" s="21" t="s">
        <v>2516</v>
      </c>
      <c r="G316" s="19">
        <v>27912332</v>
      </c>
    </row>
    <row r="317" spans="6:7" x14ac:dyDescent="0.25">
      <c r="F317" s="21" t="s">
        <v>2106</v>
      </c>
      <c r="G317" s="19">
        <v>38947884</v>
      </c>
    </row>
    <row r="318" spans="6:7" x14ac:dyDescent="0.25">
      <c r="F318" s="21" t="s">
        <v>2085</v>
      </c>
      <c r="G318" s="19">
        <v>13588561</v>
      </c>
    </row>
    <row r="319" spans="6:7" x14ac:dyDescent="0.25">
      <c r="F319" s="21" t="s">
        <v>1575</v>
      </c>
      <c r="G319" s="19">
        <v>6260226</v>
      </c>
    </row>
    <row r="320" spans="6:7" x14ac:dyDescent="0.25">
      <c r="F320" s="21" t="s">
        <v>2775</v>
      </c>
      <c r="G320" s="19">
        <v>46667403</v>
      </c>
    </row>
    <row r="321" spans="6:7" x14ac:dyDescent="0.25">
      <c r="F321" s="21" t="s">
        <v>1849</v>
      </c>
      <c r="G321" s="19">
        <v>11858283</v>
      </c>
    </row>
    <row r="322" spans="6:7" x14ac:dyDescent="0.25">
      <c r="F322" s="21" t="s">
        <v>1917</v>
      </c>
      <c r="G322" s="19">
        <v>3213841</v>
      </c>
    </row>
    <row r="323" spans="6:7" x14ac:dyDescent="0.25">
      <c r="F323" s="21" t="s">
        <v>1700</v>
      </c>
      <c r="G323" s="19">
        <v>15186151</v>
      </c>
    </row>
    <row r="324" spans="6:7" x14ac:dyDescent="0.25">
      <c r="F324" s="21" t="s">
        <v>2372</v>
      </c>
      <c r="G324" s="19">
        <v>1424140</v>
      </c>
    </row>
    <row r="325" spans="6:7" x14ac:dyDescent="0.25">
      <c r="F325" s="21" t="s">
        <v>1909</v>
      </c>
      <c r="G325" s="19">
        <v>34069791</v>
      </c>
    </row>
    <row r="326" spans="6:7" x14ac:dyDescent="0.25">
      <c r="F326" s="21" t="s">
        <v>1940</v>
      </c>
      <c r="G326" s="19">
        <v>21986036</v>
      </c>
    </row>
    <row r="327" spans="6:7" x14ac:dyDescent="0.25">
      <c r="F327" s="21" t="s">
        <v>2410</v>
      </c>
      <c r="G327" s="19">
        <v>1212101</v>
      </c>
    </row>
    <row r="328" spans="6:7" x14ac:dyDescent="0.25">
      <c r="F328" s="21" t="s">
        <v>2343</v>
      </c>
      <c r="G328" s="19">
        <v>20037471</v>
      </c>
    </row>
    <row r="329" spans="6:7" x14ac:dyDescent="0.25">
      <c r="F329" s="21" t="s">
        <v>2799</v>
      </c>
      <c r="G329" s="19">
        <v>35452638</v>
      </c>
    </row>
    <row r="330" spans="6:7" x14ac:dyDescent="0.25">
      <c r="F330" s="21" t="s">
        <v>1947</v>
      </c>
      <c r="G330" s="19">
        <v>40632188</v>
      </c>
    </row>
    <row r="331" spans="6:7" x14ac:dyDescent="0.25">
      <c r="F331" s="21" t="s">
        <v>1562</v>
      </c>
      <c r="G331" s="19">
        <v>1960641</v>
      </c>
    </row>
    <row r="332" spans="6:7" x14ac:dyDescent="0.25">
      <c r="F332" s="21" t="s">
        <v>2114</v>
      </c>
      <c r="G332" s="19">
        <v>37488228</v>
      </c>
    </row>
    <row r="333" spans="6:7" x14ac:dyDescent="0.25">
      <c r="F333" s="21" t="s">
        <v>1582</v>
      </c>
      <c r="G333" s="19">
        <v>3032027</v>
      </c>
    </row>
    <row r="334" spans="6:7" x14ac:dyDescent="0.25">
      <c r="F334" s="21" t="s">
        <v>2225</v>
      </c>
      <c r="G334" s="19">
        <v>42025033</v>
      </c>
    </row>
    <row r="335" spans="6:7" x14ac:dyDescent="0.25">
      <c r="F335" s="21" t="s">
        <v>1635</v>
      </c>
      <c r="G335" s="19">
        <v>7945334</v>
      </c>
    </row>
    <row r="336" spans="6:7" x14ac:dyDescent="0.25">
      <c r="F336" s="21" t="s">
        <v>1694</v>
      </c>
      <c r="G336" s="19">
        <v>32866493</v>
      </c>
    </row>
    <row r="337" spans="6:7" x14ac:dyDescent="0.25">
      <c r="F337" s="21" t="s">
        <v>2724</v>
      </c>
      <c r="G337" s="19">
        <v>4534107</v>
      </c>
    </row>
    <row r="338" spans="6:7" x14ac:dyDescent="0.25">
      <c r="F338" s="21" t="s">
        <v>1617</v>
      </c>
      <c r="G338" s="19">
        <v>49519315</v>
      </c>
    </row>
    <row r="339" spans="6:7" x14ac:dyDescent="0.25">
      <c r="F339" s="21" t="s">
        <v>2040</v>
      </c>
      <c r="G339" s="19">
        <v>19543102</v>
      </c>
    </row>
    <row r="340" spans="6:7" x14ac:dyDescent="0.25">
      <c r="F340" s="21" t="s">
        <v>1576</v>
      </c>
      <c r="G340" s="19">
        <v>48023534</v>
      </c>
    </row>
    <row r="341" spans="6:7" x14ac:dyDescent="0.25">
      <c r="F341" s="21" t="s">
        <v>2755</v>
      </c>
      <c r="G341" s="19">
        <v>3475937</v>
      </c>
    </row>
    <row r="342" spans="6:7" x14ac:dyDescent="0.25">
      <c r="F342" s="21" t="s">
        <v>2233</v>
      </c>
      <c r="G342" s="19">
        <v>2293296</v>
      </c>
    </row>
    <row r="343" spans="6:7" x14ac:dyDescent="0.25">
      <c r="F343" s="21" t="s">
        <v>2460</v>
      </c>
      <c r="G343" s="19">
        <v>47189985</v>
      </c>
    </row>
    <row r="344" spans="6:7" x14ac:dyDescent="0.25">
      <c r="F344" s="21" t="s">
        <v>1568</v>
      </c>
      <c r="G344" s="19">
        <v>48110033</v>
      </c>
    </row>
    <row r="345" spans="6:7" x14ac:dyDescent="0.25">
      <c r="F345" s="21" t="s">
        <v>2569</v>
      </c>
      <c r="G345" s="19">
        <v>40816357</v>
      </c>
    </row>
    <row r="346" spans="6:7" x14ac:dyDescent="0.25">
      <c r="F346" s="21" t="s">
        <v>2617</v>
      </c>
      <c r="G346" s="19">
        <v>3157078</v>
      </c>
    </row>
    <row r="347" spans="6:7" x14ac:dyDescent="0.25">
      <c r="F347" s="21" t="s">
        <v>2599</v>
      </c>
      <c r="G347" s="19">
        <v>34088597</v>
      </c>
    </row>
    <row r="348" spans="6:7" x14ac:dyDescent="0.25">
      <c r="F348" s="21" t="s">
        <v>1902</v>
      </c>
      <c r="G348" s="19">
        <v>34731287</v>
      </c>
    </row>
    <row r="349" spans="6:7" x14ac:dyDescent="0.25">
      <c r="F349" s="21" t="s">
        <v>1755</v>
      </c>
      <c r="G349" s="19">
        <v>40266353</v>
      </c>
    </row>
    <row r="350" spans="6:7" x14ac:dyDescent="0.25">
      <c r="F350" s="21" t="s">
        <v>2880</v>
      </c>
      <c r="G350" s="19">
        <v>9098939</v>
      </c>
    </row>
    <row r="351" spans="6:7" x14ac:dyDescent="0.25">
      <c r="F351" s="21" t="s">
        <v>2239</v>
      </c>
      <c r="G351" s="19">
        <v>18092795</v>
      </c>
    </row>
    <row r="352" spans="6:7" x14ac:dyDescent="0.25">
      <c r="F352" s="21" t="s">
        <v>2922</v>
      </c>
      <c r="G352" s="19">
        <v>150058</v>
      </c>
    </row>
    <row r="353" spans="6:7" x14ac:dyDescent="0.25">
      <c r="F353" s="21" t="s">
        <v>1656</v>
      </c>
      <c r="G353" s="19">
        <v>34186754</v>
      </c>
    </row>
    <row r="354" spans="6:7" x14ac:dyDescent="0.25">
      <c r="F354" s="21" t="s">
        <v>2847</v>
      </c>
      <c r="G354" s="19">
        <v>29101361</v>
      </c>
    </row>
    <row r="355" spans="6:7" x14ac:dyDescent="0.25">
      <c r="F355" s="21" t="s">
        <v>1874</v>
      </c>
      <c r="G355" s="19">
        <v>693126</v>
      </c>
    </row>
    <row r="356" spans="6:7" x14ac:dyDescent="0.25">
      <c r="F356" s="21" t="s">
        <v>1703</v>
      </c>
      <c r="G356" s="19">
        <v>36462443</v>
      </c>
    </row>
    <row r="357" spans="6:7" x14ac:dyDescent="0.25">
      <c r="F357" s="21" t="s">
        <v>2672</v>
      </c>
      <c r="G357" s="19">
        <v>39114794</v>
      </c>
    </row>
    <row r="358" spans="6:7" x14ac:dyDescent="0.25">
      <c r="F358" s="21" t="s">
        <v>2118</v>
      </c>
      <c r="G358" s="19">
        <v>20079636</v>
      </c>
    </row>
    <row r="359" spans="6:7" x14ac:dyDescent="0.25">
      <c r="F359" s="21" t="s">
        <v>2743</v>
      </c>
      <c r="G359" s="19">
        <v>26294204</v>
      </c>
    </row>
    <row r="360" spans="6:7" x14ac:dyDescent="0.25">
      <c r="F360" s="21" t="s">
        <v>1601</v>
      </c>
      <c r="G360" s="19">
        <v>23409737</v>
      </c>
    </row>
    <row r="361" spans="6:7" x14ac:dyDescent="0.25">
      <c r="F361" s="21" t="s">
        <v>2368</v>
      </c>
      <c r="G361" s="19">
        <v>31286922</v>
      </c>
    </row>
    <row r="362" spans="6:7" x14ac:dyDescent="0.25">
      <c r="F362" s="21" t="s">
        <v>3008</v>
      </c>
      <c r="G362" s="19">
        <v>5573012</v>
      </c>
    </row>
    <row r="363" spans="6:7" x14ac:dyDescent="0.25">
      <c r="F363" s="21" t="s">
        <v>3025</v>
      </c>
      <c r="G363" s="19">
        <v>2002245</v>
      </c>
    </row>
    <row r="364" spans="6:7" x14ac:dyDescent="0.25">
      <c r="F364" s="21" t="s">
        <v>2505</v>
      </c>
      <c r="G364" s="19">
        <v>17544528</v>
      </c>
    </row>
    <row r="365" spans="6:7" x14ac:dyDescent="0.25">
      <c r="F365" s="21" t="s">
        <v>3014</v>
      </c>
      <c r="G365" s="19">
        <v>30351861</v>
      </c>
    </row>
    <row r="366" spans="6:7" x14ac:dyDescent="0.25">
      <c r="F366" s="21" t="s">
        <v>2593</v>
      </c>
      <c r="G366" s="19">
        <v>7412176</v>
      </c>
    </row>
    <row r="367" spans="6:7" x14ac:dyDescent="0.25">
      <c r="F367" s="21" t="s">
        <v>2252</v>
      </c>
      <c r="G367" s="19">
        <v>13683027</v>
      </c>
    </row>
    <row r="368" spans="6:7" x14ac:dyDescent="0.25">
      <c r="F368" s="21" t="s">
        <v>2712</v>
      </c>
      <c r="G368" s="19">
        <v>42955454</v>
      </c>
    </row>
    <row r="369" spans="6:7" x14ac:dyDescent="0.25">
      <c r="F369" s="21" t="s">
        <v>2013</v>
      </c>
      <c r="G369" s="19">
        <v>9058149</v>
      </c>
    </row>
    <row r="370" spans="6:7" x14ac:dyDescent="0.25">
      <c r="F370" s="21" t="s">
        <v>1913</v>
      </c>
      <c r="G370" s="19">
        <v>28479481</v>
      </c>
    </row>
    <row r="371" spans="6:7" x14ac:dyDescent="0.25">
      <c r="F371" s="21" t="s">
        <v>2409</v>
      </c>
      <c r="G371" s="19">
        <v>37998418</v>
      </c>
    </row>
    <row r="372" spans="6:7" x14ac:dyDescent="0.25">
      <c r="F372" s="21" t="s">
        <v>2787</v>
      </c>
      <c r="G372" s="19">
        <v>16963982</v>
      </c>
    </row>
    <row r="373" spans="6:7" x14ac:dyDescent="0.25">
      <c r="F373" s="21" t="s">
        <v>2206</v>
      </c>
      <c r="G373" s="19">
        <v>17685127</v>
      </c>
    </row>
    <row r="374" spans="6:7" x14ac:dyDescent="0.25">
      <c r="F374" s="21" t="s">
        <v>2055</v>
      </c>
      <c r="G374" s="19">
        <v>19864476</v>
      </c>
    </row>
    <row r="375" spans="6:7" x14ac:dyDescent="0.25">
      <c r="F375" s="21" t="s">
        <v>1539</v>
      </c>
      <c r="G375" s="19">
        <v>34498495</v>
      </c>
    </row>
    <row r="376" spans="6:7" x14ac:dyDescent="0.25">
      <c r="F376" s="21" t="s">
        <v>1919</v>
      </c>
      <c r="G376" s="19">
        <v>36582525</v>
      </c>
    </row>
    <row r="377" spans="6:7" x14ac:dyDescent="0.25">
      <c r="F377" s="21" t="s">
        <v>2412</v>
      </c>
      <c r="G377" s="19">
        <v>1875145</v>
      </c>
    </row>
    <row r="378" spans="6:7" x14ac:dyDescent="0.25">
      <c r="F378" s="21" t="s">
        <v>2548</v>
      </c>
      <c r="G378" s="19">
        <v>17633314</v>
      </c>
    </row>
    <row r="379" spans="6:7" x14ac:dyDescent="0.25">
      <c r="F379" s="21" t="s">
        <v>1834</v>
      </c>
      <c r="G379" s="19">
        <v>16574738</v>
      </c>
    </row>
    <row r="380" spans="6:7" x14ac:dyDescent="0.25">
      <c r="F380" s="21" t="s">
        <v>2425</v>
      </c>
      <c r="G380" s="19">
        <v>25566303</v>
      </c>
    </row>
    <row r="381" spans="6:7" x14ac:dyDescent="0.25">
      <c r="F381" s="21" t="s">
        <v>1658</v>
      </c>
      <c r="G381" s="19">
        <v>26525599</v>
      </c>
    </row>
    <row r="382" spans="6:7" x14ac:dyDescent="0.25">
      <c r="F382" s="21" t="s">
        <v>2912</v>
      </c>
      <c r="G382" s="19">
        <v>16471304</v>
      </c>
    </row>
    <row r="383" spans="6:7" x14ac:dyDescent="0.25">
      <c r="F383" s="21" t="s">
        <v>2161</v>
      </c>
      <c r="G383" s="19">
        <v>21907625</v>
      </c>
    </row>
    <row r="384" spans="6:7" x14ac:dyDescent="0.25">
      <c r="F384" s="21" t="s">
        <v>2069</v>
      </c>
      <c r="G384" s="19">
        <v>15961825</v>
      </c>
    </row>
    <row r="385" spans="6:7" x14ac:dyDescent="0.25">
      <c r="F385" s="21" t="s">
        <v>2928</v>
      </c>
      <c r="G385" s="19">
        <v>33023841</v>
      </c>
    </row>
    <row r="386" spans="6:7" x14ac:dyDescent="0.25">
      <c r="F386" s="21" t="s">
        <v>2001</v>
      </c>
      <c r="G386" s="19">
        <v>30699437</v>
      </c>
    </row>
    <row r="387" spans="6:7" x14ac:dyDescent="0.25">
      <c r="F387" s="21" t="s">
        <v>2665</v>
      </c>
      <c r="G387" s="19">
        <v>33615812</v>
      </c>
    </row>
    <row r="388" spans="6:7" x14ac:dyDescent="0.25">
      <c r="F388" s="21" t="s">
        <v>1746</v>
      </c>
      <c r="G388" s="19">
        <v>1431926</v>
      </c>
    </row>
    <row r="389" spans="6:7" x14ac:dyDescent="0.25">
      <c r="F389" s="21" t="s">
        <v>1673</v>
      </c>
      <c r="G389" s="19">
        <v>43967554</v>
      </c>
    </row>
    <row r="390" spans="6:7" x14ac:dyDescent="0.25">
      <c r="F390" s="21" t="s">
        <v>2150</v>
      </c>
      <c r="G390" s="19">
        <v>4938153</v>
      </c>
    </row>
    <row r="391" spans="6:7" x14ac:dyDescent="0.25">
      <c r="F391" s="21" t="s">
        <v>1574</v>
      </c>
      <c r="G391" s="19">
        <v>49140072</v>
      </c>
    </row>
    <row r="392" spans="6:7" x14ac:dyDescent="0.25">
      <c r="F392" s="21" t="s">
        <v>2790</v>
      </c>
      <c r="G392" s="19">
        <v>2860195</v>
      </c>
    </row>
    <row r="393" spans="6:7" x14ac:dyDescent="0.25">
      <c r="F393" s="21" t="s">
        <v>2908</v>
      </c>
      <c r="G393" s="19">
        <v>5691301</v>
      </c>
    </row>
    <row r="394" spans="6:7" x14ac:dyDescent="0.25">
      <c r="F394" s="21" t="s">
        <v>2691</v>
      </c>
      <c r="G394" s="19">
        <v>17339712</v>
      </c>
    </row>
    <row r="395" spans="6:7" x14ac:dyDescent="0.25">
      <c r="F395" s="21" t="s">
        <v>1968</v>
      </c>
      <c r="G395" s="19">
        <v>46644344</v>
      </c>
    </row>
    <row r="396" spans="6:7" x14ac:dyDescent="0.25">
      <c r="F396" s="21" t="s">
        <v>2251</v>
      </c>
      <c r="G396" s="19">
        <v>49581612</v>
      </c>
    </row>
    <row r="397" spans="6:7" x14ac:dyDescent="0.25">
      <c r="F397" s="21" t="s">
        <v>2461</v>
      </c>
      <c r="G397" s="19">
        <v>47845251</v>
      </c>
    </row>
    <row r="398" spans="6:7" x14ac:dyDescent="0.25">
      <c r="F398" s="21" t="s">
        <v>2442</v>
      </c>
      <c r="G398" s="19">
        <v>4124371</v>
      </c>
    </row>
    <row r="399" spans="6:7" x14ac:dyDescent="0.25">
      <c r="F399" s="21" t="s">
        <v>1745</v>
      </c>
      <c r="G399" s="19">
        <v>42745784</v>
      </c>
    </row>
    <row r="400" spans="6:7" x14ac:dyDescent="0.25">
      <c r="F400" s="21" t="s">
        <v>1974</v>
      </c>
      <c r="G400" s="19">
        <v>1180823</v>
      </c>
    </row>
    <row r="401" spans="6:7" x14ac:dyDescent="0.25">
      <c r="F401" s="21" t="s">
        <v>2932</v>
      </c>
      <c r="G401" s="19">
        <v>47865538</v>
      </c>
    </row>
    <row r="402" spans="6:7" x14ac:dyDescent="0.25">
      <c r="F402" s="21" t="s">
        <v>2075</v>
      </c>
      <c r="G402" s="19">
        <v>43078987</v>
      </c>
    </row>
    <row r="403" spans="6:7" x14ac:dyDescent="0.25">
      <c r="F403" s="21" t="s">
        <v>2174</v>
      </c>
      <c r="G403" s="19">
        <v>46548956</v>
      </c>
    </row>
    <row r="404" spans="6:7" x14ac:dyDescent="0.25">
      <c r="F404" s="21" t="s">
        <v>1804</v>
      </c>
      <c r="G404" s="19">
        <v>3460739</v>
      </c>
    </row>
    <row r="405" spans="6:7" x14ac:dyDescent="0.25">
      <c r="F405" s="21" t="s">
        <v>2036</v>
      </c>
      <c r="G405" s="19">
        <v>355425</v>
      </c>
    </row>
    <row r="406" spans="6:7" x14ac:dyDescent="0.25">
      <c r="F406" s="21" t="s">
        <v>2678</v>
      </c>
      <c r="G406" s="19">
        <v>7305101</v>
      </c>
    </row>
    <row r="407" spans="6:7" x14ac:dyDescent="0.25">
      <c r="F407" s="21" t="s">
        <v>1671</v>
      </c>
      <c r="G407" s="19">
        <v>48375865</v>
      </c>
    </row>
    <row r="408" spans="6:7" x14ac:dyDescent="0.25">
      <c r="F408" s="21" t="s">
        <v>1951</v>
      </c>
      <c r="G408" s="19">
        <v>41366491</v>
      </c>
    </row>
    <row r="409" spans="6:7" x14ac:dyDescent="0.25">
      <c r="F409" s="21" t="s">
        <v>2740</v>
      </c>
      <c r="G409" s="19">
        <v>1703357</v>
      </c>
    </row>
    <row r="410" spans="6:7" x14ac:dyDescent="0.25">
      <c r="F410" s="21" t="s">
        <v>2685</v>
      </c>
      <c r="G410" s="19">
        <v>5641448</v>
      </c>
    </row>
    <row r="411" spans="6:7" x14ac:dyDescent="0.25">
      <c r="F411" s="21" t="s">
        <v>2550</v>
      </c>
      <c r="G411" s="19">
        <v>21720221</v>
      </c>
    </row>
    <row r="412" spans="6:7" x14ac:dyDescent="0.25">
      <c r="F412" s="21" t="s">
        <v>1763</v>
      </c>
      <c r="G412" s="19">
        <v>12817369</v>
      </c>
    </row>
    <row r="413" spans="6:7" x14ac:dyDescent="0.25">
      <c r="F413" s="21" t="s">
        <v>2439</v>
      </c>
      <c r="G413" s="19">
        <v>28639402</v>
      </c>
    </row>
    <row r="414" spans="6:7" x14ac:dyDescent="0.25">
      <c r="F414" s="21" t="s">
        <v>1661</v>
      </c>
      <c r="G414" s="19">
        <v>7789251</v>
      </c>
    </row>
    <row r="415" spans="6:7" x14ac:dyDescent="0.25">
      <c r="F415" s="21" t="s">
        <v>2974</v>
      </c>
      <c r="G415" s="19">
        <v>37468776</v>
      </c>
    </row>
    <row r="416" spans="6:7" x14ac:dyDescent="0.25">
      <c r="F416" s="21" t="s">
        <v>1935</v>
      </c>
      <c r="G416" s="19">
        <v>44027558</v>
      </c>
    </row>
    <row r="417" spans="6:7" x14ac:dyDescent="0.25">
      <c r="F417" s="21" t="s">
        <v>2116</v>
      </c>
      <c r="G417" s="19">
        <v>29403827</v>
      </c>
    </row>
    <row r="418" spans="6:7" x14ac:dyDescent="0.25">
      <c r="F418" s="21" t="s">
        <v>2388</v>
      </c>
      <c r="G418" s="19">
        <v>21382679</v>
      </c>
    </row>
    <row r="419" spans="6:7" x14ac:dyDescent="0.25">
      <c r="F419" s="21" t="s">
        <v>1814</v>
      </c>
      <c r="G419" s="19">
        <v>42167683</v>
      </c>
    </row>
    <row r="420" spans="6:7" x14ac:dyDescent="0.25">
      <c r="F420" s="21" t="s">
        <v>2445</v>
      </c>
      <c r="G420" s="19">
        <v>5413192</v>
      </c>
    </row>
    <row r="421" spans="6:7" x14ac:dyDescent="0.25">
      <c r="F421" s="21" t="s">
        <v>1735</v>
      </c>
      <c r="G421" s="19">
        <v>47350017</v>
      </c>
    </row>
    <row r="422" spans="6:7" x14ac:dyDescent="0.25">
      <c r="F422" s="21" t="s">
        <v>2595</v>
      </c>
      <c r="G422" s="19">
        <v>21359197</v>
      </c>
    </row>
    <row r="423" spans="6:7" x14ac:dyDescent="0.25">
      <c r="F423" s="21" t="s">
        <v>2590</v>
      </c>
      <c r="G423" s="19">
        <v>20333789</v>
      </c>
    </row>
    <row r="424" spans="6:7" x14ac:dyDescent="0.25">
      <c r="F424" s="21" t="s">
        <v>2858</v>
      </c>
      <c r="G424" s="19">
        <v>36638502</v>
      </c>
    </row>
    <row r="425" spans="6:7" x14ac:dyDescent="0.25">
      <c r="F425" s="21" t="s">
        <v>2293</v>
      </c>
      <c r="G425" s="19">
        <v>22827718</v>
      </c>
    </row>
    <row r="426" spans="6:7" x14ac:dyDescent="0.25">
      <c r="F426" s="21" t="s">
        <v>2699</v>
      </c>
      <c r="G426" s="19">
        <v>9266784</v>
      </c>
    </row>
    <row r="427" spans="6:7" x14ac:dyDescent="0.25">
      <c r="F427" s="21" t="s">
        <v>2104</v>
      </c>
      <c r="G427" s="19">
        <v>27424036</v>
      </c>
    </row>
    <row r="428" spans="6:7" x14ac:dyDescent="0.25">
      <c r="F428" s="21" t="s">
        <v>2187</v>
      </c>
      <c r="G428" s="19">
        <v>45608375</v>
      </c>
    </row>
    <row r="429" spans="6:7" x14ac:dyDescent="0.25">
      <c r="F429" s="21" t="s">
        <v>2248</v>
      </c>
      <c r="G429" s="19">
        <v>32420377</v>
      </c>
    </row>
    <row r="430" spans="6:7" x14ac:dyDescent="0.25">
      <c r="F430" s="21" t="s">
        <v>2982</v>
      </c>
      <c r="G430" s="19">
        <v>23630066</v>
      </c>
    </row>
    <row r="431" spans="6:7" x14ac:dyDescent="0.25">
      <c r="F431" s="21" t="s">
        <v>2457</v>
      </c>
      <c r="G431" s="19">
        <v>26285564</v>
      </c>
    </row>
    <row r="432" spans="6:7" x14ac:dyDescent="0.25">
      <c r="F432" s="21" t="s">
        <v>1542</v>
      </c>
      <c r="G432" s="19">
        <v>3764506</v>
      </c>
    </row>
    <row r="433" spans="6:7" x14ac:dyDescent="0.25">
      <c r="F433" s="21" t="s">
        <v>2134</v>
      </c>
      <c r="G433" s="19">
        <v>6372826</v>
      </c>
    </row>
    <row r="434" spans="6:7" x14ac:dyDescent="0.25">
      <c r="F434" s="21" t="s">
        <v>1949</v>
      </c>
      <c r="G434" s="19">
        <v>3865808</v>
      </c>
    </row>
    <row r="435" spans="6:7" x14ac:dyDescent="0.25">
      <c r="F435" s="21" t="s">
        <v>2770</v>
      </c>
      <c r="G435" s="19">
        <v>49012171</v>
      </c>
    </row>
    <row r="436" spans="6:7" x14ac:dyDescent="0.25">
      <c r="F436" s="21" t="s">
        <v>1560</v>
      </c>
      <c r="G436" s="19">
        <v>29550583</v>
      </c>
    </row>
    <row r="437" spans="6:7" x14ac:dyDescent="0.25">
      <c r="F437" s="21" t="s">
        <v>1812</v>
      </c>
      <c r="G437" s="19">
        <v>13690953</v>
      </c>
    </row>
    <row r="438" spans="6:7" x14ac:dyDescent="0.25">
      <c r="F438" s="21" t="s">
        <v>2058</v>
      </c>
      <c r="G438" s="19">
        <v>25598329</v>
      </c>
    </row>
    <row r="439" spans="6:7" x14ac:dyDescent="0.25">
      <c r="F439" s="21" t="s">
        <v>1767</v>
      </c>
      <c r="G439" s="19">
        <v>43266876</v>
      </c>
    </row>
    <row r="440" spans="6:7" x14ac:dyDescent="0.25">
      <c r="F440" s="21" t="s">
        <v>2115</v>
      </c>
      <c r="G440" s="19">
        <v>13790068</v>
      </c>
    </row>
    <row r="441" spans="6:7" x14ac:dyDescent="0.25">
      <c r="F441" s="21" t="s">
        <v>2059</v>
      </c>
      <c r="G441" s="19">
        <v>9136307</v>
      </c>
    </row>
    <row r="442" spans="6:7" x14ac:dyDescent="0.25">
      <c r="F442" s="21" t="s">
        <v>2012</v>
      </c>
      <c r="G442" s="19">
        <v>10382701</v>
      </c>
    </row>
    <row r="443" spans="6:7" x14ac:dyDescent="0.25">
      <c r="F443" s="21" t="s">
        <v>2064</v>
      </c>
      <c r="G443" s="19">
        <v>48999255</v>
      </c>
    </row>
    <row r="444" spans="6:7" x14ac:dyDescent="0.25">
      <c r="F444" s="21" t="s">
        <v>2265</v>
      </c>
      <c r="G444" s="19">
        <v>36460317</v>
      </c>
    </row>
    <row r="445" spans="6:7" x14ac:dyDescent="0.25">
      <c r="F445" s="21" t="s">
        <v>2916</v>
      </c>
      <c r="G445" s="19">
        <v>5782187</v>
      </c>
    </row>
    <row r="446" spans="6:7" x14ac:dyDescent="0.25">
      <c r="F446" s="21" t="s">
        <v>2995</v>
      </c>
      <c r="G446" s="19">
        <v>39370521</v>
      </c>
    </row>
    <row r="447" spans="6:7" x14ac:dyDescent="0.25">
      <c r="F447" s="21" t="s">
        <v>2538</v>
      </c>
      <c r="G447" s="19">
        <v>49883931</v>
      </c>
    </row>
    <row r="448" spans="6:7" x14ac:dyDescent="0.25">
      <c r="F448" s="21" t="s">
        <v>2367</v>
      </c>
      <c r="G448" s="19">
        <v>5324429</v>
      </c>
    </row>
    <row r="449" spans="6:7" x14ac:dyDescent="0.25">
      <c r="F449" s="21" t="s">
        <v>2336</v>
      </c>
      <c r="G449" s="19">
        <v>37618459</v>
      </c>
    </row>
    <row r="450" spans="6:7" x14ac:dyDescent="0.25">
      <c r="F450" s="21" t="s">
        <v>1741</v>
      </c>
      <c r="G450" s="19">
        <v>32049209</v>
      </c>
    </row>
    <row r="451" spans="6:7" x14ac:dyDescent="0.25">
      <c r="F451" s="21" t="s">
        <v>2292</v>
      </c>
      <c r="G451" s="19">
        <v>3194734</v>
      </c>
    </row>
    <row r="452" spans="6:7" x14ac:dyDescent="0.25">
      <c r="F452" s="21" t="s">
        <v>2088</v>
      </c>
      <c r="G452" s="19">
        <v>40772342</v>
      </c>
    </row>
    <row r="453" spans="6:7" x14ac:dyDescent="0.25">
      <c r="F453" s="21" t="s">
        <v>2542</v>
      </c>
      <c r="G453" s="19">
        <v>17396161</v>
      </c>
    </row>
    <row r="454" spans="6:7" x14ac:dyDescent="0.25">
      <c r="F454" s="21" t="s">
        <v>2884</v>
      </c>
      <c r="G454" s="19">
        <v>46681385</v>
      </c>
    </row>
    <row r="455" spans="6:7" x14ac:dyDescent="0.25">
      <c r="F455" s="21" t="s">
        <v>2900</v>
      </c>
      <c r="G455" s="19">
        <v>42905252</v>
      </c>
    </row>
    <row r="456" spans="6:7" x14ac:dyDescent="0.25">
      <c r="F456" s="21" t="s">
        <v>1823</v>
      </c>
      <c r="G456" s="19">
        <v>1012696</v>
      </c>
    </row>
    <row r="457" spans="6:7" x14ac:dyDescent="0.25">
      <c r="F457" s="21" t="s">
        <v>2080</v>
      </c>
      <c r="G457" s="19">
        <v>6703296</v>
      </c>
    </row>
    <row r="458" spans="6:7" x14ac:dyDescent="0.25">
      <c r="F458" s="21" t="s">
        <v>2142</v>
      </c>
      <c r="G458" s="19">
        <v>37902679</v>
      </c>
    </row>
    <row r="459" spans="6:7" x14ac:dyDescent="0.25">
      <c r="F459" s="21" t="s">
        <v>2750</v>
      </c>
      <c r="G459" s="19">
        <v>36543944</v>
      </c>
    </row>
    <row r="460" spans="6:7" x14ac:dyDescent="0.25">
      <c r="F460" s="21" t="s">
        <v>2259</v>
      </c>
      <c r="G460" s="19">
        <v>24217716</v>
      </c>
    </row>
    <row r="461" spans="6:7" x14ac:dyDescent="0.25">
      <c r="F461" s="21" t="s">
        <v>2708</v>
      </c>
      <c r="G461" s="19">
        <v>1530562</v>
      </c>
    </row>
    <row r="462" spans="6:7" x14ac:dyDescent="0.25">
      <c r="F462" s="21" t="s">
        <v>2647</v>
      </c>
      <c r="G462" s="19">
        <v>37911796</v>
      </c>
    </row>
    <row r="463" spans="6:7" x14ac:dyDescent="0.25">
      <c r="F463" s="21" t="s">
        <v>1780</v>
      </c>
      <c r="G463" s="19">
        <v>45787304</v>
      </c>
    </row>
    <row r="464" spans="6:7" x14ac:dyDescent="0.25">
      <c r="F464" s="21" t="s">
        <v>1945</v>
      </c>
      <c r="G464" s="19">
        <v>22548345</v>
      </c>
    </row>
    <row r="465" spans="6:7" x14ac:dyDescent="0.25">
      <c r="F465" s="21" t="s">
        <v>1892</v>
      </c>
      <c r="G465" s="19">
        <v>2258041</v>
      </c>
    </row>
    <row r="466" spans="6:7" x14ac:dyDescent="0.25">
      <c r="F466" s="21" t="s">
        <v>2896</v>
      </c>
      <c r="G466" s="19">
        <v>1819444</v>
      </c>
    </row>
    <row r="467" spans="6:7" x14ac:dyDescent="0.25">
      <c r="F467" s="21" t="s">
        <v>1695</v>
      </c>
      <c r="G467" s="19">
        <v>40668259</v>
      </c>
    </row>
    <row r="468" spans="6:7" x14ac:dyDescent="0.25">
      <c r="F468" s="21" t="s">
        <v>1952</v>
      </c>
      <c r="G468" s="19">
        <v>48769213</v>
      </c>
    </row>
    <row r="469" spans="6:7" x14ac:dyDescent="0.25">
      <c r="F469" s="21" t="s">
        <v>2169</v>
      </c>
      <c r="G469" s="19">
        <v>38103202</v>
      </c>
    </row>
    <row r="470" spans="6:7" x14ac:dyDescent="0.25">
      <c r="F470" s="21" t="s">
        <v>1787</v>
      </c>
      <c r="G470" s="19">
        <v>40388469</v>
      </c>
    </row>
    <row r="471" spans="6:7" x14ac:dyDescent="0.25">
      <c r="F471" s="21" t="s">
        <v>2359</v>
      </c>
      <c r="G471" s="19">
        <v>29320771</v>
      </c>
    </row>
    <row r="472" spans="6:7" x14ac:dyDescent="0.25">
      <c r="F472" s="21" t="s">
        <v>1905</v>
      </c>
      <c r="G472" s="19">
        <v>35660284</v>
      </c>
    </row>
    <row r="473" spans="6:7" x14ac:dyDescent="0.25">
      <c r="F473" s="21" t="s">
        <v>2927</v>
      </c>
      <c r="G473" s="19">
        <v>39468135</v>
      </c>
    </row>
    <row r="474" spans="6:7" x14ac:dyDescent="0.25">
      <c r="F474" s="21" t="s">
        <v>2170</v>
      </c>
      <c r="G474" s="19">
        <v>41511749</v>
      </c>
    </row>
    <row r="475" spans="6:7" x14ac:dyDescent="0.25">
      <c r="F475" s="21" t="s">
        <v>2525</v>
      </c>
      <c r="G475" s="19">
        <v>25620241</v>
      </c>
    </row>
    <row r="476" spans="6:7" x14ac:dyDescent="0.25">
      <c r="F476" s="21" t="s">
        <v>2761</v>
      </c>
      <c r="G476" s="19">
        <v>39126977</v>
      </c>
    </row>
    <row r="477" spans="6:7" x14ac:dyDescent="0.25">
      <c r="F477" s="21" t="s">
        <v>2324</v>
      </c>
      <c r="G477" s="19">
        <v>8371505</v>
      </c>
    </row>
    <row r="478" spans="6:7" x14ac:dyDescent="0.25">
      <c r="F478" s="21" t="s">
        <v>2086</v>
      </c>
      <c r="G478" s="19">
        <v>6854849</v>
      </c>
    </row>
    <row r="479" spans="6:7" x14ac:dyDescent="0.25">
      <c r="F479" s="21" t="s">
        <v>1723</v>
      </c>
      <c r="G479" s="19">
        <v>35316314</v>
      </c>
    </row>
    <row r="480" spans="6:7" x14ac:dyDescent="0.25">
      <c r="F480" s="21" t="s">
        <v>2490</v>
      </c>
      <c r="G480" s="19">
        <v>5682831</v>
      </c>
    </row>
    <row r="481" spans="6:7" x14ac:dyDescent="0.25">
      <c r="F481" s="21" t="s">
        <v>1586</v>
      </c>
      <c r="G481" s="19">
        <v>1658840</v>
      </c>
    </row>
    <row r="482" spans="6:7" x14ac:dyDescent="0.25">
      <c r="F482" s="21" t="s">
        <v>2901</v>
      </c>
      <c r="G482" s="19">
        <v>10052702</v>
      </c>
    </row>
    <row r="483" spans="6:7" x14ac:dyDescent="0.25">
      <c r="F483" s="21" t="s">
        <v>3033</v>
      </c>
      <c r="G483" s="19">
        <v>17244752</v>
      </c>
    </row>
    <row r="484" spans="6:7" x14ac:dyDescent="0.25">
      <c r="F484" s="21" t="s">
        <v>1740</v>
      </c>
      <c r="G484" s="19">
        <v>21206043</v>
      </c>
    </row>
    <row r="485" spans="6:7" x14ac:dyDescent="0.25">
      <c r="F485" s="21" t="s">
        <v>2414</v>
      </c>
      <c r="G485" s="19">
        <v>26148166</v>
      </c>
    </row>
    <row r="486" spans="6:7" x14ac:dyDescent="0.25">
      <c r="F486" s="21" t="s">
        <v>1731</v>
      </c>
      <c r="G486" s="19">
        <v>47629758</v>
      </c>
    </row>
    <row r="487" spans="6:7" x14ac:dyDescent="0.25">
      <c r="F487" s="21" t="s">
        <v>1716</v>
      </c>
      <c r="G487" s="19">
        <v>17019919</v>
      </c>
    </row>
    <row r="488" spans="6:7" x14ac:dyDescent="0.25">
      <c r="F488" s="21" t="s">
        <v>2010</v>
      </c>
      <c r="G488" s="19">
        <v>20865013</v>
      </c>
    </row>
    <row r="489" spans="6:7" x14ac:dyDescent="0.25">
      <c r="F489" s="21" t="s">
        <v>2135</v>
      </c>
      <c r="G489" s="19">
        <v>1994142</v>
      </c>
    </row>
    <row r="490" spans="6:7" x14ac:dyDescent="0.25">
      <c r="F490" s="21" t="s">
        <v>1912</v>
      </c>
      <c r="G490" s="19">
        <v>36001814</v>
      </c>
    </row>
    <row r="491" spans="6:7" x14ac:dyDescent="0.25">
      <c r="F491" s="21" t="s">
        <v>2389</v>
      </c>
      <c r="G491" s="19">
        <v>42700708</v>
      </c>
    </row>
    <row r="492" spans="6:7" x14ac:dyDescent="0.25">
      <c r="F492" s="21" t="s">
        <v>1743</v>
      </c>
      <c r="G492" s="19">
        <v>29498866</v>
      </c>
    </row>
    <row r="493" spans="6:7" x14ac:dyDescent="0.25">
      <c r="F493" s="21" t="s">
        <v>1799</v>
      </c>
      <c r="G493" s="19">
        <v>19784769</v>
      </c>
    </row>
    <row r="494" spans="6:7" x14ac:dyDescent="0.25">
      <c r="F494" s="21" t="s">
        <v>2108</v>
      </c>
      <c r="G494" s="19">
        <v>4953492</v>
      </c>
    </row>
    <row r="495" spans="6:7" x14ac:dyDescent="0.25">
      <c r="F495" s="21" t="s">
        <v>2017</v>
      </c>
      <c r="G495" s="19">
        <v>19510789</v>
      </c>
    </row>
    <row r="496" spans="6:7" x14ac:dyDescent="0.25">
      <c r="F496" s="21" t="s">
        <v>2911</v>
      </c>
      <c r="G496" s="19">
        <v>38473526</v>
      </c>
    </row>
    <row r="497" spans="6:7" x14ac:dyDescent="0.25">
      <c r="F497" s="21" t="s">
        <v>1973</v>
      </c>
      <c r="G497" s="19">
        <v>2058283</v>
      </c>
    </row>
    <row r="498" spans="6:7" x14ac:dyDescent="0.25">
      <c r="F498" s="21" t="s">
        <v>1960</v>
      </c>
      <c r="G498" s="19">
        <v>29704617</v>
      </c>
    </row>
    <row r="499" spans="6:7" x14ac:dyDescent="0.25">
      <c r="F499" s="21" t="s">
        <v>2782</v>
      </c>
      <c r="G499" s="19">
        <v>8022626</v>
      </c>
    </row>
    <row r="500" spans="6:7" x14ac:dyDescent="0.25">
      <c r="F500" s="21" t="s">
        <v>1813</v>
      </c>
      <c r="G500" s="19">
        <v>49216622</v>
      </c>
    </row>
    <row r="501" spans="6:7" x14ac:dyDescent="0.25">
      <c r="F501" s="21" t="s">
        <v>1782</v>
      </c>
      <c r="G501" s="19">
        <v>42268867</v>
      </c>
    </row>
    <row r="502" spans="6:7" x14ac:dyDescent="0.25">
      <c r="F502" s="21" t="s">
        <v>1859</v>
      </c>
      <c r="G502" s="19">
        <v>9130762</v>
      </c>
    </row>
    <row r="503" spans="6:7" x14ac:dyDescent="0.25">
      <c r="F503" s="21" t="s">
        <v>1901</v>
      </c>
      <c r="G503" s="19">
        <v>31899949</v>
      </c>
    </row>
    <row r="504" spans="6:7" x14ac:dyDescent="0.25">
      <c r="F504" s="21" t="s">
        <v>2897</v>
      </c>
      <c r="G504" s="19">
        <v>23780725</v>
      </c>
    </row>
    <row r="505" spans="6:7" x14ac:dyDescent="0.25">
      <c r="F505" s="21" t="s">
        <v>1797</v>
      </c>
      <c r="G505" s="19">
        <v>33465253</v>
      </c>
    </row>
    <row r="506" spans="6:7" x14ac:dyDescent="0.25">
      <c r="F506" s="21" t="s">
        <v>1875</v>
      </c>
      <c r="G506" s="19">
        <v>21359473</v>
      </c>
    </row>
    <row r="507" spans="6:7" x14ac:dyDescent="0.25">
      <c r="F507" s="21" t="s">
        <v>2482</v>
      </c>
      <c r="G507" s="19">
        <v>15058882</v>
      </c>
    </row>
    <row r="508" spans="6:7" x14ac:dyDescent="0.25">
      <c r="F508" s="21" t="s">
        <v>2237</v>
      </c>
      <c r="G508" s="19">
        <v>40010398</v>
      </c>
    </row>
    <row r="509" spans="6:7" x14ac:dyDescent="0.25">
      <c r="F509" s="21" t="s">
        <v>1992</v>
      </c>
      <c r="G509" s="19">
        <v>42937256</v>
      </c>
    </row>
    <row r="510" spans="6:7" x14ac:dyDescent="0.25">
      <c r="F510" s="21" t="s">
        <v>2306</v>
      </c>
      <c r="G510" s="19">
        <v>34840968</v>
      </c>
    </row>
    <row r="511" spans="6:7" x14ac:dyDescent="0.25">
      <c r="F511" s="21" t="s">
        <v>1765</v>
      </c>
      <c r="G511" s="19">
        <v>4416279</v>
      </c>
    </row>
    <row r="512" spans="6:7" x14ac:dyDescent="0.25">
      <c r="F512" s="21" t="s">
        <v>2926</v>
      </c>
      <c r="G512" s="19">
        <v>39321843</v>
      </c>
    </row>
    <row r="513" spans="6:7" x14ac:dyDescent="0.25">
      <c r="F513" s="21" t="s">
        <v>2466</v>
      </c>
      <c r="G513" s="19">
        <v>41499155</v>
      </c>
    </row>
    <row r="514" spans="6:7" x14ac:dyDescent="0.25">
      <c r="F514" s="21" t="s">
        <v>2236</v>
      </c>
      <c r="G514" s="19">
        <v>37775312</v>
      </c>
    </row>
    <row r="515" spans="6:7" x14ac:dyDescent="0.25">
      <c r="F515" s="21" t="s">
        <v>1886</v>
      </c>
      <c r="G515" s="19">
        <v>4462270</v>
      </c>
    </row>
    <row r="516" spans="6:7" x14ac:dyDescent="0.25">
      <c r="F516" s="21" t="s">
        <v>3034</v>
      </c>
      <c r="G516" s="19">
        <v>22475736</v>
      </c>
    </row>
    <row r="517" spans="6:7" x14ac:dyDescent="0.25">
      <c r="F517" s="21" t="s">
        <v>1585</v>
      </c>
      <c r="G517" s="19">
        <v>4202195</v>
      </c>
    </row>
    <row r="518" spans="6:7" x14ac:dyDescent="0.25">
      <c r="F518" s="21" t="s">
        <v>2396</v>
      </c>
      <c r="G518" s="19">
        <v>24138842</v>
      </c>
    </row>
    <row r="519" spans="6:7" x14ac:dyDescent="0.25">
      <c r="F519" s="21" t="s">
        <v>2400</v>
      </c>
      <c r="G519" s="19">
        <v>39521413</v>
      </c>
    </row>
    <row r="520" spans="6:7" x14ac:dyDescent="0.25">
      <c r="F520" s="21" t="s">
        <v>2695</v>
      </c>
      <c r="G520" s="19">
        <v>36285157</v>
      </c>
    </row>
    <row r="521" spans="6:7" x14ac:dyDescent="0.25">
      <c r="F521" s="21" t="s">
        <v>2905</v>
      </c>
      <c r="G521" s="19">
        <v>4809634</v>
      </c>
    </row>
    <row r="522" spans="6:7" x14ac:dyDescent="0.25">
      <c r="F522" s="21" t="s">
        <v>2067</v>
      </c>
      <c r="G522" s="19">
        <v>10916528</v>
      </c>
    </row>
    <row r="523" spans="6:7" x14ac:dyDescent="0.25">
      <c r="F523" s="21" t="s">
        <v>2364</v>
      </c>
      <c r="G523" s="19">
        <v>40613588</v>
      </c>
    </row>
    <row r="524" spans="6:7" x14ac:dyDescent="0.25">
      <c r="F524" s="21" t="s">
        <v>1637</v>
      </c>
      <c r="G524" s="19">
        <v>27177801</v>
      </c>
    </row>
    <row r="525" spans="6:7" x14ac:dyDescent="0.25">
      <c r="F525" s="21" t="s">
        <v>1893</v>
      </c>
      <c r="G525" s="19">
        <v>5595752</v>
      </c>
    </row>
    <row r="526" spans="6:7" x14ac:dyDescent="0.25">
      <c r="F526" s="21" t="s">
        <v>1900</v>
      </c>
      <c r="G526" s="19">
        <v>24720207</v>
      </c>
    </row>
    <row r="527" spans="6:7" x14ac:dyDescent="0.25">
      <c r="F527" s="21" t="s">
        <v>2863</v>
      </c>
      <c r="G527" s="19">
        <v>6727957</v>
      </c>
    </row>
    <row r="528" spans="6:7" x14ac:dyDescent="0.25">
      <c r="F528" s="21" t="s">
        <v>2925</v>
      </c>
      <c r="G528" s="19">
        <v>25860987</v>
      </c>
    </row>
    <row r="529" spans="6:7" x14ac:dyDescent="0.25">
      <c r="F529" s="21" t="s">
        <v>1994</v>
      </c>
      <c r="G529" s="19">
        <v>31384265</v>
      </c>
    </row>
    <row r="530" spans="6:7" x14ac:dyDescent="0.25">
      <c r="F530" s="21" t="s">
        <v>2915</v>
      </c>
      <c r="G530" s="19">
        <v>11172293</v>
      </c>
    </row>
    <row r="531" spans="6:7" x14ac:dyDescent="0.25">
      <c r="F531" s="21" t="s">
        <v>2762</v>
      </c>
      <c r="G531" s="19">
        <v>46767745</v>
      </c>
    </row>
    <row r="532" spans="6:7" x14ac:dyDescent="0.25">
      <c r="F532" s="21" t="s">
        <v>2035</v>
      </c>
      <c r="G532" s="19">
        <v>47419267</v>
      </c>
    </row>
    <row r="533" spans="6:7" x14ac:dyDescent="0.25">
      <c r="F533" s="21" t="s">
        <v>2919</v>
      </c>
      <c r="G533" s="19">
        <v>33948311</v>
      </c>
    </row>
    <row r="534" spans="6:7" x14ac:dyDescent="0.25">
      <c r="F534" s="21" t="s">
        <v>1577</v>
      </c>
      <c r="G534" s="19">
        <v>49958799</v>
      </c>
    </row>
    <row r="535" spans="6:7" x14ac:dyDescent="0.25">
      <c r="F535" s="21" t="s">
        <v>2754</v>
      </c>
      <c r="G535" s="19">
        <v>31044129</v>
      </c>
    </row>
    <row r="536" spans="6:7" x14ac:dyDescent="0.25">
      <c r="F536" s="21" t="s">
        <v>1954</v>
      </c>
      <c r="G536" s="19">
        <v>47444545</v>
      </c>
    </row>
    <row r="537" spans="6:7" x14ac:dyDescent="0.25">
      <c r="F537" s="21" t="s">
        <v>2758</v>
      </c>
      <c r="G537" s="19">
        <v>12919618</v>
      </c>
    </row>
    <row r="538" spans="6:7" x14ac:dyDescent="0.25">
      <c r="F538" s="21" t="s">
        <v>1744</v>
      </c>
      <c r="G538" s="19">
        <v>42793486</v>
      </c>
    </row>
    <row r="539" spans="6:7" x14ac:dyDescent="0.25">
      <c r="F539" s="21" t="s">
        <v>1559</v>
      </c>
      <c r="G539" s="19">
        <v>7402533</v>
      </c>
    </row>
    <row r="540" spans="6:7" x14ac:dyDescent="0.25">
      <c r="F540" s="21" t="s">
        <v>2007</v>
      </c>
      <c r="G540" s="19">
        <v>14665133</v>
      </c>
    </row>
    <row r="541" spans="6:7" x14ac:dyDescent="0.25">
      <c r="F541" s="21" t="s">
        <v>1842</v>
      </c>
      <c r="G541" s="19">
        <v>40568211</v>
      </c>
    </row>
    <row r="542" spans="6:7" x14ac:dyDescent="0.25">
      <c r="F542" s="21" t="s">
        <v>2576</v>
      </c>
      <c r="G542" s="19">
        <v>9287637</v>
      </c>
    </row>
    <row r="543" spans="6:7" x14ac:dyDescent="0.25">
      <c r="F543" s="21" t="s">
        <v>2816</v>
      </c>
      <c r="G543" s="19">
        <v>4895639</v>
      </c>
    </row>
    <row r="544" spans="6:7" x14ac:dyDescent="0.25">
      <c r="F544" s="21" t="s">
        <v>2676</v>
      </c>
      <c r="G544" s="19">
        <v>47541546</v>
      </c>
    </row>
    <row r="545" spans="6:7" x14ac:dyDescent="0.25">
      <c r="F545" s="21" t="s">
        <v>2218</v>
      </c>
      <c r="G545" s="19">
        <v>7429664</v>
      </c>
    </row>
    <row r="546" spans="6:7" x14ac:dyDescent="0.25">
      <c r="F546" s="21" t="s">
        <v>1983</v>
      </c>
      <c r="G546" s="19">
        <v>7749388</v>
      </c>
    </row>
    <row r="547" spans="6:7" x14ac:dyDescent="0.25">
      <c r="F547" s="21" t="s">
        <v>1861</v>
      </c>
      <c r="G547" s="19">
        <v>34732753</v>
      </c>
    </row>
    <row r="548" spans="6:7" x14ac:dyDescent="0.25">
      <c r="F548" s="21" t="s">
        <v>1781</v>
      </c>
      <c r="G548" s="19">
        <v>42427233</v>
      </c>
    </row>
    <row r="549" spans="6:7" x14ac:dyDescent="0.25">
      <c r="F549" s="21" t="s">
        <v>2061</v>
      </c>
      <c r="G549" s="19">
        <v>4680984</v>
      </c>
    </row>
    <row r="550" spans="6:7" x14ac:dyDescent="0.25">
      <c r="F550" s="21" t="s">
        <v>2586</v>
      </c>
      <c r="G550" s="19">
        <v>29157547</v>
      </c>
    </row>
    <row r="551" spans="6:7" x14ac:dyDescent="0.25">
      <c r="F551" s="21" t="s">
        <v>2532</v>
      </c>
      <c r="G551" s="19">
        <v>36456413</v>
      </c>
    </row>
    <row r="552" spans="6:7" x14ac:dyDescent="0.25">
      <c r="F552" s="21" t="s">
        <v>1660</v>
      </c>
      <c r="G552" s="19">
        <v>2133563</v>
      </c>
    </row>
    <row r="553" spans="6:7" x14ac:dyDescent="0.25">
      <c r="F553" s="21" t="s">
        <v>2147</v>
      </c>
      <c r="G553" s="19">
        <v>6428637</v>
      </c>
    </row>
    <row r="554" spans="6:7" x14ac:dyDescent="0.25">
      <c r="F554" s="21" t="s">
        <v>1996</v>
      </c>
      <c r="G554" s="19">
        <v>12026792</v>
      </c>
    </row>
    <row r="555" spans="6:7" x14ac:dyDescent="0.25">
      <c r="F555" s="21" t="s">
        <v>2186</v>
      </c>
      <c r="G555" s="19">
        <v>25479579</v>
      </c>
    </row>
    <row r="556" spans="6:7" x14ac:dyDescent="0.25">
      <c r="F556" s="21" t="s">
        <v>2934</v>
      </c>
      <c r="G556" s="19">
        <v>34539943</v>
      </c>
    </row>
    <row r="557" spans="6:7" x14ac:dyDescent="0.25">
      <c r="F557" s="21" t="s">
        <v>2547</v>
      </c>
      <c r="G557" s="19">
        <v>42059708</v>
      </c>
    </row>
    <row r="558" spans="6:7" x14ac:dyDescent="0.25">
      <c r="F558" s="21" t="s">
        <v>2180</v>
      </c>
      <c r="G558" s="19">
        <v>47133116</v>
      </c>
    </row>
    <row r="559" spans="6:7" x14ac:dyDescent="0.25">
      <c r="F559" s="21" t="s">
        <v>2149</v>
      </c>
      <c r="G559" s="19">
        <v>43215485</v>
      </c>
    </row>
    <row r="560" spans="6:7" x14ac:dyDescent="0.25">
      <c r="F560" s="21" t="s">
        <v>2047</v>
      </c>
      <c r="G560" s="19">
        <v>17221369</v>
      </c>
    </row>
    <row r="561" spans="6:7" x14ac:dyDescent="0.25">
      <c r="F561" s="21" t="s">
        <v>1573</v>
      </c>
      <c r="G561" s="19">
        <v>47253322</v>
      </c>
    </row>
    <row r="562" spans="6:7" x14ac:dyDescent="0.25">
      <c r="F562" s="21" t="s">
        <v>2475</v>
      </c>
      <c r="G562" s="19">
        <v>38976623</v>
      </c>
    </row>
    <row r="563" spans="6:7" x14ac:dyDescent="0.25">
      <c r="F563" s="21" t="s">
        <v>1591</v>
      </c>
      <c r="G563" s="19">
        <v>3483031</v>
      </c>
    </row>
    <row r="564" spans="6:7" x14ac:dyDescent="0.25">
      <c r="F564" s="21" t="s">
        <v>1869</v>
      </c>
      <c r="G564" s="19">
        <v>6095265</v>
      </c>
    </row>
    <row r="565" spans="6:7" x14ac:dyDescent="0.25">
      <c r="F565" s="21" t="s">
        <v>2268</v>
      </c>
      <c r="G565" s="19">
        <v>23399428</v>
      </c>
    </row>
    <row r="566" spans="6:7" x14ac:dyDescent="0.25">
      <c r="F566" s="21" t="s">
        <v>2128</v>
      </c>
      <c r="G566" s="19">
        <v>5452766</v>
      </c>
    </row>
    <row r="567" spans="6:7" x14ac:dyDescent="0.25">
      <c r="F567" s="21" t="s">
        <v>2360</v>
      </c>
      <c r="G567" s="19">
        <v>1639912</v>
      </c>
    </row>
    <row r="568" spans="6:7" x14ac:dyDescent="0.25">
      <c r="F568" s="21" t="s">
        <v>2057</v>
      </c>
      <c r="G568" s="19">
        <v>14011459</v>
      </c>
    </row>
    <row r="569" spans="6:7" x14ac:dyDescent="0.25">
      <c r="F569" s="21" t="s">
        <v>1923</v>
      </c>
      <c r="G569" s="19">
        <v>22724638</v>
      </c>
    </row>
    <row r="570" spans="6:7" x14ac:dyDescent="0.25">
      <c r="F570" s="21" t="s">
        <v>2346</v>
      </c>
      <c r="G570" s="19">
        <v>6084612</v>
      </c>
    </row>
    <row r="571" spans="6:7" x14ac:dyDescent="0.25">
      <c r="F571" s="21" t="s">
        <v>2441</v>
      </c>
      <c r="G571" s="19">
        <v>11595333</v>
      </c>
    </row>
    <row r="572" spans="6:7" x14ac:dyDescent="0.25">
      <c r="F572" s="21" t="s">
        <v>2355</v>
      </c>
      <c r="G572" s="19">
        <v>45245414</v>
      </c>
    </row>
    <row r="573" spans="6:7" x14ac:dyDescent="0.25">
      <c r="F573" s="21" t="s">
        <v>1873</v>
      </c>
      <c r="G573" s="19">
        <v>29996112</v>
      </c>
    </row>
    <row r="574" spans="6:7" x14ac:dyDescent="0.25">
      <c r="F574" s="21" t="s">
        <v>2048</v>
      </c>
      <c r="G574" s="19">
        <v>19704963</v>
      </c>
    </row>
    <row r="575" spans="6:7" x14ac:dyDescent="0.25">
      <c r="F575" s="21" t="s">
        <v>2358</v>
      </c>
      <c r="G575" s="19">
        <v>39555955</v>
      </c>
    </row>
    <row r="576" spans="6:7" x14ac:dyDescent="0.25">
      <c r="F576" s="21" t="s">
        <v>2696</v>
      </c>
      <c r="G576" s="19">
        <v>5745706</v>
      </c>
    </row>
    <row r="577" spans="6:7" x14ac:dyDescent="0.25">
      <c r="F577" s="21" t="s">
        <v>1884</v>
      </c>
      <c r="G577" s="19">
        <v>36331303</v>
      </c>
    </row>
    <row r="578" spans="6:7" x14ac:dyDescent="0.25">
      <c r="F578" s="21" t="s">
        <v>1704</v>
      </c>
      <c r="G578" s="19">
        <v>9765267</v>
      </c>
    </row>
    <row r="579" spans="6:7" x14ac:dyDescent="0.25">
      <c r="F579" s="21" t="s">
        <v>1726</v>
      </c>
      <c r="G579" s="19">
        <v>7830592</v>
      </c>
    </row>
    <row r="580" spans="6:7" x14ac:dyDescent="0.25">
      <c r="F580" s="21" t="s">
        <v>1531</v>
      </c>
      <c r="G580" s="19">
        <v>14148496</v>
      </c>
    </row>
    <row r="581" spans="6:7" x14ac:dyDescent="0.25">
      <c r="F581" s="21" t="s">
        <v>2711</v>
      </c>
      <c r="G581" s="19">
        <v>46658305</v>
      </c>
    </row>
    <row r="582" spans="6:7" x14ac:dyDescent="0.25">
      <c r="F582" s="21" t="s">
        <v>3004</v>
      </c>
      <c r="G582" s="19">
        <v>165730</v>
      </c>
    </row>
    <row r="583" spans="6:7" x14ac:dyDescent="0.25">
      <c r="F583" s="21" t="s">
        <v>2993</v>
      </c>
      <c r="G583" s="19">
        <v>45753535</v>
      </c>
    </row>
    <row r="584" spans="6:7" x14ac:dyDescent="0.25">
      <c r="F584" s="21" t="s">
        <v>2661</v>
      </c>
      <c r="G584" s="19">
        <v>18848095</v>
      </c>
    </row>
    <row r="585" spans="6:7" x14ac:dyDescent="0.25">
      <c r="F585" s="21" t="s">
        <v>2688</v>
      </c>
      <c r="G585" s="19">
        <v>4547728</v>
      </c>
    </row>
    <row r="586" spans="6:7" x14ac:dyDescent="0.25">
      <c r="F586" s="21" t="s">
        <v>1670</v>
      </c>
      <c r="G586" s="19">
        <v>26201673</v>
      </c>
    </row>
    <row r="587" spans="6:7" x14ac:dyDescent="0.25">
      <c r="F587" s="21" t="s">
        <v>1899</v>
      </c>
      <c r="G587" s="19">
        <v>20874319</v>
      </c>
    </row>
    <row r="588" spans="6:7" x14ac:dyDescent="0.25">
      <c r="F588" s="21" t="s">
        <v>2660</v>
      </c>
      <c r="G588" s="19">
        <v>8979693</v>
      </c>
    </row>
    <row r="589" spans="6:7" x14ac:dyDescent="0.25">
      <c r="F589" s="21" t="s">
        <v>2241</v>
      </c>
      <c r="G589" s="19">
        <v>3335239</v>
      </c>
    </row>
    <row r="590" spans="6:7" x14ac:dyDescent="0.25">
      <c r="F590" s="21" t="s">
        <v>2322</v>
      </c>
      <c r="G590" s="19">
        <v>12433619</v>
      </c>
    </row>
    <row r="591" spans="6:7" x14ac:dyDescent="0.25">
      <c r="F591" s="21" t="s">
        <v>2822</v>
      </c>
      <c r="G591" s="19">
        <v>3951046</v>
      </c>
    </row>
    <row r="592" spans="6:7" x14ac:dyDescent="0.25">
      <c r="F592" s="21" t="s">
        <v>1544</v>
      </c>
      <c r="G592" s="19">
        <v>36716058</v>
      </c>
    </row>
    <row r="593" spans="6:7" x14ac:dyDescent="0.25">
      <c r="F593" s="21" t="s">
        <v>2559</v>
      </c>
      <c r="G593" s="19">
        <v>30704231</v>
      </c>
    </row>
    <row r="594" spans="6:7" x14ac:dyDescent="0.25">
      <c r="F594" s="21" t="s">
        <v>2898</v>
      </c>
      <c r="G594" s="19">
        <v>27530684</v>
      </c>
    </row>
    <row r="595" spans="6:7" x14ac:dyDescent="0.25">
      <c r="F595" s="21" t="s">
        <v>1863</v>
      </c>
      <c r="G595" s="19">
        <v>7206043</v>
      </c>
    </row>
    <row r="596" spans="6:7" x14ac:dyDescent="0.25">
      <c r="F596" s="21" t="s">
        <v>2363</v>
      </c>
      <c r="G596" s="19">
        <v>45249408</v>
      </c>
    </row>
    <row r="597" spans="6:7" x14ac:dyDescent="0.25">
      <c r="F597" s="21" t="s">
        <v>2121</v>
      </c>
      <c r="G597" s="19">
        <v>12546607</v>
      </c>
    </row>
    <row r="598" spans="6:7" x14ac:dyDescent="0.25">
      <c r="F598" s="21" t="s">
        <v>1829</v>
      </c>
      <c r="G598" s="19">
        <v>2137172</v>
      </c>
    </row>
    <row r="599" spans="6:7" x14ac:dyDescent="0.25">
      <c r="F599" s="21" t="s">
        <v>2089</v>
      </c>
      <c r="G599" s="19">
        <v>34773203</v>
      </c>
    </row>
    <row r="600" spans="6:7" x14ac:dyDescent="0.25">
      <c r="F600" s="21" t="s">
        <v>1950</v>
      </c>
      <c r="G600" s="19">
        <v>20308484</v>
      </c>
    </row>
    <row r="601" spans="6:7" x14ac:dyDescent="0.25">
      <c r="F601" s="21" t="s">
        <v>2279</v>
      </c>
      <c r="G601" s="19">
        <v>24450568</v>
      </c>
    </row>
    <row r="602" spans="6:7" x14ac:dyDescent="0.25">
      <c r="F602" s="21" t="s">
        <v>1537</v>
      </c>
      <c r="G602" s="19">
        <v>19846754</v>
      </c>
    </row>
    <row r="603" spans="6:7" x14ac:dyDescent="0.25">
      <c r="F603" s="21" t="s">
        <v>2073</v>
      </c>
      <c r="G603" s="19">
        <v>1892253</v>
      </c>
    </row>
    <row r="604" spans="6:7" x14ac:dyDescent="0.25">
      <c r="F604" s="21" t="s">
        <v>1680</v>
      </c>
      <c r="G604" s="19">
        <v>23932233</v>
      </c>
    </row>
    <row r="605" spans="6:7" x14ac:dyDescent="0.25">
      <c r="F605" s="21" t="s">
        <v>1825</v>
      </c>
      <c r="G605" s="19">
        <v>37253153</v>
      </c>
    </row>
    <row r="606" spans="6:7" x14ac:dyDescent="0.25">
      <c r="F606" s="21" t="s">
        <v>2921</v>
      </c>
      <c r="G606" s="19">
        <v>10686363</v>
      </c>
    </row>
    <row r="607" spans="6:7" x14ac:dyDescent="0.25">
      <c r="F607" s="21" t="s">
        <v>2308</v>
      </c>
      <c r="G607" s="19">
        <v>27774482</v>
      </c>
    </row>
    <row r="608" spans="6:7" x14ac:dyDescent="0.25">
      <c r="F608" s="21" t="s">
        <v>1798</v>
      </c>
      <c r="G608" s="19">
        <v>20694007</v>
      </c>
    </row>
    <row r="609" spans="6:7" x14ac:dyDescent="0.25">
      <c r="F609" s="21" t="s">
        <v>1920</v>
      </c>
      <c r="G609" s="19">
        <v>33240854</v>
      </c>
    </row>
    <row r="610" spans="6:7" x14ac:dyDescent="0.25">
      <c r="F610" s="21" t="s">
        <v>2567</v>
      </c>
      <c r="G610" s="19">
        <v>26398484</v>
      </c>
    </row>
    <row r="611" spans="6:7" x14ac:dyDescent="0.25">
      <c r="F611" s="21" t="s">
        <v>2148</v>
      </c>
      <c r="G611" s="19">
        <v>31520421</v>
      </c>
    </row>
    <row r="612" spans="6:7" x14ac:dyDescent="0.25">
      <c r="F612" s="21" t="s">
        <v>2992</v>
      </c>
      <c r="G612" s="19">
        <v>2002142</v>
      </c>
    </row>
    <row r="613" spans="6:7" x14ac:dyDescent="0.25">
      <c r="F613" s="21" t="s">
        <v>2068</v>
      </c>
      <c r="G613" s="19">
        <v>19324216</v>
      </c>
    </row>
    <row r="614" spans="6:7" x14ac:dyDescent="0.25">
      <c r="F614" s="21" t="s">
        <v>2215</v>
      </c>
      <c r="G614" s="19">
        <v>7427612</v>
      </c>
    </row>
    <row r="615" spans="6:7" x14ac:dyDescent="0.25">
      <c r="F615" s="21" t="s">
        <v>1958</v>
      </c>
      <c r="G615" s="19">
        <v>43267549</v>
      </c>
    </row>
    <row r="616" spans="6:7" x14ac:dyDescent="0.25">
      <c r="F616" s="21" t="s">
        <v>2112</v>
      </c>
      <c r="G616" s="19">
        <v>2469776</v>
      </c>
    </row>
    <row r="617" spans="6:7" x14ac:dyDescent="0.25">
      <c r="F617" s="21" t="s">
        <v>1835</v>
      </c>
      <c r="G617" s="19">
        <v>16423695</v>
      </c>
    </row>
    <row r="618" spans="6:7" x14ac:dyDescent="0.25">
      <c r="F618" s="21" t="s">
        <v>2623</v>
      </c>
      <c r="G618" s="19">
        <v>32538761</v>
      </c>
    </row>
    <row r="619" spans="6:7" x14ac:dyDescent="0.25">
      <c r="F619" s="21" t="s">
        <v>2188</v>
      </c>
      <c r="G619" s="19">
        <v>35069239</v>
      </c>
    </row>
    <row r="620" spans="6:7" x14ac:dyDescent="0.25">
      <c r="F620" s="21" t="s">
        <v>1936</v>
      </c>
      <c r="G620" s="19">
        <v>44828208</v>
      </c>
    </row>
    <row r="621" spans="6:7" x14ac:dyDescent="0.25">
      <c r="F621" s="21" t="s">
        <v>2528</v>
      </c>
      <c r="G621" s="19">
        <v>29024138</v>
      </c>
    </row>
    <row r="622" spans="6:7" x14ac:dyDescent="0.25">
      <c r="F622" s="21" t="s">
        <v>2093</v>
      </c>
      <c r="G622" s="19">
        <v>45237626</v>
      </c>
    </row>
    <row r="623" spans="6:7" x14ac:dyDescent="0.25">
      <c r="F623" s="21" t="s">
        <v>2428</v>
      </c>
      <c r="G623" s="19">
        <v>2649861</v>
      </c>
    </row>
    <row r="624" spans="6:7" x14ac:dyDescent="0.25">
      <c r="F624" s="21" t="s">
        <v>3015</v>
      </c>
      <c r="G624" s="19">
        <v>37063847</v>
      </c>
    </row>
    <row r="625" spans="6:7" x14ac:dyDescent="0.25">
      <c r="F625" s="21" t="s">
        <v>2734</v>
      </c>
      <c r="G625" s="19">
        <v>34485525</v>
      </c>
    </row>
    <row r="626" spans="6:7" x14ac:dyDescent="0.25">
      <c r="F626" s="21" t="s">
        <v>2575</v>
      </c>
      <c r="G626" s="19">
        <v>45151902</v>
      </c>
    </row>
    <row r="627" spans="6:7" x14ac:dyDescent="0.25">
      <c r="F627" s="21" t="s">
        <v>2702</v>
      </c>
      <c r="G627" s="19">
        <v>23837559</v>
      </c>
    </row>
    <row r="628" spans="6:7" x14ac:dyDescent="0.25">
      <c r="F628" s="21" t="s">
        <v>2620</v>
      </c>
      <c r="G628" s="19">
        <v>41057557</v>
      </c>
    </row>
    <row r="629" spans="6:7" x14ac:dyDescent="0.25">
      <c r="F629" s="21" t="s">
        <v>2317</v>
      </c>
      <c r="G629" s="19">
        <v>20440853</v>
      </c>
    </row>
    <row r="630" spans="6:7" x14ac:dyDescent="0.25">
      <c r="F630" s="21" t="s">
        <v>1580</v>
      </c>
      <c r="G630" s="19">
        <v>46343668</v>
      </c>
    </row>
    <row r="631" spans="6:7" x14ac:dyDescent="0.25">
      <c r="F631" s="21" t="s">
        <v>2522</v>
      </c>
      <c r="G631" s="19">
        <v>6425612</v>
      </c>
    </row>
    <row r="632" spans="6:7" x14ac:dyDescent="0.25">
      <c r="F632" s="21" t="s">
        <v>1693</v>
      </c>
      <c r="G632" s="19">
        <v>8703547</v>
      </c>
    </row>
    <row r="633" spans="6:7" x14ac:dyDescent="0.25">
      <c r="F633" s="21" t="s">
        <v>2238</v>
      </c>
      <c r="G633" s="19">
        <v>36873708</v>
      </c>
    </row>
    <row r="634" spans="6:7" x14ac:dyDescent="0.25">
      <c r="F634" s="21" t="s">
        <v>2848</v>
      </c>
      <c r="G634" s="19">
        <v>17555532</v>
      </c>
    </row>
    <row r="635" spans="6:7" x14ac:dyDescent="0.25">
      <c r="F635" s="21" t="s">
        <v>2681</v>
      </c>
      <c r="G635" s="19">
        <v>7610404</v>
      </c>
    </row>
    <row r="636" spans="6:7" x14ac:dyDescent="0.25">
      <c r="F636" s="21" t="s">
        <v>2652</v>
      </c>
      <c r="G636" s="19">
        <v>34756553</v>
      </c>
    </row>
    <row r="637" spans="6:7" x14ac:dyDescent="0.25">
      <c r="F637" s="21" t="s">
        <v>2643</v>
      </c>
      <c r="G637" s="19">
        <v>15772478</v>
      </c>
    </row>
    <row r="638" spans="6:7" x14ac:dyDescent="0.25">
      <c r="F638" s="21" t="s">
        <v>2751</v>
      </c>
      <c r="G638" s="19">
        <v>38479004</v>
      </c>
    </row>
    <row r="639" spans="6:7" x14ac:dyDescent="0.25">
      <c r="F639" s="21" t="s">
        <v>2779</v>
      </c>
      <c r="G639" s="19">
        <v>40547512</v>
      </c>
    </row>
    <row r="640" spans="6:7" x14ac:dyDescent="0.25">
      <c r="F640" s="21" t="s">
        <v>1965</v>
      </c>
      <c r="G640" s="19">
        <v>12157145</v>
      </c>
    </row>
    <row r="641" spans="6:7" x14ac:dyDescent="0.25">
      <c r="F641" s="21" t="s">
        <v>1817</v>
      </c>
      <c r="G641" s="19">
        <v>4899837</v>
      </c>
    </row>
    <row r="642" spans="6:7" x14ac:dyDescent="0.25">
      <c r="F642" s="21" t="s">
        <v>2903</v>
      </c>
      <c r="G642" s="19">
        <v>3856821</v>
      </c>
    </row>
    <row r="643" spans="6:7" x14ac:dyDescent="0.25">
      <c r="F643" s="21" t="s">
        <v>2025</v>
      </c>
      <c r="G643" s="19">
        <v>2893252</v>
      </c>
    </row>
    <row r="644" spans="6:7" x14ac:dyDescent="0.25">
      <c r="F644" s="21" t="s">
        <v>1636</v>
      </c>
      <c r="G644" s="19">
        <v>36035823</v>
      </c>
    </row>
    <row r="645" spans="6:7" x14ac:dyDescent="0.25">
      <c r="F645" s="21" t="s">
        <v>2340</v>
      </c>
      <c r="G645" s="19">
        <v>4576773</v>
      </c>
    </row>
    <row r="646" spans="6:7" x14ac:dyDescent="0.25">
      <c r="F646" s="21" t="s">
        <v>1982</v>
      </c>
      <c r="G646" s="19">
        <v>45769222</v>
      </c>
    </row>
    <row r="647" spans="6:7" x14ac:dyDescent="0.25">
      <c r="F647" s="21" t="s">
        <v>1603</v>
      </c>
      <c r="G647" s="19">
        <v>27649269</v>
      </c>
    </row>
    <row r="648" spans="6:7" x14ac:dyDescent="0.25">
      <c r="F648" s="21" t="s">
        <v>2107</v>
      </c>
      <c r="G648" s="19">
        <v>19777497</v>
      </c>
    </row>
    <row r="649" spans="6:7" x14ac:dyDescent="0.25">
      <c r="F649" s="21" t="s">
        <v>2334</v>
      </c>
      <c r="G649" s="19">
        <v>23371031</v>
      </c>
    </row>
    <row r="650" spans="6:7" x14ac:dyDescent="0.25">
      <c r="F650" s="21" t="s">
        <v>1806</v>
      </c>
      <c r="G650" s="19">
        <v>12642797</v>
      </c>
    </row>
    <row r="651" spans="6:7" x14ac:dyDescent="0.25">
      <c r="F651" s="21" t="s">
        <v>2827</v>
      </c>
      <c r="G651" s="19">
        <v>1723784</v>
      </c>
    </row>
    <row r="652" spans="6:7" x14ac:dyDescent="0.25">
      <c r="F652" s="21" t="s">
        <v>2994</v>
      </c>
      <c r="G652" s="19">
        <v>30628977</v>
      </c>
    </row>
    <row r="653" spans="6:7" x14ac:dyDescent="0.25">
      <c r="F653" s="21" t="s">
        <v>1715</v>
      </c>
      <c r="G653" s="19">
        <v>1329924</v>
      </c>
    </row>
    <row r="654" spans="6:7" x14ac:dyDescent="0.25">
      <c r="F654" s="21" t="s">
        <v>1724</v>
      </c>
      <c r="G654" s="19">
        <v>37372653</v>
      </c>
    </row>
    <row r="655" spans="6:7" x14ac:dyDescent="0.25">
      <c r="F655" s="21" t="s">
        <v>2249</v>
      </c>
      <c r="G655" s="19">
        <v>27799117</v>
      </c>
    </row>
    <row r="656" spans="6:7" x14ac:dyDescent="0.25">
      <c r="F656" s="21" t="s">
        <v>1916</v>
      </c>
      <c r="G656" s="19">
        <v>10478845</v>
      </c>
    </row>
    <row r="657" spans="6:7" x14ac:dyDescent="0.25">
      <c r="F657" s="21" t="s">
        <v>2506</v>
      </c>
      <c r="G657" s="19">
        <v>34804794</v>
      </c>
    </row>
    <row r="658" spans="6:7" x14ac:dyDescent="0.25">
      <c r="F658" s="21" t="s">
        <v>2383</v>
      </c>
      <c r="G658" s="19">
        <v>16837499</v>
      </c>
    </row>
    <row r="659" spans="6:7" x14ac:dyDescent="0.25">
      <c r="F659" s="21" t="s">
        <v>1776</v>
      </c>
      <c r="G659" s="19">
        <v>35847459</v>
      </c>
    </row>
    <row r="660" spans="6:7" x14ac:dyDescent="0.25">
      <c r="F660" s="21" t="s">
        <v>2429</v>
      </c>
      <c r="G660" s="19">
        <v>1352272</v>
      </c>
    </row>
    <row r="661" spans="6:7" x14ac:dyDescent="0.25">
      <c r="F661" s="21" t="s">
        <v>2980</v>
      </c>
      <c r="G661" s="19">
        <v>29902854</v>
      </c>
    </row>
    <row r="662" spans="6:7" x14ac:dyDescent="0.25">
      <c r="F662" s="21" t="s">
        <v>1631</v>
      </c>
      <c r="G662" s="19">
        <v>2216055</v>
      </c>
    </row>
    <row r="663" spans="6:7" x14ac:dyDescent="0.25">
      <c r="F663" s="21" t="s">
        <v>1879</v>
      </c>
      <c r="G663" s="19">
        <v>48350073</v>
      </c>
    </row>
    <row r="664" spans="6:7" x14ac:dyDescent="0.25">
      <c r="F664" s="21" t="s">
        <v>2375</v>
      </c>
      <c r="G664" s="19">
        <v>46660318</v>
      </c>
    </row>
    <row r="665" spans="6:7" x14ac:dyDescent="0.25">
      <c r="F665" s="21" t="s">
        <v>2399</v>
      </c>
      <c r="G665" s="19">
        <v>10252123</v>
      </c>
    </row>
    <row r="666" spans="6:7" x14ac:dyDescent="0.25">
      <c r="F666" s="21" t="s">
        <v>2415</v>
      </c>
      <c r="G666" s="19">
        <v>4428187</v>
      </c>
    </row>
    <row r="667" spans="6:7" x14ac:dyDescent="0.25">
      <c r="F667" s="21" t="s">
        <v>1837</v>
      </c>
      <c r="G667" s="19">
        <v>36400546</v>
      </c>
    </row>
    <row r="668" spans="6:7" x14ac:dyDescent="0.25">
      <c r="F668" s="21" t="s">
        <v>2081</v>
      </c>
      <c r="G668" s="19">
        <v>46033742</v>
      </c>
    </row>
    <row r="669" spans="6:7" x14ac:dyDescent="0.25">
      <c r="F669" s="21" t="s">
        <v>2954</v>
      </c>
      <c r="G669" s="19">
        <v>7055604</v>
      </c>
    </row>
    <row r="670" spans="6:7" x14ac:dyDescent="0.25">
      <c r="F670" s="21" t="s">
        <v>2224</v>
      </c>
      <c r="G670" s="19">
        <v>26806533</v>
      </c>
    </row>
    <row r="671" spans="6:7" x14ac:dyDescent="0.25">
      <c r="F671" s="21" t="s">
        <v>2804</v>
      </c>
      <c r="G671" s="19">
        <v>46026945</v>
      </c>
    </row>
    <row r="672" spans="6:7" x14ac:dyDescent="0.25">
      <c r="F672" s="21" t="s">
        <v>2497</v>
      </c>
      <c r="G672" s="19">
        <v>811502</v>
      </c>
    </row>
    <row r="673" spans="6:7" x14ac:dyDescent="0.25">
      <c r="F673" s="21" t="s">
        <v>2286</v>
      </c>
      <c r="G673" s="19">
        <v>19989303</v>
      </c>
    </row>
    <row r="674" spans="6:7" x14ac:dyDescent="0.25">
      <c r="F674" s="21" t="s">
        <v>1880</v>
      </c>
      <c r="G674" s="19">
        <v>29196534</v>
      </c>
    </row>
    <row r="675" spans="6:7" x14ac:dyDescent="0.25">
      <c r="F675" s="21" t="s">
        <v>2430</v>
      </c>
      <c r="G675" s="19">
        <v>46578589</v>
      </c>
    </row>
    <row r="676" spans="6:7" x14ac:dyDescent="0.25">
      <c r="F676" s="21" t="s">
        <v>2811</v>
      </c>
      <c r="G676" s="19">
        <v>5950431</v>
      </c>
    </row>
    <row r="677" spans="6:7" x14ac:dyDescent="0.25">
      <c r="F677" s="21" t="s">
        <v>1653</v>
      </c>
      <c r="G677" s="19">
        <v>3044149</v>
      </c>
    </row>
    <row r="678" spans="6:7" x14ac:dyDescent="0.25">
      <c r="F678" s="21" t="s">
        <v>2534</v>
      </c>
      <c r="G678" s="19">
        <v>1605591</v>
      </c>
    </row>
    <row r="679" spans="6:7" x14ac:dyDescent="0.25">
      <c r="F679" s="21" t="s">
        <v>2518</v>
      </c>
      <c r="G679" s="19">
        <v>1559018</v>
      </c>
    </row>
    <row r="680" spans="6:7" x14ac:dyDescent="0.25">
      <c r="F680" s="21" t="s">
        <v>2881</v>
      </c>
      <c r="G680" s="19">
        <v>33048458</v>
      </c>
    </row>
    <row r="681" spans="6:7" x14ac:dyDescent="0.25">
      <c r="F681" s="21" t="s">
        <v>1824</v>
      </c>
      <c r="G681" s="19">
        <v>16465644</v>
      </c>
    </row>
    <row r="682" spans="6:7" x14ac:dyDescent="0.25">
      <c r="F682" s="21" t="s">
        <v>2942</v>
      </c>
      <c r="G682" s="19">
        <v>21964282</v>
      </c>
    </row>
    <row r="683" spans="6:7" x14ac:dyDescent="0.25">
      <c r="F683" s="21" t="s">
        <v>1564</v>
      </c>
      <c r="G683" s="19">
        <v>2011788</v>
      </c>
    </row>
    <row r="684" spans="6:7" x14ac:dyDescent="0.25">
      <c r="F684" s="21" t="s">
        <v>1750</v>
      </c>
      <c r="G684" s="19">
        <v>10434045</v>
      </c>
    </row>
    <row r="685" spans="6:7" x14ac:dyDescent="0.25">
      <c r="F685" s="21" t="s">
        <v>2356</v>
      </c>
      <c r="G685" s="19">
        <v>1833653</v>
      </c>
    </row>
    <row r="686" spans="6:7" x14ac:dyDescent="0.25">
      <c r="F686" s="21" t="s">
        <v>2289</v>
      </c>
      <c r="G686" s="19">
        <v>4497878</v>
      </c>
    </row>
    <row r="687" spans="6:7" x14ac:dyDescent="0.25">
      <c r="F687" s="21" t="s">
        <v>2904</v>
      </c>
      <c r="G687" s="19">
        <v>12226912</v>
      </c>
    </row>
    <row r="688" spans="6:7" x14ac:dyDescent="0.25">
      <c r="F688" s="21" t="s">
        <v>1705</v>
      </c>
      <c r="G688" s="19">
        <v>27483496</v>
      </c>
    </row>
    <row r="689" spans="6:7" x14ac:dyDescent="0.25">
      <c r="F689" s="21" t="s">
        <v>2335</v>
      </c>
      <c r="G689" s="19">
        <v>38040999</v>
      </c>
    </row>
    <row r="690" spans="6:7" x14ac:dyDescent="0.25">
      <c r="F690" s="21" t="s">
        <v>1972</v>
      </c>
      <c r="G690" s="19">
        <v>39736995</v>
      </c>
    </row>
    <row r="691" spans="6:7" x14ac:dyDescent="0.25">
      <c r="F691" s="21" t="s">
        <v>2570</v>
      </c>
      <c r="G691" s="19">
        <v>23769784</v>
      </c>
    </row>
    <row r="692" spans="6:7" x14ac:dyDescent="0.25">
      <c r="F692" s="21" t="s">
        <v>2786</v>
      </c>
      <c r="G692" s="19">
        <v>21155088</v>
      </c>
    </row>
    <row r="693" spans="6:7" x14ac:dyDescent="0.25">
      <c r="F693" s="21" t="s">
        <v>2864</v>
      </c>
      <c r="G693" s="19">
        <v>27108739</v>
      </c>
    </row>
    <row r="694" spans="6:7" x14ac:dyDescent="0.25">
      <c r="F694" s="21" t="s">
        <v>2882</v>
      </c>
      <c r="G694" s="19">
        <v>1100808</v>
      </c>
    </row>
    <row r="695" spans="6:7" x14ac:dyDescent="0.25">
      <c r="F695" s="21" t="s">
        <v>3023</v>
      </c>
      <c r="G695" s="19">
        <v>22982569</v>
      </c>
    </row>
    <row r="696" spans="6:7" x14ac:dyDescent="0.25">
      <c r="F696" s="21" t="s">
        <v>2136</v>
      </c>
      <c r="G696" s="19">
        <v>26118402</v>
      </c>
    </row>
    <row r="697" spans="6:7" x14ac:dyDescent="0.25">
      <c r="F697" s="21" t="s">
        <v>1939</v>
      </c>
      <c r="G697" s="19">
        <v>18124062</v>
      </c>
    </row>
    <row r="698" spans="6:7" x14ac:dyDescent="0.25">
      <c r="F698" s="21" t="s">
        <v>2447</v>
      </c>
      <c r="G698" s="19">
        <v>3978887</v>
      </c>
    </row>
    <row r="699" spans="6:7" x14ac:dyDescent="0.25">
      <c r="F699" s="21" t="s">
        <v>2168</v>
      </c>
      <c r="G699" s="19">
        <v>27963797</v>
      </c>
    </row>
    <row r="700" spans="6:7" x14ac:dyDescent="0.25">
      <c r="F700" s="21" t="s">
        <v>2438</v>
      </c>
      <c r="G700" s="19">
        <v>7846377</v>
      </c>
    </row>
    <row r="701" spans="6:7" x14ac:dyDescent="0.25">
      <c r="F701" s="21" t="s">
        <v>2523</v>
      </c>
      <c r="G701" s="19">
        <v>4003982</v>
      </c>
    </row>
    <row r="702" spans="6:7" x14ac:dyDescent="0.25">
      <c r="F702" s="21" t="s">
        <v>1827</v>
      </c>
      <c r="G702" s="19">
        <v>9063162</v>
      </c>
    </row>
    <row r="703" spans="6:7" x14ac:dyDescent="0.25">
      <c r="F703" s="21" t="s">
        <v>2556</v>
      </c>
      <c r="G703" s="19">
        <v>18085617</v>
      </c>
    </row>
    <row r="704" spans="6:7" x14ac:dyDescent="0.25">
      <c r="F704" s="21" t="s">
        <v>1748</v>
      </c>
      <c r="G704" s="19">
        <v>4419467</v>
      </c>
    </row>
    <row r="705" spans="6:7" x14ac:dyDescent="0.25">
      <c r="F705" s="21" t="s">
        <v>1571</v>
      </c>
      <c r="G705" s="19">
        <v>17216935</v>
      </c>
    </row>
    <row r="706" spans="6:7" x14ac:dyDescent="0.25">
      <c r="F706" s="21" t="s">
        <v>1927</v>
      </c>
      <c r="G706" s="19">
        <v>6635217</v>
      </c>
    </row>
    <row r="707" spans="6:7" x14ac:dyDescent="0.25">
      <c r="F707" s="21" t="s">
        <v>2477</v>
      </c>
      <c r="G707" s="19">
        <v>2610257</v>
      </c>
    </row>
    <row r="708" spans="6:7" x14ac:dyDescent="0.25">
      <c r="F708" s="21" t="s">
        <v>1885</v>
      </c>
      <c r="G708" s="19">
        <v>39827084</v>
      </c>
    </row>
    <row r="709" spans="6:7" x14ac:dyDescent="0.25">
      <c r="F709" s="21" t="s">
        <v>2878</v>
      </c>
      <c r="G709" s="19">
        <v>39371584</v>
      </c>
    </row>
    <row r="710" spans="6:7" x14ac:dyDescent="0.25">
      <c r="F710" s="21" t="s">
        <v>1548</v>
      </c>
      <c r="G710" s="19">
        <v>43451569</v>
      </c>
    </row>
    <row r="711" spans="6:7" x14ac:dyDescent="0.25">
      <c r="F711" s="21" t="s">
        <v>1811</v>
      </c>
      <c r="G711" s="19">
        <v>3507131</v>
      </c>
    </row>
    <row r="712" spans="6:7" x14ac:dyDescent="0.25">
      <c r="F712" s="21" t="s">
        <v>2272</v>
      </c>
      <c r="G712" s="19">
        <v>11948962</v>
      </c>
    </row>
    <row r="713" spans="6:7" x14ac:dyDescent="0.25">
      <c r="F713" s="21" t="s">
        <v>1619</v>
      </c>
      <c r="G713" s="19">
        <v>37465975</v>
      </c>
    </row>
    <row r="714" spans="6:7" x14ac:dyDescent="0.25">
      <c r="F714" s="21" t="s">
        <v>1652</v>
      </c>
      <c r="G714" s="19">
        <v>11384071</v>
      </c>
    </row>
    <row r="715" spans="6:7" x14ac:dyDescent="0.25">
      <c r="F715" s="21" t="s">
        <v>1858</v>
      </c>
      <c r="G715" s="19">
        <v>31071281</v>
      </c>
    </row>
    <row r="716" spans="6:7" x14ac:dyDescent="0.25">
      <c r="F716" s="21" t="s">
        <v>2212</v>
      </c>
      <c r="G716" s="19">
        <v>29653022</v>
      </c>
    </row>
    <row r="717" spans="6:7" x14ac:dyDescent="0.25">
      <c r="F717" s="21" t="s">
        <v>2807</v>
      </c>
      <c r="G717" s="19">
        <v>21840314</v>
      </c>
    </row>
    <row r="718" spans="6:7" x14ac:dyDescent="0.25">
      <c r="F718" s="21" t="s">
        <v>2781</v>
      </c>
      <c r="G718" s="19">
        <v>40802124</v>
      </c>
    </row>
    <row r="719" spans="6:7" x14ac:dyDescent="0.25">
      <c r="F719" s="21" t="s">
        <v>2817</v>
      </c>
      <c r="G719" s="19">
        <v>38038416</v>
      </c>
    </row>
    <row r="720" spans="6:7" x14ac:dyDescent="0.25">
      <c r="F720" s="21" t="s">
        <v>2630</v>
      </c>
      <c r="G720" s="19">
        <v>14333334</v>
      </c>
    </row>
    <row r="721" spans="6:7" x14ac:dyDescent="0.25">
      <c r="F721" s="21" t="s">
        <v>2947</v>
      </c>
      <c r="G721" s="19">
        <v>33527486</v>
      </c>
    </row>
    <row r="722" spans="6:7" x14ac:dyDescent="0.25">
      <c r="F722" s="21" t="s">
        <v>2529</v>
      </c>
      <c r="G722" s="19">
        <v>43031024</v>
      </c>
    </row>
    <row r="723" spans="6:7" x14ac:dyDescent="0.25">
      <c r="F723" s="21" t="s">
        <v>1554</v>
      </c>
      <c r="G723" s="19">
        <v>36792261</v>
      </c>
    </row>
    <row r="724" spans="6:7" x14ac:dyDescent="0.25">
      <c r="F724" s="21" t="s">
        <v>2990</v>
      </c>
      <c r="G724" s="19">
        <v>37929725</v>
      </c>
    </row>
    <row r="725" spans="6:7" x14ac:dyDescent="0.25">
      <c r="F725" s="21" t="s">
        <v>1915</v>
      </c>
      <c r="G725" s="19">
        <v>38211149</v>
      </c>
    </row>
    <row r="726" spans="6:7" x14ac:dyDescent="0.25">
      <c r="F726" s="21" t="s">
        <v>1689</v>
      </c>
      <c r="G726" s="19">
        <v>1926798</v>
      </c>
    </row>
    <row r="727" spans="6:7" x14ac:dyDescent="0.25">
      <c r="F727" s="21" t="s">
        <v>2151</v>
      </c>
      <c r="G727" s="19">
        <v>47619544</v>
      </c>
    </row>
    <row r="728" spans="6:7" x14ac:dyDescent="0.25">
      <c r="F728" s="21" t="s">
        <v>2288</v>
      </c>
      <c r="G728" s="19">
        <v>30121953</v>
      </c>
    </row>
    <row r="729" spans="6:7" x14ac:dyDescent="0.25">
      <c r="F729" s="21" t="s">
        <v>1943</v>
      </c>
      <c r="G729" s="19">
        <v>15509666</v>
      </c>
    </row>
    <row r="730" spans="6:7" x14ac:dyDescent="0.25">
      <c r="F730" s="21" t="s">
        <v>1609</v>
      </c>
      <c r="G730" s="19">
        <v>32690023</v>
      </c>
    </row>
    <row r="731" spans="6:7" x14ac:dyDescent="0.25">
      <c r="F731" s="21" t="s">
        <v>2004</v>
      </c>
      <c r="G731" s="19">
        <v>1045108</v>
      </c>
    </row>
    <row r="732" spans="6:7" x14ac:dyDescent="0.25">
      <c r="F732" s="21" t="s">
        <v>2492</v>
      </c>
      <c r="G732" s="19">
        <v>41004745</v>
      </c>
    </row>
    <row r="733" spans="6:7" x14ac:dyDescent="0.25">
      <c r="F733" s="21" t="s">
        <v>2397</v>
      </c>
      <c r="G733" s="19">
        <v>41874618</v>
      </c>
    </row>
    <row r="734" spans="6:7" x14ac:dyDescent="0.25">
      <c r="F734" s="21" t="s">
        <v>1924</v>
      </c>
      <c r="G734" s="19">
        <v>16554619</v>
      </c>
    </row>
    <row r="735" spans="6:7" x14ac:dyDescent="0.25">
      <c r="F735" s="21" t="s">
        <v>2448</v>
      </c>
      <c r="G735" s="19">
        <v>40687253</v>
      </c>
    </row>
    <row r="736" spans="6:7" x14ac:dyDescent="0.25">
      <c r="F736" s="21" t="s">
        <v>2109</v>
      </c>
      <c r="G736" s="19">
        <v>34840971</v>
      </c>
    </row>
    <row r="737" spans="6:7" x14ac:dyDescent="0.25">
      <c r="F737" s="21" t="s">
        <v>2332</v>
      </c>
      <c r="G737" s="19">
        <v>45956914</v>
      </c>
    </row>
    <row r="738" spans="6:7" x14ac:dyDescent="0.25">
      <c r="F738" s="21" t="s">
        <v>2474</v>
      </c>
      <c r="G738" s="19">
        <v>26935703</v>
      </c>
    </row>
    <row r="739" spans="6:7" x14ac:dyDescent="0.25">
      <c r="F739" s="21" t="s">
        <v>1822</v>
      </c>
      <c r="G739" s="19">
        <v>1644863</v>
      </c>
    </row>
    <row r="740" spans="6:7" x14ac:dyDescent="0.25">
      <c r="F740" s="21" t="s">
        <v>2558</v>
      </c>
      <c r="G740" s="19">
        <v>34380733</v>
      </c>
    </row>
    <row r="741" spans="6:7" x14ac:dyDescent="0.25">
      <c r="F741" s="21" t="s">
        <v>2401</v>
      </c>
      <c r="G741" s="19">
        <v>19571668</v>
      </c>
    </row>
    <row r="742" spans="6:7" x14ac:dyDescent="0.25">
      <c r="F742" s="21" t="s">
        <v>2753</v>
      </c>
      <c r="G742" s="19">
        <v>42630187</v>
      </c>
    </row>
    <row r="743" spans="6:7" x14ac:dyDescent="0.25">
      <c r="F743" s="21" t="s">
        <v>2955</v>
      </c>
      <c r="G743" s="19">
        <v>19496466</v>
      </c>
    </row>
    <row r="744" spans="6:7" x14ac:dyDescent="0.25">
      <c r="F744" s="21" t="s">
        <v>2752</v>
      </c>
      <c r="G744" s="19">
        <v>47702414</v>
      </c>
    </row>
    <row r="745" spans="6:7" x14ac:dyDescent="0.25">
      <c r="F745" s="21" t="s">
        <v>2297</v>
      </c>
      <c r="G745" s="19">
        <v>3384365</v>
      </c>
    </row>
    <row r="746" spans="6:7" x14ac:dyDescent="0.25">
      <c r="F746" s="21" t="s">
        <v>2006</v>
      </c>
      <c r="G746" s="19">
        <v>7936633</v>
      </c>
    </row>
    <row r="747" spans="6:7" x14ac:dyDescent="0.25">
      <c r="F747" s="21" t="s">
        <v>2454</v>
      </c>
      <c r="G747" s="19">
        <v>6543227</v>
      </c>
    </row>
    <row r="748" spans="6:7" x14ac:dyDescent="0.25">
      <c r="F748" s="21" t="s">
        <v>2961</v>
      </c>
      <c r="G748" s="19">
        <v>4780219</v>
      </c>
    </row>
    <row r="749" spans="6:7" x14ac:dyDescent="0.25">
      <c r="F749" s="21" t="s">
        <v>2825</v>
      </c>
      <c r="G749" s="19">
        <v>17605035</v>
      </c>
    </row>
    <row r="750" spans="6:7" x14ac:dyDescent="0.25">
      <c r="F750" s="21" t="s">
        <v>2598</v>
      </c>
      <c r="G750" s="19">
        <v>21075946</v>
      </c>
    </row>
    <row r="751" spans="6:7" x14ac:dyDescent="0.25">
      <c r="F751" s="21" t="s">
        <v>2675</v>
      </c>
      <c r="G751" s="19">
        <v>21193325</v>
      </c>
    </row>
    <row r="752" spans="6:7" x14ac:dyDescent="0.25">
      <c r="F752" s="21" t="s">
        <v>3011</v>
      </c>
      <c r="G752" s="19">
        <v>26712554</v>
      </c>
    </row>
    <row r="753" spans="6:7" x14ac:dyDescent="0.25">
      <c r="F753" s="21" t="s">
        <v>2526</v>
      </c>
      <c r="G753" s="19">
        <v>24063535</v>
      </c>
    </row>
    <row r="754" spans="6:7" x14ac:dyDescent="0.25">
      <c r="F754" s="21" t="s">
        <v>1641</v>
      </c>
      <c r="G754" s="19">
        <v>14170784</v>
      </c>
    </row>
    <row r="755" spans="6:7" x14ac:dyDescent="0.25">
      <c r="F755" s="21" t="s">
        <v>2204</v>
      </c>
      <c r="G755" s="19">
        <v>49750895</v>
      </c>
    </row>
    <row r="756" spans="6:7" x14ac:dyDescent="0.25">
      <c r="F756" s="21" t="s">
        <v>2732</v>
      </c>
      <c r="G756" s="19">
        <v>20424754</v>
      </c>
    </row>
    <row r="757" spans="6:7" x14ac:dyDescent="0.25">
      <c r="F757" s="21" t="s">
        <v>3022</v>
      </c>
      <c r="G757" s="19">
        <v>5221835</v>
      </c>
    </row>
    <row r="758" spans="6:7" x14ac:dyDescent="0.25">
      <c r="F758" s="21" t="s">
        <v>2072</v>
      </c>
      <c r="G758" s="19">
        <v>39127305</v>
      </c>
    </row>
    <row r="759" spans="6:7" x14ac:dyDescent="0.25">
      <c r="F759" s="21" t="s">
        <v>1572</v>
      </c>
      <c r="G759" s="19">
        <v>20529285</v>
      </c>
    </row>
    <row r="760" spans="6:7" x14ac:dyDescent="0.25">
      <c r="F760" s="21" t="s">
        <v>2015</v>
      </c>
      <c r="G760" s="19">
        <v>19624566</v>
      </c>
    </row>
    <row r="761" spans="6:7" x14ac:dyDescent="0.25">
      <c r="F761" s="21" t="s">
        <v>2582</v>
      </c>
      <c r="G761" s="19">
        <v>47060366</v>
      </c>
    </row>
    <row r="762" spans="6:7" x14ac:dyDescent="0.25">
      <c r="F762" s="21" t="s">
        <v>2433</v>
      </c>
      <c r="G762" s="19">
        <v>35438494</v>
      </c>
    </row>
    <row r="763" spans="6:7" x14ac:dyDescent="0.25">
      <c r="F763" s="21" t="s">
        <v>2092</v>
      </c>
      <c r="G763" s="19">
        <v>20742728</v>
      </c>
    </row>
    <row r="764" spans="6:7" x14ac:dyDescent="0.25">
      <c r="F764" s="21" t="s">
        <v>2709</v>
      </c>
      <c r="G764" s="19">
        <v>46113577</v>
      </c>
    </row>
    <row r="765" spans="6:7" x14ac:dyDescent="0.25">
      <c r="F765" s="21" t="s">
        <v>2959</v>
      </c>
      <c r="G765" s="19">
        <v>18158029</v>
      </c>
    </row>
    <row r="766" spans="6:7" x14ac:dyDescent="0.25">
      <c r="F766" s="21" t="s">
        <v>1561</v>
      </c>
      <c r="G766" s="19">
        <v>29716268</v>
      </c>
    </row>
    <row r="767" spans="6:7" x14ac:dyDescent="0.25">
      <c r="F767" s="21" t="s">
        <v>2305</v>
      </c>
      <c r="G767" s="19">
        <v>746899</v>
      </c>
    </row>
    <row r="768" spans="6:7" x14ac:dyDescent="0.25">
      <c r="F768" s="21" t="s">
        <v>1690</v>
      </c>
      <c r="G768" s="19">
        <v>12129427</v>
      </c>
    </row>
    <row r="769" spans="6:7" x14ac:dyDescent="0.25">
      <c r="F769" s="21" t="s">
        <v>2636</v>
      </c>
      <c r="G769" s="19">
        <v>34349079</v>
      </c>
    </row>
    <row r="770" spans="6:7" x14ac:dyDescent="0.25">
      <c r="F770" s="21" t="s">
        <v>2923</v>
      </c>
      <c r="G770" s="19">
        <v>42252485</v>
      </c>
    </row>
    <row r="771" spans="6:7" x14ac:dyDescent="0.25">
      <c r="F771" s="21" t="s">
        <v>2985</v>
      </c>
      <c r="G771" s="19">
        <v>22863058</v>
      </c>
    </row>
    <row r="772" spans="6:7" x14ac:dyDescent="0.25">
      <c r="F772" s="21" t="s">
        <v>2920</v>
      </c>
      <c r="G772" s="19">
        <v>147723</v>
      </c>
    </row>
    <row r="773" spans="6:7" x14ac:dyDescent="0.25">
      <c r="F773" s="21" t="s">
        <v>2278</v>
      </c>
      <c r="G773" s="19">
        <v>5159511</v>
      </c>
    </row>
    <row r="774" spans="6:7" x14ac:dyDescent="0.25">
      <c r="F774" s="21" t="s">
        <v>2464</v>
      </c>
      <c r="G774" s="19">
        <v>26211529</v>
      </c>
    </row>
    <row r="775" spans="6:7" x14ac:dyDescent="0.25">
      <c r="F775" s="21" t="s">
        <v>2612</v>
      </c>
      <c r="G775" s="19">
        <v>5497404</v>
      </c>
    </row>
    <row r="776" spans="6:7" x14ac:dyDescent="0.25">
      <c r="F776" s="21" t="s">
        <v>1599</v>
      </c>
      <c r="G776" s="19">
        <v>7047464</v>
      </c>
    </row>
    <row r="777" spans="6:7" x14ac:dyDescent="0.25">
      <c r="F777" s="21" t="s">
        <v>1833</v>
      </c>
      <c r="G777" s="19">
        <v>21893367</v>
      </c>
    </row>
    <row r="778" spans="6:7" x14ac:dyDescent="0.25">
      <c r="F778" s="21" t="s">
        <v>1938</v>
      </c>
      <c r="G778" s="19">
        <v>24796891</v>
      </c>
    </row>
    <row r="779" spans="6:7" x14ac:dyDescent="0.25">
      <c r="F779" s="21" t="s">
        <v>2416</v>
      </c>
      <c r="G779" s="19">
        <v>5752318</v>
      </c>
    </row>
    <row r="780" spans="6:7" x14ac:dyDescent="0.25">
      <c r="F780" s="21" t="s">
        <v>2843</v>
      </c>
      <c r="G780" s="19">
        <v>2146437</v>
      </c>
    </row>
    <row r="781" spans="6:7" x14ac:dyDescent="0.25">
      <c r="F781" s="21" t="s">
        <v>2468</v>
      </c>
      <c r="G781" s="19">
        <v>40330647</v>
      </c>
    </row>
    <row r="782" spans="6:7" x14ac:dyDescent="0.25">
      <c r="F782" s="21" t="s">
        <v>2344</v>
      </c>
      <c r="G782" s="19">
        <v>12123867</v>
      </c>
    </row>
    <row r="783" spans="6:7" x14ac:dyDescent="0.25">
      <c r="F783" s="21" t="s">
        <v>2139</v>
      </c>
      <c r="G783" s="19">
        <v>3813488</v>
      </c>
    </row>
    <row r="784" spans="6:7" x14ac:dyDescent="0.25">
      <c r="F784" s="21" t="s">
        <v>2503</v>
      </c>
      <c r="G784" s="19">
        <v>3335749</v>
      </c>
    </row>
    <row r="785" spans="6:7" x14ac:dyDescent="0.25">
      <c r="F785" s="21" t="s">
        <v>2597</v>
      </c>
      <c r="G785" s="19">
        <v>15422761</v>
      </c>
    </row>
    <row r="786" spans="6:7" x14ac:dyDescent="0.25">
      <c r="F786" s="21" t="s">
        <v>2606</v>
      </c>
      <c r="G786" s="19">
        <v>30829991</v>
      </c>
    </row>
    <row r="787" spans="6:7" x14ac:dyDescent="0.25">
      <c r="F787" s="21" t="s">
        <v>2098</v>
      </c>
      <c r="G787" s="19">
        <v>2065763</v>
      </c>
    </row>
    <row r="788" spans="6:7" x14ac:dyDescent="0.25">
      <c r="F788" s="21" t="s">
        <v>2008</v>
      </c>
      <c r="G788" s="19">
        <v>34505801</v>
      </c>
    </row>
    <row r="789" spans="6:7" x14ac:dyDescent="0.25">
      <c r="F789" s="21" t="s">
        <v>2208</v>
      </c>
      <c r="G789" s="19">
        <v>2646496</v>
      </c>
    </row>
    <row r="790" spans="6:7" x14ac:dyDescent="0.25">
      <c r="F790" s="21" t="s">
        <v>1634</v>
      </c>
      <c r="G790" s="19">
        <v>12413422</v>
      </c>
    </row>
    <row r="791" spans="6:7" x14ac:dyDescent="0.25">
      <c r="F791" s="21" t="s">
        <v>1678</v>
      </c>
      <c r="G791" s="19">
        <v>46308511</v>
      </c>
    </row>
    <row r="792" spans="6:7" x14ac:dyDescent="0.25">
      <c r="F792" s="21" t="s">
        <v>2393</v>
      </c>
      <c r="G792" s="19">
        <v>37364114</v>
      </c>
    </row>
    <row r="793" spans="6:7" x14ac:dyDescent="0.25">
      <c r="F793" s="21" t="s">
        <v>1600</v>
      </c>
      <c r="G793" s="19">
        <v>10007401</v>
      </c>
    </row>
    <row r="794" spans="6:7" x14ac:dyDescent="0.25">
      <c r="F794" s="21" t="s">
        <v>2312</v>
      </c>
      <c r="G794" s="19">
        <v>33709065</v>
      </c>
    </row>
    <row r="795" spans="6:7" x14ac:dyDescent="0.25">
      <c r="F795" s="21" t="s">
        <v>1984</v>
      </c>
      <c r="G795" s="19">
        <v>47673343</v>
      </c>
    </row>
    <row r="796" spans="6:7" x14ac:dyDescent="0.25">
      <c r="F796" s="21" t="s">
        <v>2561</v>
      </c>
      <c r="G796" s="19">
        <v>27257644</v>
      </c>
    </row>
    <row r="797" spans="6:7" x14ac:dyDescent="0.25">
      <c r="F797" s="21" t="s">
        <v>2849</v>
      </c>
      <c r="G797" s="19">
        <v>13201377</v>
      </c>
    </row>
    <row r="798" spans="6:7" x14ac:dyDescent="0.25">
      <c r="F798" s="21" t="s">
        <v>2530</v>
      </c>
      <c r="G798" s="19">
        <v>3950388</v>
      </c>
    </row>
    <row r="799" spans="6:7" x14ac:dyDescent="0.25">
      <c r="F799" s="21" t="s">
        <v>2545</v>
      </c>
      <c r="G799" s="19">
        <v>26656913</v>
      </c>
    </row>
    <row r="800" spans="6:7" x14ac:dyDescent="0.25">
      <c r="F800" s="21" t="s">
        <v>2733</v>
      </c>
      <c r="G800" s="19">
        <v>3571582</v>
      </c>
    </row>
    <row r="801" spans="6:7" x14ac:dyDescent="0.25">
      <c r="F801" s="21" t="s">
        <v>2819</v>
      </c>
      <c r="G801" s="19">
        <v>26896515</v>
      </c>
    </row>
    <row r="802" spans="6:7" x14ac:dyDescent="0.25">
      <c r="F802" s="21" t="s">
        <v>2943</v>
      </c>
      <c r="G802" s="19">
        <v>2119865</v>
      </c>
    </row>
    <row r="803" spans="6:7" x14ac:dyDescent="0.25">
      <c r="F803" s="21" t="s">
        <v>2194</v>
      </c>
      <c r="G803" s="19">
        <v>47626921</v>
      </c>
    </row>
    <row r="804" spans="6:7" x14ac:dyDescent="0.25">
      <c r="F804" s="21" t="s">
        <v>2870</v>
      </c>
      <c r="G804" s="19">
        <v>25596945</v>
      </c>
    </row>
    <row r="805" spans="6:7" x14ac:dyDescent="0.25">
      <c r="F805" s="21" t="s">
        <v>2309</v>
      </c>
      <c r="G805" s="19">
        <v>9954896</v>
      </c>
    </row>
    <row r="806" spans="6:7" x14ac:dyDescent="0.25">
      <c r="F806" s="21" t="s">
        <v>2650</v>
      </c>
      <c r="G806" s="19">
        <v>41360963</v>
      </c>
    </row>
    <row r="807" spans="6:7" x14ac:dyDescent="0.25">
      <c r="F807" s="21" t="s">
        <v>2991</v>
      </c>
      <c r="G807" s="19">
        <v>5897704</v>
      </c>
    </row>
    <row r="808" spans="6:7" x14ac:dyDescent="0.25">
      <c r="F808" s="21" t="s">
        <v>2260</v>
      </c>
      <c r="G808" s="19">
        <v>16571966</v>
      </c>
    </row>
    <row r="809" spans="6:7" x14ac:dyDescent="0.25">
      <c r="F809" s="21" t="s">
        <v>2756</v>
      </c>
      <c r="G809" s="19">
        <v>5380363</v>
      </c>
    </row>
    <row r="810" spans="6:7" x14ac:dyDescent="0.25">
      <c r="F810" s="21" t="s">
        <v>1794</v>
      </c>
      <c r="G810" s="19">
        <v>38237597</v>
      </c>
    </row>
    <row r="811" spans="6:7" x14ac:dyDescent="0.25">
      <c r="F811" s="21" t="s">
        <v>2432</v>
      </c>
      <c r="G811" s="19">
        <v>42330061</v>
      </c>
    </row>
    <row r="812" spans="6:7" x14ac:dyDescent="0.25">
      <c r="F812" s="21" t="s">
        <v>1526</v>
      </c>
      <c r="G812" s="19">
        <v>42548636</v>
      </c>
    </row>
    <row r="813" spans="6:7" x14ac:dyDescent="0.25">
      <c r="F813" s="21" t="s">
        <v>1948</v>
      </c>
      <c r="G813" s="19">
        <v>20113353</v>
      </c>
    </row>
    <row r="814" spans="6:7" x14ac:dyDescent="0.25">
      <c r="F814" s="21" t="s">
        <v>2648</v>
      </c>
      <c r="G814" s="19">
        <v>10438933</v>
      </c>
    </row>
    <row r="815" spans="6:7" x14ac:dyDescent="0.25">
      <c r="F815" s="21" t="s">
        <v>2765</v>
      </c>
      <c r="G815" s="19">
        <v>1230068</v>
      </c>
    </row>
    <row r="816" spans="6:7" x14ac:dyDescent="0.25">
      <c r="F816" s="21" t="s">
        <v>2821</v>
      </c>
      <c r="G816" s="19">
        <v>40247401</v>
      </c>
    </row>
    <row r="817" spans="6:7" x14ac:dyDescent="0.25">
      <c r="F817" s="21" t="s">
        <v>2666</v>
      </c>
      <c r="G817" s="19">
        <v>20472418</v>
      </c>
    </row>
    <row r="818" spans="6:7" x14ac:dyDescent="0.25">
      <c r="F818" s="21" t="s">
        <v>2579</v>
      </c>
      <c r="G818" s="19">
        <v>38275231</v>
      </c>
    </row>
    <row r="819" spans="6:7" x14ac:dyDescent="0.25">
      <c r="F819" s="21" t="s">
        <v>2131</v>
      </c>
      <c r="G819" s="19">
        <v>42321744</v>
      </c>
    </row>
    <row r="820" spans="6:7" x14ac:dyDescent="0.25">
      <c r="F820" s="21" t="s">
        <v>1896</v>
      </c>
      <c r="G820" s="19">
        <v>36273567</v>
      </c>
    </row>
    <row r="821" spans="6:7" x14ac:dyDescent="0.25">
      <c r="F821" s="21" t="s">
        <v>2768</v>
      </c>
      <c r="G821" s="19">
        <v>4836944</v>
      </c>
    </row>
    <row r="822" spans="6:7" x14ac:dyDescent="0.25">
      <c r="F822" s="21" t="s">
        <v>2836</v>
      </c>
      <c r="G822" s="19">
        <v>7181694</v>
      </c>
    </row>
    <row r="823" spans="6:7" x14ac:dyDescent="0.25">
      <c r="F823" s="21" t="s">
        <v>2936</v>
      </c>
      <c r="G823" s="19">
        <v>48456957</v>
      </c>
    </row>
    <row r="824" spans="6:7" x14ac:dyDescent="0.25">
      <c r="F824" s="21" t="s">
        <v>2997</v>
      </c>
      <c r="G824" s="19">
        <v>22632794</v>
      </c>
    </row>
    <row r="825" spans="6:7" x14ac:dyDescent="0.25">
      <c r="F825" s="21" t="s">
        <v>3031</v>
      </c>
      <c r="G825" s="19">
        <v>43135251</v>
      </c>
    </row>
    <row r="826" spans="6:7" x14ac:dyDescent="0.25">
      <c r="F826" s="21" t="s">
        <v>2543</v>
      </c>
      <c r="G826" s="19">
        <v>32813996</v>
      </c>
    </row>
    <row r="827" spans="6:7" x14ac:dyDescent="0.25">
      <c r="F827" s="21" t="s">
        <v>1533</v>
      </c>
      <c r="G827" s="19">
        <v>46592255</v>
      </c>
    </row>
    <row r="828" spans="6:7" x14ac:dyDescent="0.25">
      <c r="F828" s="21" t="s">
        <v>2802</v>
      </c>
      <c r="G828" s="19">
        <v>811137</v>
      </c>
    </row>
    <row r="829" spans="6:7" x14ac:dyDescent="0.25">
      <c r="F829" s="21" t="s">
        <v>1931</v>
      </c>
      <c r="G829" s="19">
        <v>22197252</v>
      </c>
    </row>
    <row r="830" spans="6:7" x14ac:dyDescent="0.25">
      <c r="F830" s="21" t="s">
        <v>1881</v>
      </c>
      <c r="G830" s="19">
        <v>21147285</v>
      </c>
    </row>
    <row r="831" spans="6:7" x14ac:dyDescent="0.25">
      <c r="F831" s="21" t="s">
        <v>1681</v>
      </c>
      <c r="G831" s="19">
        <v>33551813</v>
      </c>
    </row>
    <row r="832" spans="6:7" x14ac:dyDescent="0.25">
      <c r="F832" s="21" t="s">
        <v>2222</v>
      </c>
      <c r="G832" s="19">
        <v>43483871</v>
      </c>
    </row>
    <row r="833" spans="6:7" x14ac:dyDescent="0.25">
      <c r="F833" s="21" t="s">
        <v>1976</v>
      </c>
      <c r="G833" s="19">
        <v>46863408</v>
      </c>
    </row>
    <row r="834" spans="6:7" x14ac:dyDescent="0.25">
      <c r="F834" s="21" t="s">
        <v>1997</v>
      </c>
      <c r="G834" s="19">
        <v>7841616</v>
      </c>
    </row>
    <row r="835" spans="6:7" x14ac:dyDescent="0.25">
      <c r="F835" s="21" t="s">
        <v>1911</v>
      </c>
      <c r="G835" s="19">
        <v>30157586</v>
      </c>
    </row>
    <row r="836" spans="6:7" x14ac:dyDescent="0.25">
      <c r="F836" s="21" t="s">
        <v>2588</v>
      </c>
      <c r="G836" s="19">
        <v>34644202</v>
      </c>
    </row>
    <row r="837" spans="6:7" x14ac:dyDescent="0.25">
      <c r="F837" s="21" t="s">
        <v>2776</v>
      </c>
      <c r="G837" s="19">
        <v>20883109</v>
      </c>
    </row>
    <row r="838" spans="6:7" x14ac:dyDescent="0.25">
      <c r="F838" s="21" t="s">
        <v>2164</v>
      </c>
      <c r="G838" s="19">
        <v>28783277</v>
      </c>
    </row>
    <row r="839" spans="6:7" x14ac:dyDescent="0.25">
      <c r="F839" s="21" t="s">
        <v>2229</v>
      </c>
      <c r="G839" s="19">
        <v>1144735</v>
      </c>
    </row>
    <row r="840" spans="6:7" x14ac:dyDescent="0.25">
      <c r="F840" s="21" t="s">
        <v>2622</v>
      </c>
      <c r="G840" s="19">
        <v>40726808</v>
      </c>
    </row>
    <row r="841" spans="6:7" x14ac:dyDescent="0.25">
      <c r="F841" s="21" t="s">
        <v>2132</v>
      </c>
      <c r="G841" s="19">
        <v>34623359</v>
      </c>
    </row>
    <row r="842" spans="6:7" x14ac:dyDescent="0.25">
      <c r="F842" s="21" t="s">
        <v>2615</v>
      </c>
      <c r="G842" s="19">
        <v>25001676</v>
      </c>
    </row>
    <row r="843" spans="6:7" x14ac:dyDescent="0.25">
      <c r="F843" s="21" t="s">
        <v>1791</v>
      </c>
      <c r="G843" s="19">
        <v>39865573</v>
      </c>
    </row>
    <row r="844" spans="6:7" x14ac:dyDescent="0.25">
      <c r="F844" s="21" t="s">
        <v>1629</v>
      </c>
      <c r="G844" s="19">
        <v>38389118</v>
      </c>
    </row>
    <row r="845" spans="6:7" x14ac:dyDescent="0.25">
      <c r="F845" s="21" t="s">
        <v>1651</v>
      </c>
      <c r="G845" s="19">
        <v>41343699</v>
      </c>
    </row>
    <row r="846" spans="6:7" x14ac:dyDescent="0.25">
      <c r="F846" s="21" t="s">
        <v>1788</v>
      </c>
      <c r="G846" s="19">
        <v>1169919</v>
      </c>
    </row>
    <row r="847" spans="6:7" x14ac:dyDescent="0.25">
      <c r="F847" s="21" t="s">
        <v>2434</v>
      </c>
      <c r="G847" s="19">
        <v>8444919</v>
      </c>
    </row>
    <row r="848" spans="6:7" x14ac:dyDescent="0.25">
      <c r="F848" s="21" t="s">
        <v>2250</v>
      </c>
      <c r="G848" s="19">
        <v>37003516</v>
      </c>
    </row>
    <row r="849" spans="6:7" x14ac:dyDescent="0.25">
      <c r="F849" s="21" t="s">
        <v>2453</v>
      </c>
      <c r="G849" s="19">
        <v>33335495</v>
      </c>
    </row>
    <row r="850" spans="6:7" x14ac:dyDescent="0.25">
      <c r="F850" s="21" t="s">
        <v>2725</v>
      </c>
      <c r="G850" s="19">
        <v>27185937</v>
      </c>
    </row>
    <row r="851" spans="6:7" x14ac:dyDescent="0.25">
      <c r="F851" s="21" t="s">
        <v>1597</v>
      </c>
      <c r="G851" s="19">
        <v>49058673</v>
      </c>
    </row>
    <row r="852" spans="6:7" x14ac:dyDescent="0.25">
      <c r="F852" s="21" t="s">
        <v>1557</v>
      </c>
      <c r="G852" s="19">
        <v>661908</v>
      </c>
    </row>
    <row r="853" spans="6:7" x14ac:dyDescent="0.25">
      <c r="F853" s="21" t="s">
        <v>2728</v>
      </c>
      <c r="G853" s="19">
        <v>6298603</v>
      </c>
    </row>
    <row r="854" spans="6:7" x14ac:dyDescent="0.25">
      <c r="F854" s="21" t="s">
        <v>2563</v>
      </c>
      <c r="G854" s="19">
        <v>23489783</v>
      </c>
    </row>
    <row r="855" spans="6:7" x14ac:dyDescent="0.25">
      <c r="F855" s="21" t="s">
        <v>1841</v>
      </c>
      <c r="G855" s="19">
        <v>49125685</v>
      </c>
    </row>
    <row r="856" spans="6:7" x14ac:dyDescent="0.25">
      <c r="F856" s="21" t="s">
        <v>2829</v>
      </c>
      <c r="G856" s="19">
        <v>1192453</v>
      </c>
    </row>
    <row r="857" spans="6:7" x14ac:dyDescent="0.25">
      <c r="F857" s="21" t="s">
        <v>2679</v>
      </c>
      <c r="G857" s="19">
        <v>18326537</v>
      </c>
    </row>
    <row r="858" spans="6:7" x14ac:dyDescent="0.25">
      <c r="F858" s="21" t="s">
        <v>2951</v>
      </c>
      <c r="G858" s="19">
        <v>3841803</v>
      </c>
    </row>
    <row r="859" spans="6:7" x14ac:dyDescent="0.25">
      <c r="F859" s="21" t="s">
        <v>2747</v>
      </c>
      <c r="G859" s="19">
        <v>10446548</v>
      </c>
    </row>
    <row r="860" spans="6:7" x14ac:dyDescent="0.25">
      <c r="F860" s="21" t="s">
        <v>2489</v>
      </c>
      <c r="G860" s="19">
        <v>4314014</v>
      </c>
    </row>
    <row r="861" spans="6:7" x14ac:dyDescent="0.25">
      <c r="F861" s="21" t="s">
        <v>2713</v>
      </c>
      <c r="G861" s="19">
        <v>40887544</v>
      </c>
    </row>
    <row r="862" spans="6:7" x14ac:dyDescent="0.25">
      <c r="F862" s="21" t="s">
        <v>1870</v>
      </c>
      <c r="G862" s="19">
        <v>46303606</v>
      </c>
    </row>
    <row r="863" spans="6:7" x14ac:dyDescent="0.25">
      <c r="F863" s="21" t="s">
        <v>1843</v>
      </c>
      <c r="G863" s="19">
        <v>16781089</v>
      </c>
    </row>
    <row r="864" spans="6:7" x14ac:dyDescent="0.25">
      <c r="F864" s="21" t="s">
        <v>2328</v>
      </c>
      <c r="G864" s="19">
        <v>49358982</v>
      </c>
    </row>
    <row r="865" spans="6:7" x14ac:dyDescent="0.25">
      <c r="F865" s="21" t="s">
        <v>2646</v>
      </c>
      <c r="G865" s="19">
        <v>24028176</v>
      </c>
    </row>
    <row r="866" spans="6:7" x14ac:dyDescent="0.25">
      <c r="F866" s="21" t="s">
        <v>1962</v>
      </c>
      <c r="G866" s="19">
        <v>23841948</v>
      </c>
    </row>
    <row r="867" spans="6:7" x14ac:dyDescent="0.25">
      <c r="F867" s="21" t="s">
        <v>2998</v>
      </c>
      <c r="G867" s="19">
        <v>46331953</v>
      </c>
    </row>
    <row r="868" spans="6:7" x14ac:dyDescent="0.25">
      <c r="F868" s="21" t="s">
        <v>1607</v>
      </c>
      <c r="G868" s="19">
        <v>14522397</v>
      </c>
    </row>
    <row r="869" spans="6:7" x14ac:dyDescent="0.25">
      <c r="F869" s="21" t="s">
        <v>2302</v>
      </c>
      <c r="G869" s="19">
        <v>31839891</v>
      </c>
    </row>
    <row r="870" spans="6:7" x14ac:dyDescent="0.25">
      <c r="F870" s="21" t="s">
        <v>2298</v>
      </c>
      <c r="G870" s="19">
        <v>47079312</v>
      </c>
    </row>
    <row r="871" spans="6:7" x14ac:dyDescent="0.25">
      <c r="F871" s="21" t="s">
        <v>1757</v>
      </c>
      <c r="G871" s="19">
        <v>44444855</v>
      </c>
    </row>
    <row r="872" spans="6:7" x14ac:dyDescent="0.25">
      <c r="F872" s="21" t="s">
        <v>2345</v>
      </c>
      <c r="G872" s="19">
        <v>36638505</v>
      </c>
    </row>
    <row r="873" spans="6:7" x14ac:dyDescent="0.25">
      <c r="F873" s="21" t="s">
        <v>2307</v>
      </c>
      <c r="G873" s="19">
        <v>35040992</v>
      </c>
    </row>
    <row r="874" spans="6:7" x14ac:dyDescent="0.25">
      <c r="F874" s="21" t="s">
        <v>2851</v>
      </c>
      <c r="G874" s="19">
        <v>43736933</v>
      </c>
    </row>
    <row r="875" spans="6:7" x14ac:dyDescent="0.25">
      <c r="F875" s="21" t="s">
        <v>2003</v>
      </c>
      <c r="G875" s="19">
        <v>24101912</v>
      </c>
    </row>
    <row r="876" spans="6:7" x14ac:dyDescent="0.25">
      <c r="F876" s="21" t="s">
        <v>2130</v>
      </c>
      <c r="G876" s="19">
        <v>1936159</v>
      </c>
    </row>
    <row r="877" spans="6:7" x14ac:dyDescent="0.25">
      <c r="F877" s="21" t="s">
        <v>2349</v>
      </c>
      <c r="G877" s="19">
        <v>3569545</v>
      </c>
    </row>
    <row r="878" spans="6:7" x14ac:dyDescent="0.25">
      <c r="F878" s="21" t="s">
        <v>2658</v>
      </c>
      <c r="G878" s="19">
        <v>963263</v>
      </c>
    </row>
    <row r="879" spans="6:7" x14ac:dyDescent="0.25">
      <c r="F879" s="21" t="s">
        <v>2501</v>
      </c>
      <c r="G879" s="19">
        <v>13141336</v>
      </c>
    </row>
    <row r="880" spans="6:7" x14ac:dyDescent="0.25">
      <c r="F880" s="21" t="s">
        <v>2395</v>
      </c>
      <c r="G880" s="19">
        <v>17143446</v>
      </c>
    </row>
    <row r="881" spans="6:7" x14ac:dyDescent="0.25">
      <c r="F881" s="21" t="s">
        <v>2965</v>
      </c>
      <c r="G881" s="19">
        <v>37120012</v>
      </c>
    </row>
    <row r="882" spans="6:7" x14ac:dyDescent="0.25">
      <c r="F882" s="21" t="s">
        <v>1839</v>
      </c>
      <c r="G882" s="19">
        <v>24351197</v>
      </c>
    </row>
    <row r="883" spans="6:7" x14ac:dyDescent="0.25">
      <c r="F883" s="21" t="s">
        <v>2591</v>
      </c>
      <c r="G883" s="19">
        <v>3813170</v>
      </c>
    </row>
    <row r="884" spans="6:7" x14ac:dyDescent="0.25">
      <c r="F884" s="21" t="s">
        <v>2175</v>
      </c>
      <c r="G884" s="19">
        <v>8298377</v>
      </c>
    </row>
    <row r="885" spans="6:7" x14ac:dyDescent="0.25">
      <c r="F885" s="21" t="s">
        <v>2203</v>
      </c>
      <c r="G885" s="19">
        <v>22539119</v>
      </c>
    </row>
    <row r="886" spans="6:7" x14ac:dyDescent="0.25">
      <c r="F886" s="21" t="s">
        <v>2670</v>
      </c>
      <c r="G886" s="19">
        <v>23327058</v>
      </c>
    </row>
    <row r="887" spans="6:7" x14ac:dyDescent="0.25">
      <c r="F887" s="21" t="s">
        <v>2119</v>
      </c>
      <c r="G887" s="19">
        <v>27724879</v>
      </c>
    </row>
    <row r="888" spans="6:7" x14ac:dyDescent="0.25">
      <c r="F888" s="21" t="s">
        <v>1530</v>
      </c>
      <c r="G888" s="19">
        <v>10722765</v>
      </c>
    </row>
    <row r="889" spans="6:7" x14ac:dyDescent="0.25">
      <c r="F889" s="21" t="s">
        <v>2488</v>
      </c>
      <c r="G889" s="19">
        <v>6735355</v>
      </c>
    </row>
    <row r="890" spans="6:7" x14ac:dyDescent="0.25">
      <c r="F890" s="21" t="s">
        <v>1832</v>
      </c>
      <c r="G890" s="19">
        <v>13937522</v>
      </c>
    </row>
    <row r="891" spans="6:7" x14ac:dyDescent="0.25">
      <c r="F891" s="21" t="s">
        <v>2193</v>
      </c>
      <c r="G891" s="19">
        <v>2183028</v>
      </c>
    </row>
    <row r="892" spans="6:7" x14ac:dyDescent="0.25">
      <c r="F892" s="21" t="s">
        <v>1541</v>
      </c>
      <c r="G892" s="19">
        <v>26441953</v>
      </c>
    </row>
    <row r="893" spans="6:7" x14ac:dyDescent="0.25">
      <c r="F893" s="21" t="s">
        <v>1593</v>
      </c>
      <c r="G893" s="19">
        <v>6992227</v>
      </c>
    </row>
    <row r="894" spans="6:7" x14ac:dyDescent="0.25">
      <c r="F894" s="21" t="s">
        <v>2635</v>
      </c>
      <c r="G894" s="19">
        <v>21294515</v>
      </c>
    </row>
    <row r="895" spans="6:7" x14ac:dyDescent="0.25">
      <c r="F895" s="21" t="s">
        <v>2493</v>
      </c>
      <c r="G895" s="19">
        <v>44355736</v>
      </c>
    </row>
    <row r="896" spans="6:7" x14ac:dyDescent="0.25">
      <c r="F896" s="21" t="s">
        <v>1622</v>
      </c>
      <c r="G896" s="19">
        <v>21927926</v>
      </c>
    </row>
    <row r="897" spans="6:7" x14ac:dyDescent="0.25">
      <c r="F897" s="21" t="s">
        <v>1844</v>
      </c>
      <c r="G897" s="19">
        <v>3371779</v>
      </c>
    </row>
    <row r="898" spans="6:7" x14ac:dyDescent="0.25">
      <c r="F898" s="21" t="s">
        <v>2895</v>
      </c>
      <c r="G898" s="19">
        <v>38935587</v>
      </c>
    </row>
    <row r="899" spans="6:7" x14ac:dyDescent="0.25">
      <c r="F899" s="21" t="s">
        <v>1728</v>
      </c>
      <c r="G899" s="19">
        <v>40527368</v>
      </c>
    </row>
    <row r="900" spans="6:7" x14ac:dyDescent="0.25">
      <c r="F900" s="21" t="s">
        <v>1809</v>
      </c>
      <c r="G900" s="19">
        <v>44707859</v>
      </c>
    </row>
    <row r="901" spans="6:7" x14ac:dyDescent="0.25">
      <c r="F901" s="21" t="s">
        <v>1760</v>
      </c>
      <c r="G901" s="19">
        <v>5572789</v>
      </c>
    </row>
    <row r="902" spans="6:7" x14ac:dyDescent="0.25">
      <c r="F902" s="21" t="s">
        <v>1889</v>
      </c>
      <c r="G902" s="19">
        <v>25571576</v>
      </c>
    </row>
    <row r="903" spans="6:7" x14ac:dyDescent="0.25">
      <c r="F903" s="21" t="s">
        <v>2972</v>
      </c>
      <c r="G903" s="19">
        <v>47721622</v>
      </c>
    </row>
    <row r="904" spans="6:7" x14ac:dyDescent="0.25">
      <c r="F904" s="21" t="s">
        <v>2986</v>
      </c>
      <c r="G904" s="19">
        <v>31704373</v>
      </c>
    </row>
    <row r="905" spans="6:7" x14ac:dyDescent="0.25">
      <c r="F905" s="21" t="s">
        <v>2022</v>
      </c>
      <c r="G905" s="19">
        <v>25415106</v>
      </c>
    </row>
    <row r="906" spans="6:7" x14ac:dyDescent="0.25">
      <c r="F906" s="21" t="s">
        <v>2339</v>
      </c>
      <c r="G906" s="19">
        <v>34385778</v>
      </c>
    </row>
    <row r="907" spans="6:7" x14ac:dyDescent="0.25">
      <c r="F907" s="21" t="s">
        <v>2487</v>
      </c>
      <c r="G907" s="19">
        <v>20135664</v>
      </c>
    </row>
    <row r="908" spans="6:7" x14ac:dyDescent="0.25">
      <c r="F908" s="21" t="s">
        <v>3019</v>
      </c>
      <c r="G908" s="19">
        <v>6525192</v>
      </c>
    </row>
    <row r="909" spans="6:7" x14ac:dyDescent="0.25">
      <c r="F909" s="21" t="s">
        <v>3024</v>
      </c>
      <c r="G909" s="19">
        <v>43970549</v>
      </c>
    </row>
    <row r="910" spans="6:7" x14ac:dyDescent="0.25">
      <c r="F910" s="21" t="s">
        <v>2844</v>
      </c>
      <c r="G910" s="19">
        <v>37062089</v>
      </c>
    </row>
    <row r="911" spans="6:7" x14ac:dyDescent="0.25">
      <c r="F911" s="21" t="s">
        <v>1666</v>
      </c>
      <c r="G911" s="19">
        <v>2527365</v>
      </c>
    </row>
    <row r="912" spans="6:7" x14ac:dyDescent="0.25">
      <c r="F912" s="21" t="s">
        <v>2771</v>
      </c>
      <c r="G912" s="19">
        <v>9359055</v>
      </c>
    </row>
    <row r="913" spans="6:7" x14ac:dyDescent="0.25">
      <c r="F913" s="21" t="s">
        <v>2091</v>
      </c>
      <c r="G913" s="19">
        <v>37932685</v>
      </c>
    </row>
    <row r="914" spans="6:7" x14ac:dyDescent="0.25">
      <c r="F914" s="21" t="s">
        <v>1895</v>
      </c>
      <c r="G914" s="19">
        <v>46704585</v>
      </c>
    </row>
    <row r="915" spans="6:7" x14ac:dyDescent="0.25">
      <c r="F915" s="21" t="s">
        <v>2828</v>
      </c>
      <c r="G915" s="19">
        <v>10295592</v>
      </c>
    </row>
    <row r="916" spans="6:7" x14ac:dyDescent="0.25">
      <c r="F916" s="21" t="s">
        <v>2162</v>
      </c>
      <c r="G916" s="19">
        <v>12590013</v>
      </c>
    </row>
    <row r="917" spans="6:7" x14ac:dyDescent="0.25">
      <c r="F917" s="21" t="s">
        <v>2165</v>
      </c>
      <c r="G917" s="19">
        <v>41339195</v>
      </c>
    </row>
    <row r="918" spans="6:7" x14ac:dyDescent="0.25">
      <c r="F918" s="21" t="s">
        <v>2795</v>
      </c>
      <c r="G918" s="19">
        <v>43811341</v>
      </c>
    </row>
    <row r="919" spans="6:7" x14ac:dyDescent="0.25">
      <c r="F919" s="21" t="s">
        <v>1733</v>
      </c>
      <c r="G919" s="19">
        <v>37667585</v>
      </c>
    </row>
    <row r="920" spans="6:7" x14ac:dyDescent="0.25">
      <c r="F920" s="21" t="s">
        <v>2610</v>
      </c>
      <c r="G920" s="19">
        <v>29608725</v>
      </c>
    </row>
    <row r="921" spans="6:7" x14ac:dyDescent="0.25">
      <c r="F921" s="21" t="s">
        <v>2444</v>
      </c>
      <c r="G921" s="19">
        <v>43156296</v>
      </c>
    </row>
    <row r="922" spans="6:7" x14ac:dyDescent="0.25">
      <c r="F922" s="21" t="s">
        <v>2885</v>
      </c>
      <c r="G922" s="19">
        <v>17205775</v>
      </c>
    </row>
    <row r="923" spans="6:7" x14ac:dyDescent="0.25">
      <c r="F923" s="21" t="s">
        <v>1944</v>
      </c>
      <c r="G923" s="19">
        <v>486221</v>
      </c>
    </row>
    <row r="924" spans="6:7" x14ac:dyDescent="0.25">
      <c r="F924" s="21" t="s">
        <v>1855</v>
      </c>
      <c r="G924" s="19">
        <v>44156505</v>
      </c>
    </row>
    <row r="925" spans="6:7" x14ac:dyDescent="0.25">
      <c r="F925" s="21" t="s">
        <v>2631</v>
      </c>
      <c r="G925" s="19">
        <v>12138023</v>
      </c>
    </row>
    <row r="926" spans="6:7" x14ac:dyDescent="0.25">
      <c r="F926" s="21" t="s">
        <v>2103</v>
      </c>
      <c r="G926" s="19">
        <v>18866769</v>
      </c>
    </row>
    <row r="927" spans="6:7" x14ac:dyDescent="0.25">
      <c r="F927" s="21" t="s">
        <v>1894</v>
      </c>
      <c r="G927" s="19">
        <v>1674867</v>
      </c>
    </row>
    <row r="928" spans="6:7" x14ac:dyDescent="0.25">
      <c r="F928" s="21" t="s">
        <v>2500</v>
      </c>
      <c r="G928" s="19">
        <v>28663309</v>
      </c>
    </row>
    <row r="929" spans="6:7" x14ac:dyDescent="0.25">
      <c r="F929" s="21" t="s">
        <v>2124</v>
      </c>
      <c r="G929" s="19">
        <v>6074263</v>
      </c>
    </row>
    <row r="930" spans="6:7" x14ac:dyDescent="0.25">
      <c r="F930" s="21" t="s">
        <v>1547</v>
      </c>
      <c r="G930" s="19">
        <v>2349818</v>
      </c>
    </row>
    <row r="931" spans="6:7" x14ac:dyDescent="0.25">
      <c r="F931" s="21" t="s">
        <v>1986</v>
      </c>
      <c r="G931" s="19">
        <v>41082467</v>
      </c>
    </row>
    <row r="932" spans="6:7" x14ac:dyDescent="0.25">
      <c r="F932" s="21" t="s">
        <v>2603</v>
      </c>
      <c r="G932" s="19">
        <v>19418805</v>
      </c>
    </row>
    <row r="933" spans="6:7" x14ac:dyDescent="0.25">
      <c r="F933" s="21" t="s">
        <v>1831</v>
      </c>
      <c r="G933" s="19">
        <v>41209159</v>
      </c>
    </row>
    <row r="934" spans="6:7" x14ac:dyDescent="0.25">
      <c r="F934" s="21" t="s">
        <v>1802</v>
      </c>
      <c r="G934" s="19">
        <v>22611579</v>
      </c>
    </row>
    <row r="935" spans="6:7" x14ac:dyDescent="0.25">
      <c r="F935" s="21" t="s">
        <v>2967</v>
      </c>
      <c r="G935" s="19">
        <v>38566367</v>
      </c>
    </row>
    <row r="936" spans="6:7" x14ac:dyDescent="0.25">
      <c r="F936" s="21" t="s">
        <v>2313</v>
      </c>
      <c r="G936" s="19">
        <v>37864593</v>
      </c>
    </row>
    <row r="937" spans="6:7" x14ac:dyDescent="0.25">
      <c r="F937" s="21" t="s">
        <v>2626</v>
      </c>
      <c r="G937" s="19">
        <v>6315852</v>
      </c>
    </row>
    <row r="938" spans="6:7" x14ac:dyDescent="0.25">
      <c r="F938" s="21" t="s">
        <v>2333</v>
      </c>
      <c r="G938" s="19">
        <v>1693567</v>
      </c>
    </row>
    <row r="939" spans="6:7" x14ac:dyDescent="0.25">
      <c r="F939" s="21" t="s">
        <v>1999</v>
      </c>
      <c r="G939" s="19">
        <v>6847297</v>
      </c>
    </row>
    <row r="940" spans="6:7" x14ac:dyDescent="0.25">
      <c r="F940" s="21" t="s">
        <v>2214</v>
      </c>
      <c r="G940" s="19">
        <v>21923382</v>
      </c>
    </row>
    <row r="941" spans="6:7" x14ac:dyDescent="0.25">
      <c r="F941" s="21" t="s">
        <v>2867</v>
      </c>
      <c r="G941" s="19">
        <v>31424952</v>
      </c>
    </row>
    <row r="942" spans="6:7" x14ac:dyDescent="0.25">
      <c r="F942" s="21" t="s">
        <v>2200</v>
      </c>
      <c r="G942" s="19">
        <v>45148208</v>
      </c>
    </row>
    <row r="943" spans="6:7" x14ac:dyDescent="0.25">
      <c r="F943" s="21" t="s">
        <v>1933</v>
      </c>
      <c r="G943" s="19">
        <v>1806043</v>
      </c>
    </row>
    <row r="944" spans="6:7" x14ac:dyDescent="0.25">
      <c r="F944" s="21" t="s">
        <v>1768</v>
      </c>
      <c r="G944" s="19">
        <v>29472286</v>
      </c>
    </row>
    <row r="945" spans="6:7" x14ac:dyDescent="0.25">
      <c r="F945" s="21" t="s">
        <v>1566</v>
      </c>
      <c r="G945" s="19">
        <v>23441593</v>
      </c>
    </row>
    <row r="946" spans="6:7" x14ac:dyDescent="0.25">
      <c r="F946" s="21" t="s">
        <v>1621</v>
      </c>
      <c r="G946" s="19">
        <v>2654008</v>
      </c>
    </row>
    <row r="947" spans="6:7" x14ac:dyDescent="0.25">
      <c r="F947" s="21" t="s">
        <v>2366</v>
      </c>
      <c r="G947" s="19">
        <v>12561701</v>
      </c>
    </row>
    <row r="948" spans="6:7" x14ac:dyDescent="0.25">
      <c r="F948" s="21" t="s">
        <v>2227</v>
      </c>
      <c r="G948" s="19">
        <v>11020452</v>
      </c>
    </row>
    <row r="949" spans="6:7" x14ac:dyDescent="0.25">
      <c r="F949" s="21" t="s">
        <v>2374</v>
      </c>
      <c r="G949" s="19">
        <v>42262733</v>
      </c>
    </row>
    <row r="950" spans="6:7" x14ac:dyDescent="0.25">
      <c r="F950" s="21" t="s">
        <v>1828</v>
      </c>
      <c r="G950" s="19">
        <v>1485439</v>
      </c>
    </row>
    <row r="951" spans="6:7" x14ac:dyDescent="0.25">
      <c r="F951" s="21" t="s">
        <v>2766</v>
      </c>
      <c r="G951" s="19">
        <v>31653174</v>
      </c>
    </row>
    <row r="952" spans="6:7" x14ac:dyDescent="0.25">
      <c r="F952" s="21" t="s">
        <v>1887</v>
      </c>
      <c r="G952" s="19">
        <v>48689324</v>
      </c>
    </row>
    <row r="953" spans="6:7" x14ac:dyDescent="0.25">
      <c r="F953" s="21" t="s">
        <v>2380</v>
      </c>
      <c r="G953" s="19">
        <v>27703985</v>
      </c>
    </row>
    <row r="954" spans="6:7" x14ac:dyDescent="0.25">
      <c r="F954" s="21" t="s">
        <v>1980</v>
      </c>
      <c r="G954" s="19">
        <v>20861855</v>
      </c>
    </row>
    <row r="955" spans="6:7" x14ac:dyDescent="0.25">
      <c r="F955" s="21" t="s">
        <v>2046</v>
      </c>
      <c r="G955" s="19">
        <v>30235766</v>
      </c>
    </row>
    <row r="956" spans="6:7" x14ac:dyDescent="0.25">
      <c r="F956" s="21" t="s">
        <v>2257</v>
      </c>
      <c r="G956" s="19">
        <v>10741345</v>
      </c>
    </row>
    <row r="957" spans="6:7" x14ac:dyDescent="0.25">
      <c r="F957" s="21" t="s">
        <v>2625</v>
      </c>
      <c r="G957" s="19">
        <v>3396161</v>
      </c>
    </row>
    <row r="958" spans="6:7" x14ac:dyDescent="0.25">
      <c r="F958" s="21" t="s">
        <v>2043</v>
      </c>
      <c r="G958" s="19">
        <v>42205795</v>
      </c>
    </row>
    <row r="959" spans="6:7" x14ac:dyDescent="0.25">
      <c r="F959" s="21" t="s">
        <v>2463</v>
      </c>
      <c r="G959" s="19">
        <v>2236454</v>
      </c>
    </row>
    <row r="960" spans="6:7" x14ac:dyDescent="0.25">
      <c r="F960" s="21" t="s">
        <v>1734</v>
      </c>
      <c r="G960" s="19">
        <v>42378957</v>
      </c>
    </row>
    <row r="961" spans="6:7" x14ac:dyDescent="0.25">
      <c r="F961" s="21" t="s">
        <v>2387</v>
      </c>
      <c r="G961" s="19">
        <v>25497851</v>
      </c>
    </row>
    <row r="962" spans="6:7" x14ac:dyDescent="0.25">
      <c r="F962" s="21" t="s">
        <v>2283</v>
      </c>
      <c r="G962" s="19">
        <v>5815471</v>
      </c>
    </row>
    <row r="963" spans="6:7" x14ac:dyDescent="0.25">
      <c r="F963" s="21" t="s">
        <v>3020</v>
      </c>
      <c r="G963" s="19">
        <v>44373577</v>
      </c>
    </row>
    <row r="964" spans="6:7" x14ac:dyDescent="0.25">
      <c r="F964" s="21" t="s">
        <v>2275</v>
      </c>
      <c r="G964" s="19">
        <v>17925852</v>
      </c>
    </row>
    <row r="965" spans="6:7" x14ac:dyDescent="0.25">
      <c r="F965" s="21" t="s">
        <v>2295</v>
      </c>
      <c r="G965" s="19">
        <v>15747483</v>
      </c>
    </row>
    <row r="966" spans="6:7" x14ac:dyDescent="0.25">
      <c r="F966" s="21" t="s">
        <v>2254</v>
      </c>
      <c r="G966" s="19">
        <v>48177313</v>
      </c>
    </row>
    <row r="967" spans="6:7" x14ac:dyDescent="0.25">
      <c r="F967" s="21" t="s">
        <v>2244</v>
      </c>
      <c r="G967" s="19">
        <v>42311603</v>
      </c>
    </row>
    <row r="968" spans="6:7" x14ac:dyDescent="0.25">
      <c r="F968" s="21" t="s">
        <v>1857</v>
      </c>
      <c r="G968" s="19">
        <v>46871418</v>
      </c>
    </row>
    <row r="969" spans="6:7" x14ac:dyDescent="0.25">
      <c r="F969" s="21" t="s">
        <v>2693</v>
      </c>
      <c r="G969" s="19">
        <v>3271656</v>
      </c>
    </row>
    <row r="970" spans="6:7" x14ac:dyDescent="0.25">
      <c r="F970" s="21" t="s">
        <v>3027</v>
      </c>
      <c r="G970" s="19">
        <v>21733255</v>
      </c>
    </row>
    <row r="971" spans="6:7" x14ac:dyDescent="0.25">
      <c r="F971" s="21" t="s">
        <v>2707</v>
      </c>
      <c r="G971" s="19">
        <v>7789186</v>
      </c>
    </row>
    <row r="972" spans="6:7" x14ac:dyDescent="0.25">
      <c r="F972" s="21" t="s">
        <v>2667</v>
      </c>
      <c r="G972" s="19">
        <v>4151114</v>
      </c>
    </row>
    <row r="973" spans="6:7" x14ac:dyDescent="0.25">
      <c r="F973" s="21" t="s">
        <v>2717</v>
      </c>
      <c r="G973" s="19">
        <v>16357076</v>
      </c>
    </row>
    <row r="974" spans="6:7" x14ac:dyDescent="0.25">
      <c r="F974" s="21" t="s">
        <v>2749</v>
      </c>
      <c r="G974" s="19">
        <v>15798927</v>
      </c>
    </row>
    <row r="975" spans="6:7" x14ac:dyDescent="0.25">
      <c r="F975" s="21" t="s">
        <v>2930</v>
      </c>
      <c r="G975" s="19">
        <v>12958894</v>
      </c>
    </row>
    <row r="976" spans="6:7" x14ac:dyDescent="0.25">
      <c r="F976" s="21" t="s">
        <v>2554</v>
      </c>
      <c r="G976" s="19">
        <v>2997909</v>
      </c>
    </row>
    <row r="977" spans="6:7" x14ac:dyDescent="0.25">
      <c r="F977" s="21" t="s">
        <v>2989</v>
      </c>
      <c r="G977" s="19">
        <v>33478739</v>
      </c>
    </row>
    <row r="978" spans="6:7" x14ac:dyDescent="0.25">
      <c r="F978" s="21" t="s">
        <v>2818</v>
      </c>
      <c r="G978" s="19">
        <v>37909124</v>
      </c>
    </row>
    <row r="979" spans="6:7" x14ac:dyDescent="0.25">
      <c r="F979" s="21" t="s">
        <v>2797</v>
      </c>
      <c r="G979" s="19">
        <v>17651332</v>
      </c>
    </row>
    <row r="980" spans="6:7" x14ac:dyDescent="0.25">
      <c r="F980" s="21" t="s">
        <v>2841</v>
      </c>
      <c r="G980" s="19">
        <v>29389829</v>
      </c>
    </row>
    <row r="981" spans="6:7" x14ac:dyDescent="0.25">
      <c r="F981" s="21" t="s">
        <v>2852</v>
      </c>
      <c r="G981" s="19">
        <v>6755693</v>
      </c>
    </row>
    <row r="982" spans="6:7" x14ac:dyDescent="0.25">
      <c r="F982" s="21" t="s">
        <v>2757</v>
      </c>
      <c r="G982" s="19">
        <v>12962131</v>
      </c>
    </row>
    <row r="983" spans="6:7" x14ac:dyDescent="0.25">
      <c r="F983" s="21" t="s">
        <v>2783</v>
      </c>
      <c r="G983" s="19">
        <v>2444568</v>
      </c>
    </row>
    <row r="984" spans="6:7" x14ac:dyDescent="0.25">
      <c r="F984" s="21" t="s">
        <v>2830</v>
      </c>
      <c r="G984" s="19">
        <v>49942534</v>
      </c>
    </row>
    <row r="985" spans="6:7" x14ac:dyDescent="0.25">
      <c r="F985" s="21" t="s">
        <v>2544</v>
      </c>
      <c r="G985" s="19">
        <v>19006492</v>
      </c>
    </row>
    <row r="986" spans="6:7" x14ac:dyDescent="0.25">
      <c r="F986" s="21" t="s">
        <v>2935</v>
      </c>
      <c r="G986" s="19">
        <v>46623794</v>
      </c>
    </row>
    <row r="987" spans="6:7" x14ac:dyDescent="0.25">
      <c r="F987" s="21" t="s">
        <v>2941</v>
      </c>
      <c r="G987" s="19">
        <v>35695811</v>
      </c>
    </row>
    <row r="988" spans="6:7" x14ac:dyDescent="0.25">
      <c r="F988" s="21" t="s">
        <v>2608</v>
      </c>
      <c r="G988" s="19">
        <v>14645084</v>
      </c>
    </row>
    <row r="989" spans="6:7" x14ac:dyDescent="0.25">
      <c r="F989" s="21" t="s">
        <v>2820</v>
      </c>
      <c r="G989" s="19">
        <v>19603896</v>
      </c>
    </row>
    <row r="990" spans="6:7" x14ac:dyDescent="0.25">
      <c r="F990" s="21" t="s">
        <v>2772</v>
      </c>
      <c r="G990" s="19">
        <v>44061922</v>
      </c>
    </row>
    <row r="991" spans="6:7" x14ac:dyDescent="0.25">
      <c r="F991" s="21" t="s">
        <v>2890</v>
      </c>
      <c r="G991" s="19">
        <v>13249922</v>
      </c>
    </row>
    <row r="992" spans="6:7" x14ac:dyDescent="0.25">
      <c r="F992" s="21" t="s">
        <v>2719</v>
      </c>
      <c r="G992" s="19">
        <v>41359193</v>
      </c>
    </row>
    <row r="993" spans="6:7" x14ac:dyDescent="0.25">
      <c r="F993" s="21" t="s">
        <v>2791</v>
      </c>
      <c r="G993" s="19">
        <v>44872442</v>
      </c>
    </row>
    <row r="994" spans="6:7" x14ac:dyDescent="0.25">
      <c r="F994" s="21" t="s">
        <v>2585</v>
      </c>
      <c r="G994" s="19">
        <v>34766057</v>
      </c>
    </row>
    <row r="995" spans="6:7" x14ac:dyDescent="0.25">
      <c r="F995" s="21" t="s">
        <v>1995</v>
      </c>
      <c r="G995" s="19">
        <v>39695211</v>
      </c>
    </row>
    <row r="996" spans="6:7" x14ac:dyDescent="0.25">
      <c r="F996" s="21" t="s">
        <v>2408</v>
      </c>
      <c r="G996" s="19">
        <v>5004561</v>
      </c>
    </row>
    <row r="997" spans="6:7" x14ac:dyDescent="0.25">
      <c r="F997" s="21" t="s">
        <v>2407</v>
      </c>
      <c r="G997" s="19">
        <v>2420859</v>
      </c>
    </row>
    <row r="998" spans="6:7" x14ac:dyDescent="0.25">
      <c r="F998" s="21" t="s">
        <v>1570</v>
      </c>
      <c r="G998" s="19">
        <v>3877660</v>
      </c>
    </row>
    <row r="999" spans="6:7" x14ac:dyDescent="0.25">
      <c r="F999" s="21" t="s">
        <v>2555</v>
      </c>
      <c r="G999" s="19">
        <v>14943625</v>
      </c>
    </row>
    <row r="1000" spans="6:7" x14ac:dyDescent="0.25">
      <c r="F1000" s="21" t="s">
        <v>2163</v>
      </c>
      <c r="G1000" s="19">
        <v>33079821</v>
      </c>
    </row>
    <row r="1001" spans="6:7" x14ac:dyDescent="0.25">
      <c r="F1001" s="21" t="s">
        <v>1645</v>
      </c>
      <c r="G1001" s="19">
        <v>20288837</v>
      </c>
    </row>
    <row r="1002" spans="6:7" x14ac:dyDescent="0.25">
      <c r="F1002" s="21" t="s">
        <v>2701</v>
      </c>
      <c r="G1002" s="19">
        <v>4483401</v>
      </c>
    </row>
    <row r="1003" spans="6:7" x14ac:dyDescent="0.25">
      <c r="F1003" s="21" t="s">
        <v>2946</v>
      </c>
      <c r="G1003" s="19">
        <v>30761342</v>
      </c>
    </row>
    <row r="1004" spans="6:7" x14ac:dyDescent="0.25">
      <c r="F1004" s="21" t="s">
        <v>1615</v>
      </c>
      <c r="G1004" s="19">
        <v>26104297</v>
      </c>
    </row>
    <row r="1005" spans="6:7" x14ac:dyDescent="0.25">
      <c r="F1005" s="21" t="s">
        <v>1991</v>
      </c>
      <c r="G1005" s="19">
        <v>32562614</v>
      </c>
    </row>
    <row r="1006" spans="6:7" x14ac:dyDescent="0.25">
      <c r="F1006" s="21" t="s">
        <v>1801</v>
      </c>
      <c r="G1006" s="19">
        <v>3951950</v>
      </c>
    </row>
    <row r="1007" spans="6:7" x14ac:dyDescent="0.25">
      <c r="F1007" s="21" t="s">
        <v>1698</v>
      </c>
      <c r="G1007" s="19">
        <v>18993559</v>
      </c>
    </row>
    <row r="1008" spans="6:7" x14ac:dyDescent="0.25">
      <c r="F1008" s="21" t="s">
        <v>1644</v>
      </c>
      <c r="G1008" s="19">
        <v>42277612</v>
      </c>
    </row>
    <row r="1009" spans="6:7" x14ac:dyDescent="0.25">
      <c r="F1009" s="21" t="s">
        <v>1866</v>
      </c>
      <c r="G1009" s="19">
        <v>16313397</v>
      </c>
    </row>
    <row r="1010" spans="6:7" x14ac:dyDescent="0.25">
      <c r="F1010" s="21" t="s">
        <v>1792</v>
      </c>
      <c r="G1010" s="19">
        <v>12981902</v>
      </c>
    </row>
    <row r="1011" spans="6:7" x14ac:dyDescent="0.25">
      <c r="F1011" s="21" t="s">
        <v>2207</v>
      </c>
      <c r="G1011" s="19">
        <v>32159558</v>
      </c>
    </row>
    <row r="1012" spans="6:7" x14ac:dyDescent="0.25">
      <c r="F1012" s="21" t="s">
        <v>1966</v>
      </c>
      <c r="G1012" s="19">
        <v>1966087</v>
      </c>
    </row>
    <row r="1013" spans="6:7" x14ac:dyDescent="0.25">
      <c r="F1013" s="21" t="s">
        <v>2362</v>
      </c>
      <c r="G1013" s="19">
        <v>33034239</v>
      </c>
    </row>
    <row r="1014" spans="6:7" x14ac:dyDescent="0.25">
      <c r="F1014" s="21" t="s">
        <v>2971</v>
      </c>
      <c r="G1014" s="19">
        <v>5010316</v>
      </c>
    </row>
    <row r="1015" spans="6:7" x14ac:dyDescent="0.25">
      <c r="F1015" s="21" t="s">
        <v>2032</v>
      </c>
      <c r="G1015" s="19">
        <v>1292365</v>
      </c>
    </row>
    <row r="1016" spans="6:7" x14ac:dyDescent="0.25">
      <c r="F1016" s="21" t="s">
        <v>2246</v>
      </c>
      <c r="G1016" s="19">
        <v>38240826</v>
      </c>
    </row>
    <row r="1017" spans="6:7" x14ac:dyDescent="0.25">
      <c r="F1017" s="21" t="s">
        <v>2806</v>
      </c>
      <c r="G1017" s="19">
        <v>1228766</v>
      </c>
    </row>
    <row r="1018" spans="6:7" x14ac:dyDescent="0.25">
      <c r="F1018" s="21" t="s">
        <v>1872</v>
      </c>
      <c r="G1018" s="19">
        <v>29068082</v>
      </c>
    </row>
    <row r="1019" spans="6:7" x14ac:dyDescent="0.25">
      <c r="F1019" s="21" t="s">
        <v>2038</v>
      </c>
      <c r="G1019" s="19">
        <v>46697322</v>
      </c>
    </row>
    <row r="1020" spans="6:7" x14ac:dyDescent="0.25">
      <c r="F1020" s="21" t="s">
        <v>2156</v>
      </c>
      <c r="G1020" s="19">
        <v>495265</v>
      </c>
    </row>
    <row r="1021" spans="6:7" x14ac:dyDescent="0.25">
      <c r="F1021" s="21" t="s">
        <v>2183</v>
      </c>
      <c r="G1021" s="19">
        <v>21814188</v>
      </c>
    </row>
    <row r="1022" spans="6:7" x14ac:dyDescent="0.25">
      <c r="F1022" s="21" t="s">
        <v>2319</v>
      </c>
      <c r="G1022" s="19">
        <v>18211834</v>
      </c>
    </row>
    <row r="1023" spans="6:7" x14ac:dyDescent="0.25">
      <c r="F1023" s="21" t="s">
        <v>2945</v>
      </c>
      <c r="G1023" s="19">
        <v>14937947</v>
      </c>
    </row>
    <row r="1024" spans="6:7" x14ac:dyDescent="0.25">
      <c r="F1024" s="21" t="s">
        <v>1786</v>
      </c>
      <c r="G1024" s="19">
        <v>3250658</v>
      </c>
    </row>
    <row r="1025" spans="6:7" x14ac:dyDescent="0.25">
      <c r="F1025" s="21" t="s">
        <v>2792</v>
      </c>
      <c r="G1025" s="19">
        <v>3996576</v>
      </c>
    </row>
    <row r="1026" spans="6:7" x14ac:dyDescent="0.25">
      <c r="F1026" s="21" t="s">
        <v>2315</v>
      </c>
      <c r="G1026" s="19">
        <v>46936843</v>
      </c>
    </row>
    <row r="1027" spans="6:7" x14ac:dyDescent="0.25">
      <c r="F1027" s="21" t="s">
        <v>2764</v>
      </c>
      <c r="G1027" s="19">
        <v>31502875</v>
      </c>
    </row>
    <row r="1028" spans="6:7" x14ac:dyDescent="0.25">
      <c r="F1028" s="21" t="s">
        <v>2494</v>
      </c>
      <c r="G1028" s="19">
        <v>19520788</v>
      </c>
    </row>
    <row r="1029" spans="6:7" x14ac:dyDescent="0.25">
      <c r="F1029" s="21" t="s">
        <v>2664</v>
      </c>
      <c r="G1029" s="19">
        <v>33025125</v>
      </c>
    </row>
    <row r="1030" spans="6:7" x14ac:dyDescent="0.25">
      <c r="F1030" s="21" t="s">
        <v>2798</v>
      </c>
      <c r="G1030" s="19">
        <v>36423198</v>
      </c>
    </row>
    <row r="1031" spans="6:7" x14ac:dyDescent="0.25">
      <c r="F1031" s="21" t="s">
        <v>2280</v>
      </c>
      <c r="G1031" s="19">
        <v>16060027</v>
      </c>
    </row>
    <row r="1032" spans="6:7" x14ac:dyDescent="0.25">
      <c r="F1032" s="21" t="s">
        <v>2835</v>
      </c>
      <c r="G1032" s="19">
        <v>48423189</v>
      </c>
    </row>
    <row r="1033" spans="6:7" x14ac:dyDescent="0.25">
      <c r="F1033" s="21" t="s">
        <v>1626</v>
      </c>
      <c r="G1033" s="19">
        <v>32843166</v>
      </c>
    </row>
    <row r="1034" spans="6:7" x14ac:dyDescent="0.25">
      <c r="F1034" s="21" t="s">
        <v>2084</v>
      </c>
      <c r="G1034" s="19">
        <v>17371014</v>
      </c>
    </row>
    <row r="1035" spans="6:7" x14ac:dyDescent="0.25">
      <c r="F1035" s="21" t="s">
        <v>2184</v>
      </c>
      <c r="G1035" s="19">
        <v>20264974</v>
      </c>
    </row>
    <row r="1036" spans="6:7" x14ac:dyDescent="0.25">
      <c r="F1036" s="21" t="s">
        <v>2079</v>
      </c>
      <c r="G1036" s="19">
        <v>28072711</v>
      </c>
    </row>
    <row r="1037" spans="6:7" x14ac:dyDescent="0.25">
      <c r="F1037" s="21" t="s">
        <v>1712</v>
      </c>
      <c r="G1037" s="19">
        <v>49024035</v>
      </c>
    </row>
    <row r="1038" spans="6:7" x14ac:dyDescent="0.25">
      <c r="F1038" s="21" t="s">
        <v>1851</v>
      </c>
      <c r="G1038" s="19">
        <v>2221409</v>
      </c>
    </row>
    <row r="1039" spans="6:7" x14ac:dyDescent="0.25">
      <c r="F1039" s="21" t="s">
        <v>1977</v>
      </c>
      <c r="G1039" s="19">
        <v>36773181</v>
      </c>
    </row>
    <row r="1040" spans="6:7" x14ac:dyDescent="0.25">
      <c r="F1040" s="21" t="s">
        <v>1753</v>
      </c>
      <c r="G1040" s="19">
        <v>36095777</v>
      </c>
    </row>
    <row r="1041" spans="6:7" x14ac:dyDescent="0.25">
      <c r="F1041" s="21" t="s">
        <v>2553</v>
      </c>
      <c r="G1041" s="19">
        <v>19654054</v>
      </c>
    </row>
    <row r="1042" spans="6:7" x14ac:dyDescent="0.25">
      <c r="F1042" s="21" t="s">
        <v>3021</v>
      </c>
      <c r="G1042" s="19">
        <v>36704315</v>
      </c>
    </row>
    <row r="1043" spans="6:7" x14ac:dyDescent="0.25">
      <c r="F1043" s="21" t="s">
        <v>3010</v>
      </c>
      <c r="G1043" s="19">
        <v>545082</v>
      </c>
    </row>
    <row r="1044" spans="6:7" x14ac:dyDescent="0.25">
      <c r="F1044" s="21" t="s">
        <v>2472</v>
      </c>
      <c r="G1044" s="19">
        <v>40624612</v>
      </c>
    </row>
    <row r="1045" spans="6:7" x14ac:dyDescent="0.25">
      <c r="F1045" s="21" t="s">
        <v>2005</v>
      </c>
      <c r="G1045" s="19">
        <v>27331876</v>
      </c>
    </row>
    <row r="1046" spans="6:7" x14ac:dyDescent="0.25">
      <c r="F1046" s="21" t="s">
        <v>2031</v>
      </c>
      <c r="G1046" s="19">
        <v>27164929</v>
      </c>
    </row>
    <row r="1047" spans="6:7" x14ac:dyDescent="0.25">
      <c r="F1047" s="21" t="s">
        <v>2906</v>
      </c>
      <c r="G1047" s="19">
        <v>14403794</v>
      </c>
    </row>
    <row r="1048" spans="6:7" x14ac:dyDescent="0.25">
      <c r="F1048" s="21" t="s">
        <v>2125</v>
      </c>
      <c r="G1048" s="19">
        <v>6298165</v>
      </c>
    </row>
    <row r="1049" spans="6:7" x14ac:dyDescent="0.25">
      <c r="F1049" s="21" t="s">
        <v>1946</v>
      </c>
      <c r="G1049" s="19">
        <v>29745872</v>
      </c>
    </row>
    <row r="1050" spans="6:7" x14ac:dyDescent="0.25">
      <c r="F1050" s="21" t="s">
        <v>1684</v>
      </c>
      <c r="G1050" s="19">
        <v>7005647</v>
      </c>
    </row>
    <row r="1051" spans="6:7" x14ac:dyDescent="0.25">
      <c r="F1051" s="21" t="s">
        <v>1702</v>
      </c>
      <c r="G1051" s="19">
        <v>47820196</v>
      </c>
    </row>
    <row r="1052" spans="6:7" x14ac:dyDescent="0.25">
      <c r="F1052" s="21" t="s">
        <v>2467</v>
      </c>
      <c r="G1052" s="19">
        <v>41122352</v>
      </c>
    </row>
    <row r="1053" spans="6:7" x14ac:dyDescent="0.25">
      <c r="F1053" s="21" t="s">
        <v>2296</v>
      </c>
      <c r="G1053" s="19">
        <v>6082739</v>
      </c>
    </row>
    <row r="1054" spans="6:7" x14ac:dyDescent="0.25">
      <c r="F1054" s="21" t="s">
        <v>2659</v>
      </c>
      <c r="G1054" s="19">
        <v>3600591</v>
      </c>
    </row>
    <row r="1055" spans="6:7" x14ac:dyDescent="0.25">
      <c r="F1055" s="21" t="s">
        <v>2737</v>
      </c>
      <c r="G1055" s="19">
        <v>35748813</v>
      </c>
    </row>
    <row r="1056" spans="6:7" x14ac:dyDescent="0.25">
      <c r="F1056" s="21" t="s">
        <v>2649</v>
      </c>
      <c r="G1056" s="19">
        <v>18179953</v>
      </c>
    </row>
    <row r="1057" spans="6:7" x14ac:dyDescent="0.25">
      <c r="F1057" s="21" t="s">
        <v>2592</v>
      </c>
      <c r="G1057" s="19">
        <v>39959021</v>
      </c>
    </row>
    <row r="1058" spans="6:7" x14ac:dyDescent="0.25">
      <c r="F1058" s="21" t="s">
        <v>2964</v>
      </c>
      <c r="G1058" s="19">
        <v>25123752</v>
      </c>
    </row>
    <row r="1059" spans="6:7" x14ac:dyDescent="0.25">
      <c r="F1059" s="21" t="s">
        <v>2731</v>
      </c>
      <c r="G1059" s="19">
        <v>37976927</v>
      </c>
    </row>
    <row r="1060" spans="6:7" x14ac:dyDescent="0.25">
      <c r="F1060" s="21" t="s">
        <v>2390</v>
      </c>
      <c r="G1060" s="19">
        <v>15674834</v>
      </c>
    </row>
    <row r="1061" spans="6:7" x14ac:dyDescent="0.25">
      <c r="F1061" s="21" t="s">
        <v>1587</v>
      </c>
      <c r="G1061" s="19">
        <v>442202</v>
      </c>
    </row>
    <row r="1062" spans="6:7" x14ac:dyDescent="0.25">
      <c r="F1062" s="21" t="s">
        <v>2123</v>
      </c>
      <c r="G1062" s="19">
        <v>28374158</v>
      </c>
    </row>
    <row r="1063" spans="6:7" x14ac:dyDescent="0.25">
      <c r="F1063" s="21" t="s">
        <v>2571</v>
      </c>
      <c r="G1063" s="19">
        <v>15759419</v>
      </c>
    </row>
    <row r="1064" spans="6:7" x14ac:dyDescent="0.25">
      <c r="F1064" s="21" t="s">
        <v>1692</v>
      </c>
      <c r="G1064" s="19">
        <v>17739812</v>
      </c>
    </row>
    <row r="1065" spans="6:7" x14ac:dyDescent="0.25">
      <c r="F1065" s="21" t="s">
        <v>2455</v>
      </c>
      <c r="G1065" s="19">
        <v>20422948</v>
      </c>
    </row>
    <row r="1066" spans="6:7" x14ac:dyDescent="0.25">
      <c r="F1066" s="21" t="s">
        <v>2539</v>
      </c>
      <c r="G1066" s="19">
        <v>33423829</v>
      </c>
    </row>
    <row r="1067" spans="6:7" x14ac:dyDescent="0.25">
      <c r="F1067" s="21" t="s">
        <v>2735</v>
      </c>
      <c r="G1067" s="19">
        <v>39190514</v>
      </c>
    </row>
    <row r="1068" spans="6:7" x14ac:dyDescent="0.25">
      <c r="F1068" s="21" t="s">
        <v>1838</v>
      </c>
      <c r="G1068" s="19">
        <v>7072181</v>
      </c>
    </row>
    <row r="1069" spans="6:7" x14ac:dyDescent="0.25">
      <c r="F1069" s="21" t="s">
        <v>1624</v>
      </c>
      <c r="G1069" s="19">
        <v>40554251</v>
      </c>
    </row>
    <row r="1070" spans="6:7" x14ac:dyDescent="0.25">
      <c r="F1070" s="21" t="s">
        <v>1882</v>
      </c>
      <c r="G1070" s="19">
        <v>22208251</v>
      </c>
    </row>
    <row r="1071" spans="6:7" x14ac:dyDescent="0.25">
      <c r="F1071" s="21" t="s">
        <v>1891</v>
      </c>
      <c r="G1071" s="19">
        <v>49445085</v>
      </c>
    </row>
    <row r="1072" spans="6:7" x14ac:dyDescent="0.25">
      <c r="F1072" s="21" t="s">
        <v>1675</v>
      </c>
      <c r="G1072" s="19">
        <v>42481129</v>
      </c>
    </row>
    <row r="1073" spans="6:7" x14ac:dyDescent="0.25">
      <c r="F1073" s="21" t="s">
        <v>2009</v>
      </c>
      <c r="G1073" s="19">
        <v>21237403</v>
      </c>
    </row>
    <row r="1074" spans="6:7" x14ac:dyDescent="0.25">
      <c r="F1074" s="21" t="s">
        <v>2940</v>
      </c>
      <c r="G1074" s="19">
        <v>15687981</v>
      </c>
    </row>
    <row r="1075" spans="6:7" x14ac:dyDescent="0.25">
      <c r="F1075" s="21" t="s">
        <v>2348</v>
      </c>
      <c r="G1075" s="19">
        <v>40789072</v>
      </c>
    </row>
    <row r="1076" spans="6:7" x14ac:dyDescent="0.25">
      <c r="F1076" s="21" t="s">
        <v>1756</v>
      </c>
      <c r="G1076" s="19">
        <v>48556338</v>
      </c>
    </row>
    <row r="1077" spans="6:7" x14ac:dyDescent="0.25">
      <c r="F1077" s="21" t="s">
        <v>2266</v>
      </c>
      <c r="G1077" s="19">
        <v>48181043</v>
      </c>
    </row>
    <row r="1078" spans="6:7" x14ac:dyDescent="0.25">
      <c r="F1078" s="21" t="s">
        <v>2437</v>
      </c>
      <c r="G1078" s="19">
        <v>31601403</v>
      </c>
    </row>
    <row r="1079" spans="6:7" x14ac:dyDescent="0.25">
      <c r="F1079" s="21" t="s">
        <v>2587</v>
      </c>
      <c r="G1079" s="19">
        <v>2980768</v>
      </c>
    </row>
    <row r="1080" spans="6:7" x14ac:dyDescent="0.25">
      <c r="F1080" s="21" t="s">
        <v>2062</v>
      </c>
      <c r="G1080" s="19">
        <v>8739087</v>
      </c>
    </row>
    <row r="1081" spans="6:7" x14ac:dyDescent="0.25">
      <c r="F1081" s="21" t="s">
        <v>1795</v>
      </c>
      <c r="G1081" s="19">
        <v>32720463</v>
      </c>
    </row>
    <row r="1082" spans="6:7" x14ac:dyDescent="0.25">
      <c r="F1082" s="21" t="s">
        <v>2654</v>
      </c>
      <c r="G1082" s="19">
        <v>6670172</v>
      </c>
    </row>
    <row r="1083" spans="6:7" x14ac:dyDescent="0.25">
      <c r="F1083" s="21" t="s">
        <v>1865</v>
      </c>
      <c r="G1083" s="19">
        <v>32426853</v>
      </c>
    </row>
    <row r="1084" spans="6:7" x14ac:dyDescent="0.25">
      <c r="F1084" s="21" t="s">
        <v>3018</v>
      </c>
      <c r="G1084" s="19">
        <v>17433743</v>
      </c>
    </row>
    <row r="1085" spans="6:7" x14ac:dyDescent="0.25">
      <c r="F1085" s="21" t="s">
        <v>2271</v>
      </c>
      <c r="G1085" s="19">
        <v>7386215</v>
      </c>
    </row>
    <row r="1086" spans="6:7" x14ac:dyDescent="0.25">
      <c r="F1086" s="21" t="s">
        <v>2692</v>
      </c>
      <c r="G1086" s="19">
        <v>35578769</v>
      </c>
    </row>
    <row r="1087" spans="6:7" x14ac:dyDescent="0.25">
      <c r="F1087" s="21" t="s">
        <v>2789</v>
      </c>
      <c r="G1087" s="19">
        <v>5947211</v>
      </c>
    </row>
    <row r="1088" spans="6:7" x14ac:dyDescent="0.25">
      <c r="F1088" s="21" t="s">
        <v>2514</v>
      </c>
      <c r="G1088" s="19">
        <v>3223777</v>
      </c>
    </row>
    <row r="1089" spans="6:7" x14ac:dyDescent="0.25">
      <c r="F1089" s="21" t="s">
        <v>3001</v>
      </c>
      <c r="G1089" s="19">
        <v>19579468</v>
      </c>
    </row>
    <row r="1090" spans="6:7" x14ac:dyDescent="0.25">
      <c r="F1090" s="21" t="s">
        <v>2110</v>
      </c>
      <c r="G1090" s="19">
        <v>3213377</v>
      </c>
    </row>
    <row r="1091" spans="6:7" x14ac:dyDescent="0.25">
      <c r="F1091" s="21" t="s">
        <v>1625</v>
      </c>
      <c r="G1091" s="19">
        <v>35299046</v>
      </c>
    </row>
    <row r="1092" spans="6:7" x14ac:dyDescent="0.25">
      <c r="F1092" s="21" t="s">
        <v>2462</v>
      </c>
      <c r="G1092" s="19">
        <v>42346011</v>
      </c>
    </row>
    <row r="1093" spans="6:7" x14ac:dyDescent="0.25">
      <c r="F1093" s="21" t="s">
        <v>2172</v>
      </c>
      <c r="G1093" s="19">
        <v>11344672</v>
      </c>
    </row>
    <row r="1094" spans="6:7" x14ac:dyDescent="0.25">
      <c r="F1094" s="21" t="s">
        <v>2948</v>
      </c>
      <c r="G1094" s="19">
        <v>18876045</v>
      </c>
    </row>
    <row r="1095" spans="6:7" x14ac:dyDescent="0.25">
      <c r="F1095" s="21" t="s">
        <v>1934</v>
      </c>
      <c r="G1095" s="19">
        <v>11451728</v>
      </c>
    </row>
    <row r="1096" spans="6:7" x14ac:dyDescent="0.25">
      <c r="F1096" s="21" t="s">
        <v>2240</v>
      </c>
      <c r="G1096" s="19">
        <v>24133945</v>
      </c>
    </row>
    <row r="1097" spans="6:7" x14ac:dyDescent="0.25">
      <c r="F1097" s="21" t="s">
        <v>2641</v>
      </c>
      <c r="G1097" s="19">
        <v>14154513</v>
      </c>
    </row>
    <row r="1098" spans="6:7" x14ac:dyDescent="0.25">
      <c r="F1098" s="21" t="s">
        <v>2041</v>
      </c>
      <c r="G1098" s="19">
        <v>1204849</v>
      </c>
    </row>
    <row r="1099" spans="6:7" x14ac:dyDescent="0.25">
      <c r="F1099" s="21" t="s">
        <v>1650</v>
      </c>
      <c r="G1099" s="19">
        <v>268392</v>
      </c>
    </row>
    <row r="1100" spans="6:7" x14ac:dyDescent="0.25">
      <c r="F1100" s="21" t="s">
        <v>1602</v>
      </c>
      <c r="G1100" s="19">
        <v>825650</v>
      </c>
    </row>
    <row r="1101" spans="6:7" x14ac:dyDescent="0.25">
      <c r="F1101" s="21" t="s">
        <v>2618</v>
      </c>
      <c r="G1101" s="19">
        <v>18653565</v>
      </c>
    </row>
    <row r="1102" spans="6:7" x14ac:dyDescent="0.25">
      <c r="F1102" s="21" t="s">
        <v>1850</v>
      </c>
      <c r="G1102" s="19">
        <v>30871818</v>
      </c>
    </row>
    <row r="1103" spans="6:7" x14ac:dyDescent="0.25">
      <c r="F1103" s="21" t="s">
        <v>1918</v>
      </c>
      <c r="G1103" s="19">
        <v>4112326</v>
      </c>
    </row>
    <row r="1104" spans="6:7" x14ac:dyDescent="0.25">
      <c r="F1104" s="21" t="s">
        <v>2778</v>
      </c>
      <c r="G1104" s="19">
        <v>27148785</v>
      </c>
    </row>
    <row r="1105" spans="6:7" x14ac:dyDescent="0.25">
      <c r="F1105" s="21" t="s">
        <v>2417</v>
      </c>
      <c r="G1105" s="19">
        <v>39561651</v>
      </c>
    </row>
    <row r="1106" spans="6:7" x14ac:dyDescent="0.25">
      <c r="F1106" s="21" t="s">
        <v>2552</v>
      </c>
      <c r="G1106" s="19">
        <v>1626680</v>
      </c>
    </row>
    <row r="1107" spans="6:7" x14ac:dyDescent="0.25">
      <c r="F1107" s="21" t="s">
        <v>2826</v>
      </c>
      <c r="G1107" s="19">
        <v>15363459</v>
      </c>
    </row>
    <row r="1108" spans="6:7" x14ac:dyDescent="0.25">
      <c r="F1108" s="21" t="s">
        <v>2546</v>
      </c>
      <c r="G1108" s="19">
        <v>17056688</v>
      </c>
    </row>
    <row r="1109" spans="6:7" x14ac:dyDescent="0.25">
      <c r="F1109" s="21" t="s">
        <v>3013</v>
      </c>
      <c r="G1109" s="19">
        <v>14076399</v>
      </c>
    </row>
    <row r="1110" spans="6:7" x14ac:dyDescent="0.25">
      <c r="F1110" s="21" t="s">
        <v>2727</v>
      </c>
      <c r="G1110" s="19">
        <v>38441746</v>
      </c>
    </row>
    <row r="1111" spans="6:7" x14ac:dyDescent="0.25">
      <c r="F1111" s="21" t="s">
        <v>2857</v>
      </c>
      <c r="G1111" s="19">
        <v>18987259</v>
      </c>
    </row>
    <row r="1112" spans="6:7" x14ac:dyDescent="0.25">
      <c r="F1112" s="21" t="s">
        <v>3032</v>
      </c>
      <c r="G1112" s="19">
        <v>21997052</v>
      </c>
    </row>
    <row r="1113" spans="6:7" x14ac:dyDescent="0.25">
      <c r="F1113" s="21" t="s">
        <v>2527</v>
      </c>
      <c r="G1113" s="19">
        <v>12805702</v>
      </c>
    </row>
    <row r="1114" spans="6:7" x14ac:dyDescent="0.25">
      <c r="F1114" s="21" t="s">
        <v>2703</v>
      </c>
      <c r="G1114" s="19">
        <v>40128386</v>
      </c>
    </row>
    <row r="1115" spans="6:7" x14ac:dyDescent="0.25">
      <c r="F1115" s="21" t="s">
        <v>1738</v>
      </c>
      <c r="G1115" s="19">
        <v>1382184</v>
      </c>
    </row>
    <row r="1116" spans="6:7" x14ac:dyDescent="0.25">
      <c r="F1116" s="21" t="s">
        <v>2152</v>
      </c>
      <c r="G1116" s="19">
        <v>37993124</v>
      </c>
    </row>
    <row r="1117" spans="6:7" x14ac:dyDescent="0.25">
      <c r="F1117" s="21" t="s">
        <v>2978</v>
      </c>
      <c r="G1117" s="19">
        <v>32144525</v>
      </c>
    </row>
    <row r="1118" spans="6:7" x14ac:dyDescent="0.25">
      <c r="F1118" s="21" t="s">
        <v>2145</v>
      </c>
      <c r="G1118" s="19">
        <v>20352896</v>
      </c>
    </row>
    <row r="1119" spans="6:7" x14ac:dyDescent="0.25">
      <c r="F1119" s="21" t="s">
        <v>2531</v>
      </c>
      <c r="G1119" s="19">
        <v>3145434</v>
      </c>
    </row>
    <row r="1120" spans="6:7" x14ac:dyDescent="0.25">
      <c r="F1120" s="21" t="s">
        <v>1581</v>
      </c>
      <c r="G1120" s="19">
        <v>5633482</v>
      </c>
    </row>
    <row r="1121" spans="6:7" x14ac:dyDescent="0.25">
      <c r="F1121" s="21" t="s">
        <v>2957</v>
      </c>
      <c r="G1121" s="19">
        <v>46833398</v>
      </c>
    </row>
    <row r="1122" spans="6:7" x14ac:dyDescent="0.25">
      <c r="F1122" s="21" t="s">
        <v>2385</v>
      </c>
      <c r="G1122" s="19">
        <v>41211059</v>
      </c>
    </row>
    <row r="1123" spans="6:7" x14ac:dyDescent="0.25">
      <c r="F1123" s="21" t="s">
        <v>2624</v>
      </c>
      <c r="G1123" s="19">
        <v>43829485</v>
      </c>
    </row>
    <row r="1124" spans="6:7" x14ac:dyDescent="0.25">
      <c r="F1124" s="21" t="s">
        <v>1779</v>
      </c>
      <c r="G1124" s="19">
        <v>14146485</v>
      </c>
    </row>
    <row r="1125" spans="6:7" x14ac:dyDescent="0.25">
      <c r="F1125" s="21" t="s">
        <v>2087</v>
      </c>
      <c r="G1125" s="19">
        <v>13943772</v>
      </c>
    </row>
    <row r="1126" spans="6:7" x14ac:dyDescent="0.25">
      <c r="F1126" s="21" t="s">
        <v>2316</v>
      </c>
      <c r="G1126" s="19">
        <v>44085775</v>
      </c>
    </row>
    <row r="1127" spans="6:7" x14ac:dyDescent="0.25">
      <c r="F1127" s="21" t="s">
        <v>2422</v>
      </c>
      <c r="G1127" s="19">
        <v>30622419</v>
      </c>
    </row>
    <row r="1128" spans="6:7" x14ac:dyDescent="0.25">
      <c r="F1128" s="21" t="s">
        <v>2138</v>
      </c>
      <c r="G1128" s="19">
        <v>33662925</v>
      </c>
    </row>
    <row r="1129" spans="6:7" x14ac:dyDescent="0.25">
      <c r="F1129" s="21" t="s">
        <v>1930</v>
      </c>
      <c r="G1129" s="19">
        <v>15499663</v>
      </c>
    </row>
    <row r="1130" spans="6:7" x14ac:dyDescent="0.25">
      <c r="F1130" s="21" t="s">
        <v>2669</v>
      </c>
      <c r="G1130" s="19">
        <v>22184043</v>
      </c>
    </row>
    <row r="1131" spans="6:7" x14ac:dyDescent="0.25">
      <c r="F1131" s="21" t="s">
        <v>2310</v>
      </c>
      <c r="G1131" s="19">
        <v>21223755</v>
      </c>
    </row>
    <row r="1132" spans="6:7" x14ac:dyDescent="0.25">
      <c r="F1132" s="21" t="s">
        <v>2325</v>
      </c>
      <c r="G1132" s="19">
        <v>25745483</v>
      </c>
    </row>
    <row r="1133" spans="6:7" x14ac:dyDescent="0.25">
      <c r="F1133" s="21" t="s">
        <v>1878</v>
      </c>
      <c r="G1133" s="19">
        <v>37709999</v>
      </c>
    </row>
    <row r="1134" spans="6:7" x14ac:dyDescent="0.25">
      <c r="F1134" s="21" t="s">
        <v>2045</v>
      </c>
      <c r="G1134" s="19">
        <v>16079866</v>
      </c>
    </row>
    <row r="1135" spans="6:7" x14ac:dyDescent="0.25">
      <c r="F1135" s="21" t="s">
        <v>1847</v>
      </c>
      <c r="G1135" s="19">
        <v>36459056</v>
      </c>
    </row>
    <row r="1136" spans="6:7" x14ac:dyDescent="0.25">
      <c r="F1136" s="21" t="s">
        <v>1963</v>
      </c>
      <c r="G1136" s="19">
        <v>22251318</v>
      </c>
    </row>
    <row r="1137" spans="6:7" x14ac:dyDescent="0.25">
      <c r="F1137" s="21" t="s">
        <v>2741</v>
      </c>
      <c r="G1137" s="19">
        <v>49678846</v>
      </c>
    </row>
    <row r="1138" spans="6:7" x14ac:dyDescent="0.25">
      <c r="F1138" s="21" t="s">
        <v>2607</v>
      </c>
      <c r="G1138" s="19">
        <v>1613003</v>
      </c>
    </row>
    <row r="1139" spans="6:7" x14ac:dyDescent="0.25">
      <c r="F1139" s="21" t="s">
        <v>2226</v>
      </c>
      <c r="G1139" s="19">
        <v>18441162</v>
      </c>
    </row>
    <row r="1140" spans="6:7" x14ac:dyDescent="0.25">
      <c r="F1140" s="21" t="s">
        <v>1707</v>
      </c>
      <c r="G1140" s="19">
        <v>47677651</v>
      </c>
    </row>
    <row r="1141" spans="6:7" x14ac:dyDescent="0.25">
      <c r="F1141" s="21" t="s">
        <v>2604</v>
      </c>
      <c r="G1141" s="19">
        <v>38632182</v>
      </c>
    </row>
    <row r="1142" spans="6:7" x14ac:dyDescent="0.25">
      <c r="F1142" s="21" t="s">
        <v>1579</v>
      </c>
      <c r="G1142" s="19">
        <v>19994413</v>
      </c>
    </row>
    <row r="1143" spans="6:7" x14ac:dyDescent="0.25">
      <c r="F1143" s="21" t="s">
        <v>2578</v>
      </c>
      <c r="G1143" s="19">
        <v>5285255</v>
      </c>
    </row>
    <row r="1144" spans="6:7" x14ac:dyDescent="0.25">
      <c r="F1144" s="21" t="s">
        <v>1989</v>
      </c>
      <c r="G1144" s="19">
        <v>43959337</v>
      </c>
    </row>
    <row r="1145" spans="6:7" x14ac:dyDescent="0.25">
      <c r="F1145" s="21" t="s">
        <v>2785</v>
      </c>
      <c r="G1145" s="19">
        <v>36218471</v>
      </c>
    </row>
    <row r="1146" spans="6:7" x14ac:dyDescent="0.25">
      <c r="F1146" s="21" t="s">
        <v>2638</v>
      </c>
      <c r="G1146" s="19">
        <v>38873262</v>
      </c>
    </row>
    <row r="1147" spans="6:7" x14ac:dyDescent="0.25">
      <c r="F1147" s="21" t="s">
        <v>1988</v>
      </c>
      <c r="G1147" s="19">
        <v>25700796</v>
      </c>
    </row>
    <row r="1148" spans="6:7" x14ac:dyDescent="0.25">
      <c r="F1148" s="21" t="s">
        <v>2879</v>
      </c>
      <c r="G1148" s="19">
        <v>39842892</v>
      </c>
    </row>
    <row r="1149" spans="6:7" x14ac:dyDescent="0.25">
      <c r="F1149" s="21" t="s">
        <v>2235</v>
      </c>
      <c r="G1149" s="19">
        <v>30586026</v>
      </c>
    </row>
    <row r="1150" spans="6:7" x14ac:dyDescent="0.25">
      <c r="F1150" s="21" t="s">
        <v>1524</v>
      </c>
      <c r="G1150" s="19">
        <v>13555456</v>
      </c>
    </row>
    <row r="1151" spans="6:7" x14ac:dyDescent="0.25">
      <c r="F1151" s="21" t="s">
        <v>2351</v>
      </c>
      <c r="G1151" s="19">
        <v>49660702</v>
      </c>
    </row>
    <row r="1152" spans="6:7" x14ac:dyDescent="0.25">
      <c r="F1152" s="21" t="s">
        <v>1803</v>
      </c>
      <c r="G1152" s="19">
        <v>34077646</v>
      </c>
    </row>
    <row r="1153" spans="6:7" x14ac:dyDescent="0.25">
      <c r="F1153" s="21" t="s">
        <v>2564</v>
      </c>
      <c r="G1153" s="19">
        <v>25446246</v>
      </c>
    </row>
    <row r="1154" spans="6:7" x14ac:dyDescent="0.25">
      <c r="F1154" s="21" t="s">
        <v>2855</v>
      </c>
      <c r="G1154" s="19">
        <v>36667517</v>
      </c>
    </row>
    <row r="1155" spans="6:7" x14ac:dyDescent="0.25">
      <c r="F1155" s="21" t="s">
        <v>2716</v>
      </c>
      <c r="G1155" s="19">
        <v>39399029</v>
      </c>
    </row>
    <row r="1156" spans="6:7" x14ac:dyDescent="0.25">
      <c r="F1156" s="21" t="s">
        <v>2639</v>
      </c>
      <c r="G1156" s="19">
        <v>45178854</v>
      </c>
    </row>
    <row r="1157" spans="6:7" x14ac:dyDescent="0.25">
      <c r="F1157" s="21" t="s">
        <v>2944</v>
      </c>
      <c r="G1157" s="19">
        <v>3312425</v>
      </c>
    </row>
    <row r="1158" spans="6:7" x14ac:dyDescent="0.25">
      <c r="F1158" s="21" t="s">
        <v>1970</v>
      </c>
      <c r="G1158" s="19">
        <v>20444708</v>
      </c>
    </row>
    <row r="1159" spans="6:7" x14ac:dyDescent="0.25">
      <c r="F1159" s="21" t="s">
        <v>2684</v>
      </c>
      <c r="G1159" s="19">
        <v>2280172</v>
      </c>
    </row>
    <row r="1160" spans="6:7" x14ac:dyDescent="0.25">
      <c r="F1160" s="21" t="s">
        <v>2291</v>
      </c>
      <c r="G1160" s="19">
        <v>6139932</v>
      </c>
    </row>
    <row r="1161" spans="6:7" x14ac:dyDescent="0.25">
      <c r="F1161" s="21" t="s">
        <v>2484</v>
      </c>
      <c r="G1161" s="19">
        <v>43064908</v>
      </c>
    </row>
    <row r="1162" spans="6:7" x14ac:dyDescent="0.25">
      <c r="F1162" s="21" t="s">
        <v>2122</v>
      </c>
      <c r="G1162" s="19">
        <v>46758786</v>
      </c>
    </row>
    <row r="1163" spans="6:7" x14ac:dyDescent="0.25">
      <c r="F1163" s="21" t="s">
        <v>3026</v>
      </c>
      <c r="G1163" s="19">
        <v>2029591</v>
      </c>
    </row>
    <row r="1164" spans="6:7" x14ac:dyDescent="0.25">
      <c r="F1164" s="21" t="s">
        <v>2642</v>
      </c>
      <c r="G1164" s="19">
        <v>24237967</v>
      </c>
    </row>
    <row r="1165" spans="6:7" x14ac:dyDescent="0.25">
      <c r="F1165" s="21" t="s">
        <v>2600</v>
      </c>
      <c r="G1165" s="19">
        <v>41254906</v>
      </c>
    </row>
    <row r="1166" spans="6:7" x14ac:dyDescent="0.25">
      <c r="F1166" s="21" t="s">
        <v>2726</v>
      </c>
      <c r="G1166" s="19">
        <v>39611341</v>
      </c>
    </row>
    <row r="1167" spans="6:7" x14ac:dyDescent="0.25">
      <c r="F1167" s="21" t="s">
        <v>1648</v>
      </c>
      <c r="G1167" s="19">
        <v>28795267</v>
      </c>
    </row>
    <row r="1168" spans="6:7" x14ac:dyDescent="0.25">
      <c r="F1168" s="21" t="s">
        <v>2030</v>
      </c>
      <c r="G1168" s="19">
        <v>1816143</v>
      </c>
    </row>
    <row r="1169" spans="6:7" x14ac:dyDescent="0.25">
      <c r="F1169" s="21" t="s">
        <v>1774</v>
      </c>
      <c r="G1169" s="19">
        <v>31091381</v>
      </c>
    </row>
    <row r="1170" spans="6:7" x14ac:dyDescent="0.25">
      <c r="F1170" s="21" t="s">
        <v>2406</v>
      </c>
      <c r="G1170" s="19">
        <v>32947079</v>
      </c>
    </row>
    <row r="1171" spans="6:7" x14ac:dyDescent="0.25">
      <c r="F1171" s="21" t="s">
        <v>1771</v>
      </c>
      <c r="G1171" s="19">
        <v>41030907</v>
      </c>
    </row>
    <row r="1172" spans="6:7" x14ac:dyDescent="0.25">
      <c r="F1172" s="21" t="s">
        <v>2800</v>
      </c>
      <c r="G1172" s="19">
        <v>29237138</v>
      </c>
    </row>
    <row r="1173" spans="6:7" x14ac:dyDescent="0.25">
      <c r="F1173" s="21" t="s">
        <v>1778</v>
      </c>
      <c r="G1173" s="19">
        <v>35524392</v>
      </c>
    </row>
    <row r="1174" spans="6:7" x14ac:dyDescent="0.25">
      <c r="F1174" s="21" t="s">
        <v>2633</v>
      </c>
      <c r="G1174" s="19">
        <v>4527357</v>
      </c>
    </row>
    <row r="1175" spans="6:7" x14ac:dyDescent="0.25">
      <c r="F1175" s="21" t="s">
        <v>1926</v>
      </c>
      <c r="G1175" s="19">
        <v>32098539</v>
      </c>
    </row>
    <row r="1176" spans="6:7" x14ac:dyDescent="0.25">
      <c r="F1176" s="21" t="s">
        <v>2273</v>
      </c>
      <c r="G1176" s="19">
        <v>36917485</v>
      </c>
    </row>
    <row r="1177" spans="6:7" x14ac:dyDescent="0.25">
      <c r="F1177" s="21" t="s">
        <v>2049</v>
      </c>
      <c r="G1177" s="19">
        <v>15062219</v>
      </c>
    </row>
    <row r="1178" spans="6:7" x14ac:dyDescent="0.25">
      <c r="F1178" s="21" t="s">
        <v>2377</v>
      </c>
      <c r="G1178" s="19">
        <v>31753212</v>
      </c>
    </row>
    <row r="1179" spans="6:7" x14ac:dyDescent="0.25">
      <c r="F1179" s="21" t="s">
        <v>2074</v>
      </c>
      <c r="G1179" s="19">
        <v>16635255</v>
      </c>
    </row>
    <row r="1180" spans="6:7" x14ac:dyDescent="0.25">
      <c r="F1180" s="21" t="s">
        <v>2984</v>
      </c>
      <c r="G1180" s="19">
        <v>7881916</v>
      </c>
    </row>
    <row r="1181" spans="6:7" x14ac:dyDescent="0.25">
      <c r="F1181" s="21" t="s">
        <v>2063</v>
      </c>
      <c r="G1181" s="19">
        <v>38225371</v>
      </c>
    </row>
    <row r="1182" spans="6:7" x14ac:dyDescent="0.25">
      <c r="F1182" s="21" t="s">
        <v>2418</v>
      </c>
      <c r="G1182" s="19">
        <v>2535988</v>
      </c>
    </row>
    <row r="1183" spans="6:7" x14ac:dyDescent="0.25">
      <c r="F1183" s="21" t="s">
        <v>2471</v>
      </c>
      <c r="G1183" s="19">
        <v>41562784</v>
      </c>
    </row>
    <row r="1184" spans="6:7" x14ac:dyDescent="0.25">
      <c r="F1184" s="21" t="s">
        <v>2264</v>
      </c>
      <c r="G1184" s="19">
        <v>47059467</v>
      </c>
    </row>
    <row r="1185" spans="6:7" x14ac:dyDescent="0.25">
      <c r="F1185" s="21" t="s">
        <v>1993</v>
      </c>
      <c r="G1185" s="19">
        <v>35122947</v>
      </c>
    </row>
    <row r="1186" spans="6:7" x14ac:dyDescent="0.25">
      <c r="F1186" s="21" t="s">
        <v>2065</v>
      </c>
      <c r="G1186" s="19">
        <v>44774267</v>
      </c>
    </row>
    <row r="1187" spans="6:7" x14ac:dyDescent="0.25">
      <c r="F1187" s="21" t="s">
        <v>2886</v>
      </c>
      <c r="G1187" s="19">
        <v>37001912</v>
      </c>
    </row>
    <row r="1188" spans="6:7" x14ac:dyDescent="0.25">
      <c r="F1188" s="21" t="s">
        <v>1852</v>
      </c>
      <c r="G1188" s="19">
        <v>45654266</v>
      </c>
    </row>
    <row r="1189" spans="6:7" x14ac:dyDescent="0.25">
      <c r="F1189" s="21" t="s">
        <v>2023</v>
      </c>
      <c r="G1189" s="19">
        <v>47352244</v>
      </c>
    </row>
    <row r="1190" spans="6:7" x14ac:dyDescent="0.25">
      <c r="F1190" s="21" t="s">
        <v>1646</v>
      </c>
      <c r="G1190" s="19">
        <v>39832579</v>
      </c>
    </row>
    <row r="1191" spans="6:7" x14ac:dyDescent="0.25">
      <c r="F1191" s="21" t="s">
        <v>2834</v>
      </c>
      <c r="G1191" s="19">
        <v>18198635</v>
      </c>
    </row>
    <row r="1192" spans="6:7" x14ac:dyDescent="0.25">
      <c r="F1192" s="21" t="s">
        <v>2311</v>
      </c>
      <c r="G1192" s="19">
        <v>31192457</v>
      </c>
    </row>
    <row r="1193" spans="6:7" x14ac:dyDescent="0.25">
      <c r="F1193" s="21" t="s">
        <v>1979</v>
      </c>
      <c r="G1193" s="19">
        <v>37278907</v>
      </c>
    </row>
    <row r="1194" spans="6:7" x14ac:dyDescent="0.25">
      <c r="F1194" s="21" t="s">
        <v>2674</v>
      </c>
      <c r="G1194" s="19">
        <v>3827591</v>
      </c>
    </row>
    <row r="1195" spans="6:7" x14ac:dyDescent="0.25">
      <c r="F1195" s="21" t="s">
        <v>2480</v>
      </c>
      <c r="G1195" s="19">
        <v>10716045</v>
      </c>
    </row>
    <row r="1196" spans="6:7" x14ac:dyDescent="0.25">
      <c r="F1196" s="21" t="s">
        <v>2159</v>
      </c>
      <c r="G1196" s="19">
        <v>6597439</v>
      </c>
    </row>
    <row r="1197" spans="6:7" x14ac:dyDescent="0.25">
      <c r="F1197" s="21" t="s">
        <v>1796</v>
      </c>
      <c r="G1197" s="19">
        <v>3962299</v>
      </c>
    </row>
    <row r="1198" spans="6:7" x14ac:dyDescent="0.25">
      <c r="F1198" s="21" t="s">
        <v>2177</v>
      </c>
      <c r="G1198" s="19">
        <v>3116660</v>
      </c>
    </row>
    <row r="1199" spans="6:7" x14ac:dyDescent="0.25">
      <c r="F1199" s="21" t="s">
        <v>1667</v>
      </c>
      <c r="G1199" s="19">
        <v>22477045</v>
      </c>
    </row>
    <row r="1200" spans="6:7" x14ac:dyDescent="0.25">
      <c r="F1200" s="21" t="s">
        <v>2210</v>
      </c>
      <c r="G1200" s="19">
        <v>31029302</v>
      </c>
    </row>
    <row r="1201" spans="6:7" x14ac:dyDescent="0.25">
      <c r="F1201" s="21" t="s">
        <v>2914</v>
      </c>
      <c r="G1201" s="19">
        <v>46289887</v>
      </c>
    </row>
    <row r="1202" spans="6:7" x14ac:dyDescent="0.25">
      <c r="F1202" s="21" t="s">
        <v>1672</v>
      </c>
      <c r="G1202" s="19">
        <v>21244463</v>
      </c>
    </row>
    <row r="1203" spans="6:7" x14ac:dyDescent="0.25">
      <c r="F1203" s="21" t="s">
        <v>2977</v>
      </c>
      <c r="G1203" s="19">
        <v>3699500</v>
      </c>
    </row>
    <row r="1204" spans="6:7" x14ac:dyDescent="0.25">
      <c r="F1204" s="21" t="s">
        <v>2613</v>
      </c>
      <c r="G1204" s="19">
        <v>11794202</v>
      </c>
    </row>
    <row r="1205" spans="6:7" x14ac:dyDescent="0.25">
      <c r="F1205" s="21" t="s">
        <v>2242</v>
      </c>
      <c r="G1205" s="19">
        <v>18065956</v>
      </c>
    </row>
    <row r="1206" spans="6:7" x14ac:dyDescent="0.25">
      <c r="F1206" s="21" t="s">
        <v>2299</v>
      </c>
      <c r="G1206" s="19">
        <v>2262545</v>
      </c>
    </row>
    <row r="1207" spans="6:7" x14ac:dyDescent="0.25">
      <c r="F1207" s="21" t="s">
        <v>2476</v>
      </c>
      <c r="G1207" s="19">
        <v>15250485</v>
      </c>
    </row>
    <row r="1208" spans="6:7" x14ac:dyDescent="0.25">
      <c r="F1208" s="21" t="s">
        <v>2024</v>
      </c>
      <c r="G1208" s="19">
        <v>41867837</v>
      </c>
    </row>
    <row r="1209" spans="6:7" x14ac:dyDescent="0.25">
      <c r="F1209" s="21" t="s">
        <v>1955</v>
      </c>
      <c r="G1209" s="19">
        <v>16328399</v>
      </c>
    </row>
    <row r="1210" spans="6:7" x14ac:dyDescent="0.25">
      <c r="F1210" s="21" t="s">
        <v>2763</v>
      </c>
      <c r="G1210" s="19">
        <v>17766466</v>
      </c>
    </row>
    <row r="1211" spans="6:7" x14ac:dyDescent="0.25">
      <c r="F1211" s="21" t="s">
        <v>2877</v>
      </c>
      <c r="G1211" s="19">
        <v>14538999</v>
      </c>
    </row>
    <row r="1212" spans="6:7" x14ac:dyDescent="0.25">
      <c r="F1212" s="21" t="s">
        <v>2889</v>
      </c>
      <c r="G1212" s="19">
        <v>16324686</v>
      </c>
    </row>
    <row r="1213" spans="6:7" x14ac:dyDescent="0.25">
      <c r="F1213" s="21" t="s">
        <v>2655</v>
      </c>
      <c r="G1213" s="19">
        <v>48914955</v>
      </c>
    </row>
    <row r="1214" spans="6:7" x14ac:dyDescent="0.25">
      <c r="F1214" s="21" t="s">
        <v>2888</v>
      </c>
      <c r="G1214" s="19">
        <v>3517821</v>
      </c>
    </row>
    <row r="1215" spans="6:7" x14ac:dyDescent="0.25">
      <c r="F1215" s="21" t="s">
        <v>2729</v>
      </c>
      <c r="G1215" s="19">
        <v>15257736</v>
      </c>
    </row>
    <row r="1216" spans="6:7" x14ac:dyDescent="0.25">
      <c r="F1216" s="21" t="s">
        <v>2230</v>
      </c>
      <c r="G1216" s="19">
        <v>48180832</v>
      </c>
    </row>
    <row r="1217" spans="6:7" x14ac:dyDescent="0.25">
      <c r="F1217" s="21" t="s">
        <v>1578</v>
      </c>
      <c r="G1217" s="19">
        <v>1481490</v>
      </c>
    </row>
    <row r="1218" spans="6:7" x14ac:dyDescent="0.25">
      <c r="F1218" s="21" t="s">
        <v>2211</v>
      </c>
      <c r="G1218" s="19">
        <v>8241738</v>
      </c>
    </row>
    <row r="1219" spans="6:7" x14ac:dyDescent="0.25">
      <c r="F1219" s="21" t="s">
        <v>2498</v>
      </c>
      <c r="G1219" s="19">
        <v>47447637</v>
      </c>
    </row>
    <row r="1220" spans="6:7" x14ac:dyDescent="0.25">
      <c r="F1220" s="21" t="s">
        <v>2381</v>
      </c>
      <c r="G1220" s="19">
        <v>19634542</v>
      </c>
    </row>
    <row r="1221" spans="6:7" x14ac:dyDescent="0.25">
      <c r="F1221" s="21" t="s">
        <v>2976</v>
      </c>
      <c r="G1221" s="19">
        <v>40861222</v>
      </c>
    </row>
    <row r="1222" spans="6:7" x14ac:dyDescent="0.25">
      <c r="F1222" s="21" t="s">
        <v>2722</v>
      </c>
      <c r="G1222" s="19">
        <v>16242471</v>
      </c>
    </row>
    <row r="1223" spans="6:7" x14ac:dyDescent="0.25">
      <c r="F1223" s="21" t="s">
        <v>1845</v>
      </c>
      <c r="G1223" s="19">
        <v>9956065</v>
      </c>
    </row>
    <row r="1224" spans="6:7" x14ac:dyDescent="0.25">
      <c r="F1224" s="21" t="s">
        <v>2680</v>
      </c>
      <c r="G1224" s="19">
        <v>43699761</v>
      </c>
    </row>
    <row r="1225" spans="6:7" x14ac:dyDescent="0.25">
      <c r="F1225" s="21" t="s">
        <v>2276</v>
      </c>
      <c r="G1225" s="19">
        <v>41338448</v>
      </c>
    </row>
    <row r="1226" spans="6:7" x14ac:dyDescent="0.25">
      <c r="F1226" s="21" t="s">
        <v>2700</v>
      </c>
      <c r="G1226" s="19">
        <v>34570241</v>
      </c>
    </row>
    <row r="1227" spans="6:7" x14ac:dyDescent="0.25">
      <c r="F1227" s="21" t="s">
        <v>2562</v>
      </c>
      <c r="G1227" s="19">
        <v>25413693</v>
      </c>
    </row>
    <row r="1228" spans="6:7" x14ac:dyDescent="0.25">
      <c r="F1228" s="21" t="s">
        <v>3028</v>
      </c>
      <c r="G1228" s="19">
        <v>37392505</v>
      </c>
    </row>
    <row r="1229" spans="6:7" x14ac:dyDescent="0.25">
      <c r="F1229" s="21" t="s">
        <v>1922</v>
      </c>
      <c r="G1229" s="19">
        <v>10866535</v>
      </c>
    </row>
    <row r="1230" spans="6:7" x14ac:dyDescent="0.25">
      <c r="F1230" s="21" t="s">
        <v>2232</v>
      </c>
      <c r="G1230" s="19">
        <v>4623935</v>
      </c>
    </row>
    <row r="1231" spans="6:7" x14ac:dyDescent="0.25">
      <c r="F1231" s="21" t="s">
        <v>1647</v>
      </c>
      <c r="G1231" s="19">
        <v>38059648</v>
      </c>
    </row>
    <row r="1232" spans="6:7" x14ac:dyDescent="0.25">
      <c r="F1232" s="21" t="s">
        <v>2076</v>
      </c>
      <c r="G1232" s="19">
        <v>25651081</v>
      </c>
    </row>
    <row r="1233" spans="6:7" x14ac:dyDescent="0.25">
      <c r="F1233" s="21" t="s">
        <v>2243</v>
      </c>
      <c r="G1233" s="19">
        <v>32461277</v>
      </c>
    </row>
    <row r="1234" spans="6:7" x14ac:dyDescent="0.25">
      <c r="F1234" s="21" t="s">
        <v>3035</v>
      </c>
      <c r="G1234" s="19">
        <v>151144</v>
      </c>
    </row>
    <row r="1235" spans="6:7" x14ac:dyDescent="0.25">
      <c r="F1235" s="21" t="s">
        <v>1688</v>
      </c>
      <c r="G1235" s="19">
        <v>46156855</v>
      </c>
    </row>
    <row r="1236" spans="6:7" x14ac:dyDescent="0.25">
      <c r="F1236" s="21" t="s">
        <v>1633</v>
      </c>
      <c r="G1236" s="19">
        <v>8160817</v>
      </c>
    </row>
    <row r="1237" spans="6:7" x14ac:dyDescent="0.25">
      <c r="F1237" s="21" t="s">
        <v>2452</v>
      </c>
      <c r="G1237" s="19">
        <v>49254244</v>
      </c>
    </row>
    <row r="1238" spans="6:7" x14ac:dyDescent="0.25">
      <c r="F1238" s="21" t="s">
        <v>2133</v>
      </c>
      <c r="G1238" s="19">
        <v>9691997</v>
      </c>
    </row>
    <row r="1239" spans="6:7" x14ac:dyDescent="0.25">
      <c r="F1239" s="21" t="s">
        <v>2958</v>
      </c>
      <c r="G1239" s="19">
        <v>13067841</v>
      </c>
    </row>
    <row r="1240" spans="6:7" x14ac:dyDescent="0.25">
      <c r="F1240" s="21" t="s">
        <v>1708</v>
      </c>
      <c r="G1240" s="19">
        <v>4350124</v>
      </c>
    </row>
    <row r="1241" spans="6:7" x14ac:dyDescent="0.25">
      <c r="F1241" s="21" t="s">
        <v>2217</v>
      </c>
      <c r="G1241" s="19">
        <v>19609366</v>
      </c>
    </row>
    <row r="1242" spans="6:7" x14ac:dyDescent="0.25">
      <c r="F1242" s="21" t="s">
        <v>2839</v>
      </c>
      <c r="G1242" s="19">
        <v>26594612</v>
      </c>
    </row>
    <row r="1243" spans="6:7" x14ac:dyDescent="0.25">
      <c r="F1243" s="21" t="s">
        <v>2859</v>
      </c>
      <c r="G1243" s="19">
        <v>28484039</v>
      </c>
    </row>
    <row r="1244" spans="6:7" x14ac:dyDescent="0.25">
      <c r="F1244" s="21" t="s">
        <v>2113</v>
      </c>
      <c r="G1244" s="19">
        <v>9680346</v>
      </c>
    </row>
    <row r="1245" spans="6:7" x14ac:dyDescent="0.25">
      <c r="F1245" s="21" t="s">
        <v>1871</v>
      </c>
      <c r="G1245" s="19">
        <v>28634499</v>
      </c>
    </row>
    <row r="1246" spans="6:7" x14ac:dyDescent="0.25">
      <c r="F1246" s="21" t="s">
        <v>2962</v>
      </c>
      <c r="G1246" s="19">
        <v>17285197</v>
      </c>
    </row>
    <row r="1247" spans="6:7" x14ac:dyDescent="0.25">
      <c r="F1247" s="21" t="s">
        <v>2933</v>
      </c>
      <c r="G1247" s="19">
        <v>8006865</v>
      </c>
    </row>
    <row r="1248" spans="6:7" x14ac:dyDescent="0.25">
      <c r="F1248" s="21" t="s">
        <v>2866</v>
      </c>
      <c r="G1248" s="19">
        <v>212132</v>
      </c>
    </row>
    <row r="1249" spans="6:7" x14ac:dyDescent="0.25">
      <c r="F1249" s="21" t="s">
        <v>2584</v>
      </c>
      <c r="G1249" s="19">
        <v>21739785</v>
      </c>
    </row>
    <row r="1250" spans="6:7" x14ac:dyDescent="0.25">
      <c r="F1250" s="21" t="s">
        <v>2831</v>
      </c>
      <c r="G1250" s="19">
        <v>811885</v>
      </c>
    </row>
    <row r="1251" spans="6:7" x14ac:dyDescent="0.25">
      <c r="F1251" s="21" t="s">
        <v>2796</v>
      </c>
      <c r="G1251" s="19">
        <v>48993111</v>
      </c>
    </row>
    <row r="1252" spans="6:7" x14ac:dyDescent="0.25">
      <c r="F1252" s="21" t="s">
        <v>1620</v>
      </c>
      <c r="G1252" s="19">
        <v>3527264</v>
      </c>
    </row>
    <row r="1253" spans="6:7" x14ac:dyDescent="0.25">
      <c r="F1253" s="21" t="s">
        <v>1732</v>
      </c>
      <c r="G1253" s="19">
        <v>1616609</v>
      </c>
    </row>
    <row r="1254" spans="6:7" x14ac:dyDescent="0.25">
      <c r="F1254" s="21" t="s">
        <v>1665</v>
      </c>
      <c r="G1254" s="19">
        <v>31063565</v>
      </c>
    </row>
    <row r="1255" spans="6:7" x14ac:dyDescent="0.25">
      <c r="F1255" s="21" t="s">
        <v>2909</v>
      </c>
      <c r="G1255" s="19">
        <v>2927561</v>
      </c>
    </row>
    <row r="1256" spans="6:7" x14ac:dyDescent="0.25">
      <c r="F1256" s="21" t="s">
        <v>2426</v>
      </c>
      <c r="G1256" s="19">
        <v>33345772</v>
      </c>
    </row>
    <row r="1257" spans="6:7" x14ac:dyDescent="0.25">
      <c r="F1257" s="21" t="s">
        <v>3029</v>
      </c>
      <c r="G1257" s="19">
        <v>14111279</v>
      </c>
    </row>
    <row r="1258" spans="6:7" x14ac:dyDescent="0.25">
      <c r="F1258" s="21" t="s">
        <v>2723</v>
      </c>
      <c r="G1258" s="19">
        <v>2356866</v>
      </c>
    </row>
    <row r="1259" spans="6:7" x14ac:dyDescent="0.25">
      <c r="F1259" s="21" t="s">
        <v>1535</v>
      </c>
      <c r="G1259" s="19">
        <v>31170051</v>
      </c>
    </row>
    <row r="1260" spans="6:7" x14ac:dyDescent="0.25">
      <c r="F1260" s="21" t="s">
        <v>2486</v>
      </c>
      <c r="G1260" s="19">
        <v>11034401</v>
      </c>
    </row>
    <row r="1261" spans="6:7" x14ac:dyDescent="0.25">
      <c r="F1261" s="21" t="s">
        <v>1699</v>
      </c>
      <c r="G1261" s="19">
        <v>29130052</v>
      </c>
    </row>
    <row r="1262" spans="6:7" x14ac:dyDescent="0.25">
      <c r="F1262" s="21" t="s">
        <v>2651</v>
      </c>
      <c r="G1262" s="19">
        <v>4936183</v>
      </c>
    </row>
    <row r="1263" spans="6:7" x14ac:dyDescent="0.25">
      <c r="F1263" s="21" t="s">
        <v>1846</v>
      </c>
      <c r="G1263" s="19">
        <v>18737155</v>
      </c>
    </row>
    <row r="1264" spans="6:7" x14ac:dyDescent="0.25">
      <c r="F1264" s="21" t="s">
        <v>2153</v>
      </c>
      <c r="G1264" s="19">
        <v>6049053</v>
      </c>
    </row>
    <row r="1265" spans="6:7" x14ac:dyDescent="0.25">
      <c r="F1265" s="21" t="s">
        <v>2353</v>
      </c>
      <c r="G1265" s="19">
        <v>41410253</v>
      </c>
    </row>
    <row r="1266" spans="6:7" x14ac:dyDescent="0.25">
      <c r="F1266" s="21" t="s">
        <v>2656</v>
      </c>
      <c r="G1266" s="19">
        <v>7516094</v>
      </c>
    </row>
    <row r="1267" spans="6:7" x14ac:dyDescent="0.25">
      <c r="F1267" s="21" t="s">
        <v>2420</v>
      </c>
      <c r="G1267" s="19">
        <v>28589603</v>
      </c>
    </row>
    <row r="1268" spans="6:7" x14ac:dyDescent="0.25">
      <c r="F1268" s="21" t="s">
        <v>2793</v>
      </c>
      <c r="G1268" s="19">
        <v>100846</v>
      </c>
    </row>
    <row r="1269" spans="6:7" x14ac:dyDescent="0.25">
      <c r="F1269" s="21" t="s">
        <v>2616</v>
      </c>
      <c r="G1269" s="19">
        <v>47295479</v>
      </c>
    </row>
    <row r="1270" spans="6:7" x14ac:dyDescent="0.25">
      <c r="F1270" s="21" t="s">
        <v>2301</v>
      </c>
      <c r="G1270" s="19">
        <v>29124415</v>
      </c>
    </row>
    <row r="1271" spans="6:7" x14ac:dyDescent="0.25">
      <c r="F1271" s="21" t="s">
        <v>2663</v>
      </c>
      <c r="G1271" s="19">
        <v>8472193</v>
      </c>
    </row>
    <row r="1272" spans="6:7" x14ac:dyDescent="0.25">
      <c r="F1272" s="21" t="s">
        <v>2191</v>
      </c>
      <c r="G1272" s="19">
        <v>21158241</v>
      </c>
    </row>
    <row r="1273" spans="6:7" x14ac:dyDescent="0.25">
      <c r="F1273" s="21" t="s">
        <v>2549</v>
      </c>
      <c r="G1273" s="19">
        <v>41879307</v>
      </c>
    </row>
    <row r="1274" spans="6:7" x14ac:dyDescent="0.25">
      <c r="F1274" s="21" t="s">
        <v>2496</v>
      </c>
      <c r="G1274" s="19">
        <v>42898803</v>
      </c>
    </row>
    <row r="1275" spans="6:7" x14ac:dyDescent="0.25">
      <c r="F1275" s="21" t="s">
        <v>2097</v>
      </c>
      <c r="G1275" s="19">
        <v>32942457</v>
      </c>
    </row>
    <row r="1276" spans="6:7" x14ac:dyDescent="0.25">
      <c r="F1276" s="21" t="s">
        <v>2577</v>
      </c>
      <c r="G1276" s="19">
        <v>36425628</v>
      </c>
    </row>
    <row r="1277" spans="6:7" x14ac:dyDescent="0.25">
      <c r="F1277" s="21" t="s">
        <v>2027</v>
      </c>
      <c r="G1277" s="19">
        <v>44464575</v>
      </c>
    </row>
    <row r="1278" spans="6:7" x14ac:dyDescent="0.25">
      <c r="F1278" s="21" t="s">
        <v>1683</v>
      </c>
      <c r="G1278" s="19">
        <v>585018</v>
      </c>
    </row>
    <row r="1279" spans="6:7" x14ac:dyDescent="0.25">
      <c r="F1279" s="21" t="s">
        <v>2101</v>
      </c>
      <c r="G1279" s="19">
        <v>29523689</v>
      </c>
    </row>
    <row r="1280" spans="6:7" x14ac:dyDescent="0.25">
      <c r="F1280" s="21" t="s">
        <v>2314</v>
      </c>
      <c r="G1280" s="19">
        <v>9199417</v>
      </c>
    </row>
    <row r="1281" spans="6:7" x14ac:dyDescent="0.25">
      <c r="F1281" s="21" t="s">
        <v>2321</v>
      </c>
      <c r="G1281" s="19">
        <v>16899239</v>
      </c>
    </row>
    <row r="1282" spans="6:7" x14ac:dyDescent="0.25">
      <c r="F1282" s="21" t="s">
        <v>2026</v>
      </c>
      <c r="G1282" s="19">
        <v>14650684</v>
      </c>
    </row>
    <row r="1283" spans="6:7" x14ac:dyDescent="0.25">
      <c r="F1283" s="21" t="s">
        <v>1906</v>
      </c>
      <c r="G1283" s="19">
        <v>24842405</v>
      </c>
    </row>
    <row r="1284" spans="6:7" x14ac:dyDescent="0.25">
      <c r="F1284" s="21" t="s">
        <v>2060</v>
      </c>
      <c r="G1284" s="19">
        <v>6456768</v>
      </c>
    </row>
    <row r="1285" spans="6:7" x14ac:dyDescent="0.25">
      <c r="F1285" s="21" t="s">
        <v>2715</v>
      </c>
      <c r="G1285" s="19">
        <v>26015333</v>
      </c>
    </row>
    <row r="1286" spans="6:7" x14ac:dyDescent="0.25">
      <c r="F1286" s="21" t="s">
        <v>2887</v>
      </c>
      <c r="G1286" s="19">
        <v>32194845</v>
      </c>
    </row>
    <row r="1287" spans="6:7" x14ac:dyDescent="0.25">
      <c r="F1287" s="21" t="s">
        <v>2581</v>
      </c>
      <c r="G1287" s="19">
        <v>32839879</v>
      </c>
    </row>
    <row r="1288" spans="6:7" x14ac:dyDescent="0.25">
      <c r="F1288" s="21" t="s">
        <v>2721</v>
      </c>
      <c r="G1288" s="19">
        <v>21957249</v>
      </c>
    </row>
    <row r="1289" spans="6:7" x14ac:dyDescent="0.25">
      <c r="F1289" s="21" t="s">
        <v>2011</v>
      </c>
      <c r="G1289" s="19">
        <v>21131346</v>
      </c>
    </row>
    <row r="1290" spans="6:7" x14ac:dyDescent="0.25">
      <c r="F1290" s="21" t="s">
        <v>2146</v>
      </c>
      <c r="G1290" s="19">
        <v>14224286</v>
      </c>
    </row>
    <row r="1291" spans="6:7" x14ac:dyDescent="0.25">
      <c r="F1291" s="21" t="s">
        <v>1840</v>
      </c>
      <c r="G1291" s="19">
        <v>15080442</v>
      </c>
    </row>
    <row r="1292" spans="6:7" x14ac:dyDescent="0.25">
      <c r="F1292" s="21" t="s">
        <v>2391</v>
      </c>
      <c r="G1292" s="19">
        <v>23028825</v>
      </c>
    </row>
    <row r="1293" spans="6:7" x14ac:dyDescent="0.25">
      <c r="F1293" s="21" t="s">
        <v>2966</v>
      </c>
      <c r="G1293" s="19">
        <v>31127234</v>
      </c>
    </row>
    <row r="1294" spans="6:7" x14ac:dyDescent="0.25">
      <c r="F1294" s="21" t="s">
        <v>2050</v>
      </c>
      <c r="G1294" s="19">
        <v>25588244</v>
      </c>
    </row>
    <row r="1295" spans="6:7" x14ac:dyDescent="0.25">
      <c r="F1295" s="21" t="s">
        <v>1853</v>
      </c>
      <c r="G1295" s="19">
        <v>1057155</v>
      </c>
    </row>
    <row r="1296" spans="6:7" x14ac:dyDescent="0.25">
      <c r="F1296" s="21" t="s">
        <v>2392</v>
      </c>
      <c r="G1296" s="19">
        <v>20905561</v>
      </c>
    </row>
    <row r="1297" spans="6:7" x14ac:dyDescent="0.25">
      <c r="F1297" s="21" t="s">
        <v>2373</v>
      </c>
      <c r="G1297" s="19">
        <v>6718229</v>
      </c>
    </row>
    <row r="1298" spans="6:7" x14ac:dyDescent="0.25">
      <c r="F1298" s="21" t="s">
        <v>2376</v>
      </c>
      <c r="G1298" s="19">
        <v>1542670</v>
      </c>
    </row>
    <row r="1299" spans="6:7" x14ac:dyDescent="0.25">
      <c r="F1299" s="21" t="s">
        <v>2557</v>
      </c>
      <c r="G1299" s="19">
        <v>19004187</v>
      </c>
    </row>
    <row r="1300" spans="6:7" x14ac:dyDescent="0.25">
      <c r="F1300" s="21" t="s">
        <v>2167</v>
      </c>
      <c r="G1300" s="19">
        <v>37874679</v>
      </c>
    </row>
    <row r="1301" spans="6:7" x14ac:dyDescent="0.25">
      <c r="F1301" s="21" t="s">
        <v>1642</v>
      </c>
      <c r="G1301" s="19">
        <v>18476725</v>
      </c>
    </row>
    <row r="1302" spans="6:7" x14ac:dyDescent="0.25">
      <c r="F1302" s="21" t="s">
        <v>2403</v>
      </c>
      <c r="G1302" s="19">
        <v>10654365</v>
      </c>
    </row>
    <row r="1303" spans="6:7" x14ac:dyDescent="0.25">
      <c r="F1303" s="21" t="s">
        <v>3003</v>
      </c>
      <c r="G1303" s="19">
        <v>17187397</v>
      </c>
    </row>
    <row r="1304" spans="6:7" x14ac:dyDescent="0.25">
      <c r="F1304" s="21" t="s">
        <v>1800</v>
      </c>
      <c r="G1304" s="19">
        <v>30526386</v>
      </c>
    </row>
    <row r="1305" spans="6:7" x14ac:dyDescent="0.25">
      <c r="F1305" s="21" t="s">
        <v>2854</v>
      </c>
      <c r="G1305" s="19">
        <v>24173938</v>
      </c>
    </row>
    <row r="1306" spans="6:7" x14ac:dyDescent="0.25">
      <c r="F1306" s="21" t="s">
        <v>1520</v>
      </c>
      <c r="G1306" s="19">
        <v>23941347</v>
      </c>
    </row>
    <row r="1307" spans="6:7" x14ac:dyDescent="0.25">
      <c r="F1307" s="21" t="s">
        <v>2157</v>
      </c>
      <c r="G1307" s="19">
        <v>13600837</v>
      </c>
    </row>
    <row r="1308" spans="6:7" x14ac:dyDescent="0.25">
      <c r="F1308" s="21" t="s">
        <v>1770</v>
      </c>
      <c r="G1308" s="19">
        <v>35166362</v>
      </c>
    </row>
    <row r="1309" spans="6:7" x14ac:dyDescent="0.25">
      <c r="F1309" s="21" t="s">
        <v>2158</v>
      </c>
      <c r="G1309" s="19">
        <v>17673345</v>
      </c>
    </row>
    <row r="1310" spans="6:7" x14ac:dyDescent="0.25">
      <c r="F1310" s="21" t="s">
        <v>1627</v>
      </c>
      <c r="G1310" s="19">
        <v>3830995</v>
      </c>
    </row>
    <row r="1311" spans="6:7" x14ac:dyDescent="0.25">
      <c r="F1311" s="21" t="s">
        <v>2247</v>
      </c>
      <c r="G1311" s="19">
        <v>26893947</v>
      </c>
    </row>
    <row r="1312" spans="6:7" x14ac:dyDescent="0.25">
      <c r="F1312" s="21" t="s">
        <v>2166</v>
      </c>
      <c r="G1312" s="19">
        <v>26517563</v>
      </c>
    </row>
    <row r="1313" spans="6:7" x14ac:dyDescent="0.25">
      <c r="F1313" s="21" t="s">
        <v>2427</v>
      </c>
      <c r="G1313" s="19">
        <v>6675523</v>
      </c>
    </row>
    <row r="1314" spans="6:7" x14ac:dyDescent="0.25">
      <c r="F1314" s="21" t="s">
        <v>2234</v>
      </c>
      <c r="G1314" s="19">
        <v>10664952</v>
      </c>
    </row>
    <row r="1315" spans="6:7" x14ac:dyDescent="0.25">
      <c r="F1315" s="21" t="s">
        <v>1614</v>
      </c>
      <c r="G1315" s="19">
        <v>4420141</v>
      </c>
    </row>
    <row r="1316" spans="6:7" x14ac:dyDescent="0.25">
      <c r="F1316" s="21" t="s">
        <v>2185</v>
      </c>
      <c r="G1316" s="19">
        <v>1908284</v>
      </c>
    </row>
    <row r="1317" spans="6:7" x14ac:dyDescent="0.25">
      <c r="F1317" s="21" t="s">
        <v>2231</v>
      </c>
      <c r="G1317" s="19">
        <v>19049772</v>
      </c>
    </row>
    <row r="1318" spans="6:7" x14ac:dyDescent="0.25">
      <c r="F1318" s="21" t="s">
        <v>2485</v>
      </c>
      <c r="G1318" s="19">
        <v>32665525</v>
      </c>
    </row>
    <row r="1319" spans="6:7" x14ac:dyDescent="0.25">
      <c r="F1319" s="21" t="s">
        <v>2838</v>
      </c>
      <c r="G1319" s="19">
        <v>16139634</v>
      </c>
    </row>
    <row r="1320" spans="6:7" x14ac:dyDescent="0.25">
      <c r="F1320" s="21" t="s">
        <v>1550</v>
      </c>
      <c r="G1320" s="19">
        <v>23009277</v>
      </c>
    </row>
    <row r="1321" spans="6:7" x14ac:dyDescent="0.25">
      <c r="F1321" s="21" t="s">
        <v>2706</v>
      </c>
      <c r="G1321" s="19">
        <v>44501436</v>
      </c>
    </row>
    <row r="1322" spans="6:7" x14ac:dyDescent="0.25">
      <c r="F1322" s="21" t="s">
        <v>2551</v>
      </c>
      <c r="G1322" s="19">
        <v>33687364</v>
      </c>
    </row>
    <row r="1323" spans="6:7" x14ac:dyDescent="0.25">
      <c r="F1323" s="21" t="s">
        <v>2216</v>
      </c>
      <c r="G1323" s="19">
        <v>14077312</v>
      </c>
    </row>
    <row r="1324" spans="6:7" x14ac:dyDescent="0.25">
      <c r="F1324" s="21" t="s">
        <v>1639</v>
      </c>
      <c r="G1324" s="19">
        <v>14902759</v>
      </c>
    </row>
    <row r="1325" spans="6:7" x14ac:dyDescent="0.25">
      <c r="F1325" s="21" t="s">
        <v>1959</v>
      </c>
      <c r="G1325" s="19">
        <v>24303076</v>
      </c>
    </row>
    <row r="1326" spans="6:7" x14ac:dyDescent="0.25">
      <c r="F1326" s="21" t="s">
        <v>2869</v>
      </c>
      <c r="G1326" s="19">
        <v>8671162</v>
      </c>
    </row>
    <row r="1327" spans="6:7" x14ac:dyDescent="0.25">
      <c r="F1327" s="21" t="s">
        <v>1777</v>
      </c>
      <c r="G1327" s="19">
        <v>9246519</v>
      </c>
    </row>
    <row r="1328" spans="6:7" x14ac:dyDescent="0.25">
      <c r="F1328" s="21" t="s">
        <v>2999</v>
      </c>
      <c r="G1328" s="19">
        <v>289333</v>
      </c>
    </row>
    <row r="1329" spans="6:7" x14ac:dyDescent="0.25">
      <c r="F1329" s="21" t="s">
        <v>1761</v>
      </c>
      <c r="G1329" s="19">
        <v>42869338</v>
      </c>
    </row>
    <row r="1330" spans="6:7" x14ac:dyDescent="0.25">
      <c r="F1330" s="21" t="s">
        <v>2078</v>
      </c>
      <c r="G1330" s="19">
        <v>32826875</v>
      </c>
    </row>
    <row r="1331" spans="6:7" x14ac:dyDescent="0.25">
      <c r="F1331" s="21" t="s">
        <v>2473</v>
      </c>
      <c r="G1331" s="19">
        <v>16563538</v>
      </c>
    </row>
    <row r="1332" spans="6:7" x14ac:dyDescent="0.25">
      <c r="F1332" s="21" t="s">
        <v>1605</v>
      </c>
      <c r="G1332" s="19">
        <v>36809536</v>
      </c>
    </row>
    <row r="1333" spans="6:7" x14ac:dyDescent="0.25">
      <c r="F1333" s="21" t="s">
        <v>2304</v>
      </c>
      <c r="G1333" s="19">
        <v>43158555</v>
      </c>
    </row>
    <row r="1334" spans="6:7" x14ac:dyDescent="0.25">
      <c r="F1334" s="21" t="s">
        <v>1888</v>
      </c>
      <c r="G1334" s="19">
        <v>20368293</v>
      </c>
    </row>
    <row r="1335" spans="6:7" x14ac:dyDescent="0.25">
      <c r="F1335" s="21" t="s">
        <v>2902</v>
      </c>
      <c r="G1335" s="19">
        <v>4086144</v>
      </c>
    </row>
    <row r="1336" spans="6:7" x14ac:dyDescent="0.25">
      <c r="F1336" s="21" t="s">
        <v>2736</v>
      </c>
      <c r="G1336" s="19">
        <v>17849513</v>
      </c>
    </row>
    <row r="1337" spans="6:7" x14ac:dyDescent="0.25">
      <c r="F1337" s="21" t="s">
        <v>1766</v>
      </c>
      <c r="G1337" s="19">
        <v>32758482</v>
      </c>
    </row>
    <row r="1338" spans="6:7" x14ac:dyDescent="0.25">
      <c r="F1338" s="21" t="s">
        <v>2256</v>
      </c>
      <c r="G1338" s="19">
        <v>15569476</v>
      </c>
    </row>
    <row r="1339" spans="6:7" x14ac:dyDescent="0.25">
      <c r="F1339" s="21" t="s">
        <v>1903</v>
      </c>
      <c r="G1339" s="19">
        <v>6631698</v>
      </c>
    </row>
    <row r="1340" spans="6:7" x14ac:dyDescent="0.25">
      <c r="F1340" s="21" t="s">
        <v>2874</v>
      </c>
      <c r="G1340" s="19">
        <v>36910604</v>
      </c>
    </row>
    <row r="1341" spans="6:7" x14ac:dyDescent="0.25">
      <c r="F1341" s="21" t="s">
        <v>2120</v>
      </c>
      <c r="G1341" s="19">
        <v>32077834</v>
      </c>
    </row>
    <row r="1342" spans="6:7" x14ac:dyDescent="0.25">
      <c r="F1342" s="21" t="s">
        <v>2479</v>
      </c>
      <c r="G1342" s="19">
        <v>8396696</v>
      </c>
    </row>
    <row r="1343" spans="6:7" x14ac:dyDescent="0.25">
      <c r="F1343" s="21" t="s">
        <v>2580</v>
      </c>
      <c r="G1343" s="19">
        <v>45855153</v>
      </c>
    </row>
    <row r="1344" spans="6:7" x14ac:dyDescent="0.25">
      <c r="F1344" s="21" t="s">
        <v>2318</v>
      </c>
      <c r="G1344" s="19">
        <v>6037273</v>
      </c>
    </row>
    <row r="1345" spans="6:7" x14ac:dyDescent="0.25">
      <c r="F1345" s="21" t="s">
        <v>2077</v>
      </c>
      <c r="G1345" s="19">
        <v>13253497</v>
      </c>
    </row>
    <row r="1346" spans="6:7" x14ac:dyDescent="0.25">
      <c r="F1346" s="21" t="s">
        <v>2704</v>
      </c>
      <c r="G1346" s="19">
        <v>16513231</v>
      </c>
    </row>
    <row r="1347" spans="6:7" x14ac:dyDescent="0.25">
      <c r="F1347" s="21" t="s">
        <v>2361</v>
      </c>
      <c r="G1347" s="19">
        <v>1336342</v>
      </c>
    </row>
    <row r="1348" spans="6:7" x14ac:dyDescent="0.25">
      <c r="F1348" s="21" t="s">
        <v>1595</v>
      </c>
      <c r="G1348" s="19">
        <v>4436669</v>
      </c>
    </row>
    <row r="1349" spans="6:7" x14ac:dyDescent="0.25">
      <c r="F1349" s="21" t="s">
        <v>1727</v>
      </c>
      <c r="G1349" s="19">
        <v>36464027</v>
      </c>
    </row>
    <row r="1350" spans="6:7" x14ac:dyDescent="0.25">
      <c r="F1350" s="21" t="s">
        <v>1819</v>
      </c>
      <c r="G1350" s="19">
        <v>47562644</v>
      </c>
    </row>
    <row r="1351" spans="6:7" x14ac:dyDescent="0.25">
      <c r="F1351" s="21" t="s">
        <v>1655</v>
      </c>
      <c r="G1351" s="19">
        <v>35504693</v>
      </c>
    </row>
    <row r="1352" spans="6:7" x14ac:dyDescent="0.25">
      <c r="F1352" s="21" t="s">
        <v>1598</v>
      </c>
      <c r="G1352" s="19">
        <v>15334665</v>
      </c>
    </row>
    <row r="1353" spans="6:7" x14ac:dyDescent="0.25">
      <c r="F1353" s="21" t="s">
        <v>1596</v>
      </c>
      <c r="G1353" s="19">
        <v>49220167</v>
      </c>
    </row>
    <row r="1354" spans="6:7" x14ac:dyDescent="0.25">
      <c r="F1354" s="21" t="s">
        <v>1584</v>
      </c>
      <c r="G1354" s="19">
        <v>20102812</v>
      </c>
    </row>
    <row r="1355" spans="6:7" x14ac:dyDescent="0.25">
      <c r="F1355" s="21" t="s">
        <v>2705</v>
      </c>
      <c r="G1355" s="19">
        <v>37110329</v>
      </c>
    </row>
    <row r="1356" spans="6:7" x14ac:dyDescent="0.25">
      <c r="F1356" s="21" t="s">
        <v>1877</v>
      </c>
      <c r="G1356" s="19">
        <v>5949703</v>
      </c>
    </row>
    <row r="1357" spans="6:7" x14ac:dyDescent="0.25">
      <c r="F1357" s="21" t="s">
        <v>1549</v>
      </c>
      <c r="G1357" s="19">
        <v>31433701</v>
      </c>
    </row>
    <row r="1358" spans="6:7" x14ac:dyDescent="0.25">
      <c r="F1358" s="21" t="s">
        <v>2784</v>
      </c>
      <c r="G1358" s="19">
        <v>27845782</v>
      </c>
    </row>
    <row r="1359" spans="6:7" x14ac:dyDescent="0.25">
      <c r="F1359" s="21" t="s">
        <v>1897</v>
      </c>
      <c r="G1359" s="19">
        <v>33971448</v>
      </c>
    </row>
    <row r="1360" spans="6:7" x14ac:dyDescent="0.25">
      <c r="F1360" s="21" t="s">
        <v>1826</v>
      </c>
      <c r="G1360" s="19">
        <v>38132442</v>
      </c>
    </row>
    <row r="1361" spans="6:7" x14ac:dyDescent="0.25">
      <c r="F1361" s="21" t="s">
        <v>2039</v>
      </c>
      <c r="G1361" s="19">
        <v>49712533</v>
      </c>
    </row>
    <row r="1362" spans="6:7" x14ac:dyDescent="0.25">
      <c r="F1362" s="21" t="s">
        <v>2350</v>
      </c>
      <c r="G1362" s="19">
        <v>33935421</v>
      </c>
    </row>
    <row r="1363" spans="6:7" x14ac:dyDescent="0.25">
      <c r="F1363" s="21" t="s">
        <v>2605</v>
      </c>
      <c r="G1363" s="19">
        <v>2793377</v>
      </c>
    </row>
    <row r="1364" spans="6:7" x14ac:dyDescent="0.25">
      <c r="F1364" s="21" t="s">
        <v>1676</v>
      </c>
      <c r="G1364" s="19">
        <v>12268886</v>
      </c>
    </row>
    <row r="1365" spans="6:7" x14ac:dyDescent="0.25">
      <c r="F1365" s="21" t="s">
        <v>1987</v>
      </c>
      <c r="G1365" s="19">
        <v>6825569</v>
      </c>
    </row>
    <row r="1366" spans="6:7" x14ac:dyDescent="0.25">
      <c r="F1366" s="21" t="s">
        <v>2033</v>
      </c>
      <c r="G1366" s="19">
        <v>31695601</v>
      </c>
    </row>
    <row r="1367" spans="6:7" x14ac:dyDescent="0.25">
      <c r="F1367" s="21" t="s">
        <v>2634</v>
      </c>
      <c r="G1367" s="19">
        <v>41141875</v>
      </c>
    </row>
    <row r="1368" spans="6:7" x14ac:dyDescent="0.25">
      <c r="F1368" s="21" t="s">
        <v>1820</v>
      </c>
      <c r="G1368" s="19">
        <v>45242942</v>
      </c>
    </row>
    <row r="1369" spans="6:7" x14ac:dyDescent="0.25">
      <c r="F1369" s="21" t="s">
        <v>2645</v>
      </c>
      <c r="G1369" s="19">
        <v>3590680</v>
      </c>
    </row>
    <row r="1370" spans="6:7" x14ac:dyDescent="0.25">
      <c r="F1370" s="21" t="s">
        <v>2694</v>
      </c>
      <c r="G1370" s="19">
        <v>7547639</v>
      </c>
    </row>
    <row r="1371" spans="6:7" x14ac:dyDescent="0.25">
      <c r="F1371" s="21" t="s">
        <v>1747</v>
      </c>
      <c r="G1371" s="19">
        <v>5064138</v>
      </c>
    </row>
    <row r="1372" spans="6:7" x14ac:dyDescent="0.25">
      <c r="F1372" s="21" t="s">
        <v>1789</v>
      </c>
      <c r="G1372" s="19">
        <v>15652394</v>
      </c>
    </row>
    <row r="1373" spans="6:7" x14ac:dyDescent="0.25">
      <c r="F1373" s="21" t="s">
        <v>2095</v>
      </c>
      <c r="G1373" s="19">
        <v>3030837</v>
      </c>
    </row>
    <row r="1374" spans="6:7" x14ac:dyDescent="0.25">
      <c r="F1374" s="21" t="s">
        <v>2352</v>
      </c>
      <c r="G1374" s="19">
        <v>49750685</v>
      </c>
    </row>
    <row r="1375" spans="6:7" x14ac:dyDescent="0.25">
      <c r="F1375" s="21" t="s">
        <v>2000</v>
      </c>
      <c r="G1375" s="19">
        <v>5522618</v>
      </c>
    </row>
    <row r="1376" spans="6:7" x14ac:dyDescent="0.25">
      <c r="F1376" s="21" t="s">
        <v>2470</v>
      </c>
      <c r="G1376" s="19">
        <v>27928044</v>
      </c>
    </row>
    <row r="1377" spans="6:7" x14ac:dyDescent="0.25">
      <c r="F1377" s="21" t="s">
        <v>1941</v>
      </c>
      <c r="G1377" s="19">
        <v>37310398</v>
      </c>
    </row>
    <row r="1378" spans="6:7" x14ac:dyDescent="0.25">
      <c r="F1378" s="21" t="s">
        <v>2963</v>
      </c>
      <c r="G1378" s="19">
        <v>25012012</v>
      </c>
    </row>
    <row r="1379" spans="6:7" x14ac:dyDescent="0.25">
      <c r="F1379" s="21" t="s">
        <v>1752</v>
      </c>
      <c r="G1379" s="19">
        <v>32108851</v>
      </c>
    </row>
    <row r="1380" spans="6:7" x14ac:dyDescent="0.25">
      <c r="F1380" s="21" t="s">
        <v>2384</v>
      </c>
      <c r="G1380" s="19">
        <v>2171395</v>
      </c>
    </row>
    <row r="1381" spans="6:7" x14ac:dyDescent="0.25">
      <c r="F1381" s="21" t="s">
        <v>2769</v>
      </c>
      <c r="G1381" s="19">
        <v>23835514</v>
      </c>
    </row>
    <row r="1382" spans="6:7" x14ac:dyDescent="0.25">
      <c r="F1382" s="21" t="s">
        <v>1957</v>
      </c>
      <c r="G1382" s="19">
        <v>41298906</v>
      </c>
    </row>
    <row r="1383" spans="6:7" x14ac:dyDescent="0.25">
      <c r="F1383" s="21" t="s">
        <v>2837</v>
      </c>
      <c r="G1383" s="19">
        <v>3914966</v>
      </c>
    </row>
    <row r="1384" spans="6:7" x14ac:dyDescent="0.25">
      <c r="F1384" s="21" t="s">
        <v>2629</v>
      </c>
      <c r="G1384" s="19">
        <v>7290595</v>
      </c>
    </row>
    <row r="1385" spans="6:7" x14ac:dyDescent="0.25">
      <c r="F1385" s="21" t="s">
        <v>2141</v>
      </c>
      <c r="G1385" s="19">
        <v>32071221</v>
      </c>
    </row>
    <row r="1386" spans="6:7" x14ac:dyDescent="0.25">
      <c r="F1386" s="21" t="s">
        <v>2443</v>
      </c>
      <c r="G1386" s="19">
        <v>9890593</v>
      </c>
    </row>
    <row r="1387" spans="6:7" x14ac:dyDescent="0.25">
      <c r="F1387" s="21" t="s">
        <v>2436</v>
      </c>
      <c r="G1387" s="19">
        <v>18896554</v>
      </c>
    </row>
    <row r="1388" spans="6:7" x14ac:dyDescent="0.25">
      <c r="F1388" s="21" t="s">
        <v>1697</v>
      </c>
      <c r="G1388" s="19">
        <v>6534607</v>
      </c>
    </row>
    <row r="1389" spans="6:7" x14ac:dyDescent="0.25">
      <c r="F1389" s="21" t="s">
        <v>2205</v>
      </c>
      <c r="G1389" s="19">
        <v>17536883</v>
      </c>
    </row>
    <row r="1390" spans="6:7" x14ac:dyDescent="0.25">
      <c r="F1390" s="21" t="s">
        <v>2052</v>
      </c>
      <c r="G1390" s="19">
        <v>36495333</v>
      </c>
    </row>
    <row r="1391" spans="6:7" x14ac:dyDescent="0.25">
      <c r="F1391" s="21" t="s">
        <v>2565</v>
      </c>
      <c r="G1391" s="19">
        <v>40746128</v>
      </c>
    </row>
    <row r="1392" spans="6:7" x14ac:dyDescent="0.25">
      <c r="F1392" s="21" t="s">
        <v>2197</v>
      </c>
      <c r="G1392" s="19">
        <v>46077136</v>
      </c>
    </row>
    <row r="1393" spans="6:7" x14ac:dyDescent="0.25">
      <c r="F1393" s="21" t="s">
        <v>2192</v>
      </c>
      <c r="G1393" s="19">
        <v>22576625</v>
      </c>
    </row>
    <row r="1394" spans="6:7" x14ac:dyDescent="0.25">
      <c r="F1394" s="21" t="s">
        <v>3009</v>
      </c>
      <c r="G1394" s="19">
        <v>20047416</v>
      </c>
    </row>
    <row r="1395" spans="6:7" x14ac:dyDescent="0.25">
      <c r="F1395" s="21" t="s">
        <v>2910</v>
      </c>
      <c r="G1395" s="19">
        <v>11831852</v>
      </c>
    </row>
    <row r="1396" spans="6:7" x14ac:dyDescent="0.25">
      <c r="F1396" s="21" t="s">
        <v>3002</v>
      </c>
      <c r="G1396" s="19">
        <v>28816275</v>
      </c>
    </row>
    <row r="1397" spans="6:7" x14ac:dyDescent="0.25">
      <c r="F1397" s="21" t="s">
        <v>2657</v>
      </c>
      <c r="G1397" s="19">
        <v>1481726</v>
      </c>
    </row>
    <row r="1398" spans="6:7" x14ac:dyDescent="0.25">
      <c r="F1398" s="21" t="s">
        <v>1898</v>
      </c>
      <c r="G1398" s="19">
        <v>29157628</v>
      </c>
    </row>
    <row r="1399" spans="6:7" x14ac:dyDescent="0.25">
      <c r="F1399" s="21" t="s">
        <v>2744</v>
      </c>
      <c r="G1399" s="19">
        <v>36212577</v>
      </c>
    </row>
    <row r="1400" spans="6:7" x14ac:dyDescent="0.25">
      <c r="F1400" s="21" t="s">
        <v>2066</v>
      </c>
      <c r="G1400" s="19">
        <v>20335816</v>
      </c>
    </row>
    <row r="1401" spans="6:7" x14ac:dyDescent="0.25">
      <c r="F1401" s="21" t="s">
        <v>2435</v>
      </c>
      <c r="G1401" s="19">
        <v>3088208</v>
      </c>
    </row>
    <row r="1402" spans="6:7" x14ac:dyDescent="0.25">
      <c r="F1402" s="21" t="s">
        <v>2285</v>
      </c>
      <c r="G1402" s="19">
        <v>24930426</v>
      </c>
    </row>
    <row r="1403" spans="6:7" x14ac:dyDescent="0.25">
      <c r="F1403" s="21" t="s">
        <v>2126</v>
      </c>
      <c r="G1403" s="19">
        <v>48401954</v>
      </c>
    </row>
    <row r="1404" spans="6:7" x14ac:dyDescent="0.25">
      <c r="F1404" s="21" t="s">
        <v>2411</v>
      </c>
      <c r="G1404" s="19">
        <v>26959589</v>
      </c>
    </row>
    <row r="1405" spans="6:7" x14ac:dyDescent="0.25">
      <c r="F1405" s="21" t="s">
        <v>2263</v>
      </c>
      <c r="G1405" s="19">
        <v>3859290</v>
      </c>
    </row>
    <row r="1406" spans="6:7" x14ac:dyDescent="0.25">
      <c r="F1406" s="21" t="s">
        <v>2491</v>
      </c>
      <c r="G1406" s="19">
        <v>24254272</v>
      </c>
    </row>
    <row r="1407" spans="6:7" x14ac:dyDescent="0.25">
      <c r="F1407" s="21" t="s">
        <v>1720</v>
      </c>
      <c r="G1407" s="19">
        <v>14813388</v>
      </c>
    </row>
    <row r="1408" spans="6:7" x14ac:dyDescent="0.25">
      <c r="F1408" s="21" t="s">
        <v>2178</v>
      </c>
      <c r="G1408" s="19">
        <v>14175565</v>
      </c>
    </row>
    <row r="1409" spans="6:7" x14ac:dyDescent="0.25">
      <c r="F1409" s="21" t="s">
        <v>1805</v>
      </c>
      <c r="G1409" s="19">
        <v>20572826</v>
      </c>
    </row>
    <row r="1410" spans="6:7" x14ac:dyDescent="0.25">
      <c r="F1410" s="21" t="s">
        <v>1990</v>
      </c>
      <c r="G1410" s="19">
        <v>44822067</v>
      </c>
    </row>
    <row r="1411" spans="6:7" x14ac:dyDescent="0.25">
      <c r="F1411" s="21" t="s">
        <v>2794</v>
      </c>
      <c r="G1411" s="19">
        <v>29966678</v>
      </c>
    </row>
    <row r="1412" spans="6:7" x14ac:dyDescent="0.25">
      <c r="F1412" s="21" t="s">
        <v>2938</v>
      </c>
      <c r="G1412" s="19">
        <v>48510191</v>
      </c>
    </row>
    <row r="1413" spans="6:7" x14ac:dyDescent="0.25">
      <c r="F1413" s="21" t="s">
        <v>1565</v>
      </c>
      <c r="G1413" s="19">
        <v>5280179</v>
      </c>
    </row>
    <row r="1414" spans="6:7" x14ac:dyDescent="0.25">
      <c r="F1414" s="21" t="s">
        <v>1668</v>
      </c>
      <c r="G1414" s="19">
        <v>33382168</v>
      </c>
    </row>
    <row r="1415" spans="6:7" x14ac:dyDescent="0.25">
      <c r="F1415" s="21" t="s">
        <v>1937</v>
      </c>
      <c r="G1415" s="19">
        <v>4651970</v>
      </c>
    </row>
    <row r="1416" spans="6:7" x14ac:dyDescent="0.25">
      <c r="F1416" s="21" t="s">
        <v>2342</v>
      </c>
      <c r="G1416" s="19">
        <v>27596204</v>
      </c>
    </row>
    <row r="1417" spans="6:7" x14ac:dyDescent="0.25">
      <c r="F1417" s="21" t="s">
        <v>1643</v>
      </c>
      <c r="G1417" s="19">
        <v>10094328</v>
      </c>
    </row>
    <row r="1418" spans="6:7" x14ac:dyDescent="0.25">
      <c r="F1418" s="21" t="s">
        <v>2979</v>
      </c>
      <c r="G1418" s="19">
        <v>35434597</v>
      </c>
    </row>
    <row r="1419" spans="6:7" x14ac:dyDescent="0.25">
      <c r="F1419" s="21" t="s">
        <v>1783</v>
      </c>
      <c r="G1419" s="19">
        <v>26695619</v>
      </c>
    </row>
    <row r="1420" spans="6:7" x14ac:dyDescent="0.25">
      <c r="F1420" s="21" t="s">
        <v>1818</v>
      </c>
      <c r="G1420" s="19">
        <v>5803294</v>
      </c>
    </row>
    <row r="1421" spans="6:7" x14ac:dyDescent="0.25">
      <c r="F1421" s="21" t="s">
        <v>1816</v>
      </c>
      <c r="G1421" s="19">
        <v>9179029</v>
      </c>
    </row>
    <row r="1422" spans="6:7" x14ac:dyDescent="0.25">
      <c r="F1422" s="21" t="s">
        <v>2969</v>
      </c>
      <c r="G1422" s="19">
        <v>22009332</v>
      </c>
    </row>
    <row r="1423" spans="6:7" x14ac:dyDescent="0.25">
      <c r="F1423" s="21" t="s">
        <v>2883</v>
      </c>
      <c r="G1423" s="19">
        <v>33461796</v>
      </c>
    </row>
    <row r="1424" spans="6:7" x14ac:dyDescent="0.25">
      <c r="F1424" s="21" t="s">
        <v>1772</v>
      </c>
      <c r="G1424" s="19">
        <v>27309709</v>
      </c>
    </row>
    <row r="1425" spans="6:7" x14ac:dyDescent="0.25">
      <c r="F1425" s="21" t="s">
        <v>2029</v>
      </c>
      <c r="G1425" s="19">
        <v>17332356</v>
      </c>
    </row>
    <row r="1426" spans="6:7" x14ac:dyDescent="0.25">
      <c r="F1426" s="21" t="s">
        <v>2988</v>
      </c>
      <c r="G1426" s="19">
        <v>47987256</v>
      </c>
    </row>
    <row r="1427" spans="6:7" x14ac:dyDescent="0.25">
      <c r="F1427" s="21" t="s">
        <v>3006</v>
      </c>
      <c r="G1427" s="19">
        <v>2523959</v>
      </c>
    </row>
    <row r="1428" spans="6:7" x14ac:dyDescent="0.25">
      <c r="F1428" s="21" t="s">
        <v>2850</v>
      </c>
      <c r="G1428" s="19">
        <v>6436663</v>
      </c>
    </row>
    <row r="1429" spans="6:7" x14ac:dyDescent="0.25">
      <c r="F1429" s="21" t="s">
        <v>2520</v>
      </c>
      <c r="G1429" s="19">
        <v>22555262</v>
      </c>
    </row>
    <row r="1430" spans="6:7" x14ac:dyDescent="0.25">
      <c r="F1430" s="21" t="s">
        <v>1985</v>
      </c>
      <c r="G1430" s="19">
        <v>16441851</v>
      </c>
    </row>
    <row r="1431" spans="6:7" x14ac:dyDescent="0.25">
      <c r="F1431" s="21" t="s">
        <v>2689</v>
      </c>
      <c r="G1431" s="19">
        <v>46306827</v>
      </c>
    </row>
    <row r="1432" spans="6:7" x14ac:dyDescent="0.25">
      <c r="F1432" s="21" t="s">
        <v>2190</v>
      </c>
      <c r="G1432" s="19">
        <v>48642534</v>
      </c>
    </row>
    <row r="1433" spans="6:7" x14ac:dyDescent="0.25">
      <c r="F1433" s="21" t="s">
        <v>1528</v>
      </c>
      <c r="G1433" s="19">
        <v>2594346</v>
      </c>
    </row>
    <row r="1434" spans="6:7" x14ac:dyDescent="0.25">
      <c r="F1434" s="21" t="s">
        <v>2465</v>
      </c>
      <c r="G1434" s="19">
        <v>4133076</v>
      </c>
    </row>
    <row r="1435" spans="6:7" x14ac:dyDescent="0.25">
      <c r="F1435" s="21" t="s">
        <v>2815</v>
      </c>
      <c r="G1435" s="19">
        <v>27668922</v>
      </c>
    </row>
    <row r="1436" spans="6:7" x14ac:dyDescent="0.25">
      <c r="F1436" s="21" t="s">
        <v>1677</v>
      </c>
      <c r="G1436" s="19">
        <v>6080084</v>
      </c>
    </row>
    <row r="1437" spans="6:7" x14ac:dyDescent="0.25">
      <c r="F1437" s="21" t="s">
        <v>2294</v>
      </c>
      <c r="G1437" s="19">
        <v>29785378</v>
      </c>
    </row>
    <row r="1438" spans="6:7" x14ac:dyDescent="0.25">
      <c r="F1438" s="21" t="s">
        <v>2070</v>
      </c>
      <c r="G1438" s="19">
        <v>7718752</v>
      </c>
    </row>
    <row r="1439" spans="6:7" x14ac:dyDescent="0.25">
      <c r="F1439" s="21" t="s">
        <v>2846</v>
      </c>
      <c r="G1439" s="19">
        <v>34672001</v>
      </c>
    </row>
    <row r="1440" spans="6:7" x14ac:dyDescent="0.25">
      <c r="F1440" s="21" t="s">
        <v>2739</v>
      </c>
      <c r="G1440" s="19">
        <v>42075684</v>
      </c>
    </row>
    <row r="1441" spans="6:7" x14ac:dyDescent="0.25">
      <c r="F1441" s="21" t="s">
        <v>1710</v>
      </c>
      <c r="G1441" s="19">
        <v>12854297</v>
      </c>
    </row>
    <row r="1442" spans="6:7" x14ac:dyDescent="0.25">
      <c r="F1442" s="21" t="s">
        <v>1721</v>
      </c>
      <c r="G1442" s="19">
        <v>11347013</v>
      </c>
    </row>
    <row r="1443" spans="6:7" x14ac:dyDescent="0.25">
      <c r="F1443" s="21" t="s">
        <v>2917</v>
      </c>
      <c r="G1443" s="19">
        <v>8655814</v>
      </c>
    </row>
    <row r="1444" spans="6:7" x14ac:dyDescent="0.25">
      <c r="F1444" s="21" t="s">
        <v>1864</v>
      </c>
      <c r="G1444" s="19">
        <v>2780073</v>
      </c>
    </row>
    <row r="1445" spans="6:7" x14ac:dyDescent="0.25">
      <c r="F1445" s="21" t="s">
        <v>2221</v>
      </c>
      <c r="G1445" s="19">
        <v>28412279</v>
      </c>
    </row>
    <row r="1446" spans="6:7" x14ac:dyDescent="0.25">
      <c r="F1446" s="21" t="s">
        <v>2621</v>
      </c>
      <c r="G1446" s="19">
        <v>22801963</v>
      </c>
    </row>
    <row r="1447" spans="6:7" x14ac:dyDescent="0.25">
      <c r="F1447" s="21" t="s">
        <v>2209</v>
      </c>
      <c r="G1447" s="19">
        <v>2829132</v>
      </c>
    </row>
    <row r="1448" spans="6:7" x14ac:dyDescent="0.25">
      <c r="F1448" s="21" t="s">
        <v>2327</v>
      </c>
      <c r="G1448" s="19">
        <v>559453</v>
      </c>
    </row>
    <row r="1449" spans="6:7" x14ac:dyDescent="0.25">
      <c r="F1449" s="21" t="s">
        <v>2710</v>
      </c>
      <c r="G1449" s="19">
        <v>43959749</v>
      </c>
    </row>
    <row r="1450" spans="6:7" x14ac:dyDescent="0.25">
      <c r="F1450" s="21" t="s">
        <v>2614</v>
      </c>
      <c r="G1450" s="19">
        <v>33406863</v>
      </c>
    </row>
    <row r="1451" spans="6:7" x14ac:dyDescent="0.25">
      <c r="F1451" s="21" t="s">
        <v>2690</v>
      </c>
      <c r="G1451" s="19">
        <v>17130498</v>
      </c>
    </row>
    <row r="1452" spans="6:7" x14ac:dyDescent="0.25">
      <c r="F1452" s="21" t="s">
        <v>1854</v>
      </c>
      <c r="G1452" s="19">
        <v>9993868</v>
      </c>
    </row>
    <row r="1453" spans="6:7" x14ac:dyDescent="0.25">
      <c r="F1453" s="21" t="s">
        <v>2160</v>
      </c>
      <c r="G1453" s="19">
        <v>47352832</v>
      </c>
    </row>
    <row r="1454" spans="6:7" x14ac:dyDescent="0.25">
      <c r="F1454" s="21" t="s">
        <v>2560</v>
      </c>
      <c r="G1454" s="19">
        <v>25490812</v>
      </c>
    </row>
    <row r="1455" spans="6:7" x14ac:dyDescent="0.25">
      <c r="F1455" s="21" t="s">
        <v>1546</v>
      </c>
      <c r="G1455" s="19">
        <v>46645162</v>
      </c>
    </row>
    <row r="1456" spans="6:7" x14ac:dyDescent="0.25">
      <c r="F1456" s="21" t="s">
        <v>1998</v>
      </c>
      <c r="G1456" s="19">
        <v>7736173</v>
      </c>
    </row>
    <row r="1457" spans="6:7" x14ac:dyDescent="0.25">
      <c r="F1457" s="21" t="s">
        <v>1709</v>
      </c>
      <c r="G1457" s="19">
        <v>48869128</v>
      </c>
    </row>
    <row r="1458" spans="6:7" x14ac:dyDescent="0.25">
      <c r="F1458" s="21" t="s">
        <v>2100</v>
      </c>
      <c r="G1458" s="19">
        <v>22000281</v>
      </c>
    </row>
    <row r="1459" spans="6:7" x14ac:dyDescent="0.25">
      <c r="F1459" s="21" t="s">
        <v>3005</v>
      </c>
      <c r="G1459" s="19">
        <v>27702433</v>
      </c>
    </row>
    <row r="1460" spans="6:7" x14ac:dyDescent="0.25">
      <c r="F1460" s="21" t="s">
        <v>1608</v>
      </c>
      <c r="G1460" s="19">
        <v>31083606</v>
      </c>
    </row>
    <row r="1461" spans="6:7" x14ac:dyDescent="0.25">
      <c r="F1461" s="21" t="s">
        <v>2876</v>
      </c>
      <c r="G1461" s="19">
        <v>39559537</v>
      </c>
    </row>
    <row r="1462" spans="6:7" x14ac:dyDescent="0.25">
      <c r="F1462" s="21" t="s">
        <v>2720</v>
      </c>
      <c r="G1462" s="19">
        <v>44072567</v>
      </c>
    </row>
    <row r="1463" spans="6:7" x14ac:dyDescent="0.25">
      <c r="F1463" s="21" t="s">
        <v>3000</v>
      </c>
      <c r="G1463" s="19">
        <v>12076604</v>
      </c>
    </row>
    <row r="1464" spans="6:7" x14ac:dyDescent="0.25">
      <c r="F1464" s="21" t="s">
        <v>2431</v>
      </c>
      <c r="G1464" s="19">
        <v>3915769</v>
      </c>
    </row>
    <row r="1465" spans="6:7" x14ac:dyDescent="0.25">
      <c r="F1465" s="21" t="s">
        <v>2028</v>
      </c>
      <c r="G1465" s="19">
        <v>709520</v>
      </c>
    </row>
    <row r="1466" spans="6:7" x14ac:dyDescent="0.25">
      <c r="F1466" s="21" t="s">
        <v>1669</v>
      </c>
      <c r="G1466" s="19">
        <v>15705431</v>
      </c>
    </row>
    <row r="1467" spans="6:7" x14ac:dyDescent="0.25">
      <c r="F1467" s="21" t="s">
        <v>1883</v>
      </c>
      <c r="G1467" s="19">
        <v>4662663</v>
      </c>
    </row>
    <row r="1468" spans="6:7" x14ac:dyDescent="0.25">
      <c r="F1468" s="21" t="s">
        <v>1632</v>
      </c>
      <c r="G1468" s="19">
        <v>28970033</v>
      </c>
    </row>
    <row r="1469" spans="6:7" x14ac:dyDescent="0.25">
      <c r="F1469" s="21" t="s">
        <v>1942</v>
      </c>
      <c r="G1469" s="19">
        <v>43439794</v>
      </c>
    </row>
    <row r="1470" spans="6:7" x14ac:dyDescent="0.25">
      <c r="F1470" s="21" t="s">
        <v>1784</v>
      </c>
      <c r="G1470" s="19">
        <v>18490442</v>
      </c>
    </row>
    <row r="1471" spans="6:7" x14ac:dyDescent="0.25">
      <c r="F1471" s="21" t="s">
        <v>2140</v>
      </c>
      <c r="G1471" s="19">
        <v>3718248</v>
      </c>
    </row>
    <row r="1472" spans="6:7" x14ac:dyDescent="0.25">
      <c r="F1472" s="21" t="s">
        <v>1553</v>
      </c>
      <c r="G1472" s="19">
        <v>12904703</v>
      </c>
    </row>
    <row r="1473" spans="6:7" x14ac:dyDescent="0.25">
      <c r="F1473" s="21" t="s">
        <v>2341</v>
      </c>
      <c r="G1473" s="19">
        <v>10233543</v>
      </c>
    </row>
    <row r="1474" spans="6:7" x14ac:dyDescent="0.25">
      <c r="F1474" s="21" t="s">
        <v>1830</v>
      </c>
      <c r="G1474" s="19">
        <v>2279970</v>
      </c>
    </row>
    <row r="1475" spans="6:7" x14ac:dyDescent="0.25">
      <c r="F1475" s="21" t="s">
        <v>2386</v>
      </c>
      <c r="G1475" s="19">
        <v>6640173</v>
      </c>
    </row>
    <row r="1476" spans="6:7" x14ac:dyDescent="0.25">
      <c r="F1476" s="21" t="s">
        <v>2596</v>
      </c>
      <c r="G1476" s="19">
        <v>19449408</v>
      </c>
    </row>
    <row r="1477" spans="6:7" x14ac:dyDescent="0.25">
      <c r="F1477" s="21" t="s">
        <v>2824</v>
      </c>
      <c r="G1477" s="19">
        <v>40328115</v>
      </c>
    </row>
    <row r="1478" spans="6:7" x14ac:dyDescent="0.25">
      <c r="F1478" s="21" t="s">
        <v>1558</v>
      </c>
      <c r="G1478" s="19">
        <v>2008269</v>
      </c>
    </row>
    <row r="1479" spans="6:7" x14ac:dyDescent="0.25">
      <c r="F1479" s="21" t="s">
        <v>1662</v>
      </c>
      <c r="G1479" s="19">
        <v>23527392</v>
      </c>
    </row>
    <row r="1480" spans="6:7" x14ac:dyDescent="0.25">
      <c r="F1480" s="21" t="s">
        <v>2760</v>
      </c>
      <c r="G1480" s="19">
        <v>43735584</v>
      </c>
    </row>
    <row r="1481" spans="6:7" x14ac:dyDescent="0.25">
      <c r="F1481" s="21" t="s">
        <v>2637</v>
      </c>
      <c r="G1481" s="19">
        <v>37014723</v>
      </c>
    </row>
    <row r="1482" spans="6:7" x14ac:dyDescent="0.25">
      <c r="F1482" s="21" t="s">
        <v>2953</v>
      </c>
      <c r="G1482" s="19">
        <v>2728445</v>
      </c>
    </row>
    <row r="1483" spans="6:7" x14ac:dyDescent="0.25">
      <c r="F1483" s="21" t="s">
        <v>2860</v>
      </c>
      <c r="G1483" s="19">
        <v>1488453</v>
      </c>
    </row>
    <row r="1484" spans="6:7" x14ac:dyDescent="0.25">
      <c r="F1484" s="21" t="s">
        <v>2873</v>
      </c>
      <c r="G1484" s="19">
        <v>40164531</v>
      </c>
    </row>
    <row r="1485" spans="6:7" x14ac:dyDescent="0.25">
      <c r="F1485" s="21" t="s">
        <v>2981</v>
      </c>
      <c r="G1485" s="19">
        <v>34236675</v>
      </c>
    </row>
    <row r="1486" spans="6:7" x14ac:dyDescent="0.25">
      <c r="F1486" s="21" t="s">
        <v>2566</v>
      </c>
      <c r="G1486" s="19">
        <v>32789003</v>
      </c>
    </row>
    <row r="1487" spans="6:7" x14ac:dyDescent="0.25">
      <c r="F1487" s="21" t="s">
        <v>2950</v>
      </c>
      <c r="G1487" s="19">
        <v>34311305</v>
      </c>
    </row>
    <row r="1488" spans="6:7" x14ac:dyDescent="0.25">
      <c r="F1488" s="21" t="s">
        <v>1588</v>
      </c>
      <c r="G1488" s="19">
        <v>35257457</v>
      </c>
    </row>
    <row r="1489" spans="6:7" x14ac:dyDescent="0.25">
      <c r="F1489" s="21" t="s">
        <v>2446</v>
      </c>
      <c r="G1489" s="19">
        <v>21285231</v>
      </c>
    </row>
    <row r="1490" spans="6:7" x14ac:dyDescent="0.25">
      <c r="F1490" s="21" t="s">
        <v>3007</v>
      </c>
      <c r="G1490" s="19">
        <v>36251039</v>
      </c>
    </row>
    <row r="1491" spans="6:7" x14ac:dyDescent="0.25">
      <c r="F1491" s="21" t="s">
        <v>2034</v>
      </c>
      <c r="G1491" s="19">
        <v>23831267</v>
      </c>
    </row>
    <row r="1492" spans="6:7" x14ac:dyDescent="0.25">
      <c r="F1492" s="21" t="s">
        <v>2082</v>
      </c>
      <c r="G1492" s="19">
        <v>3448094</v>
      </c>
    </row>
    <row r="1493" spans="6:7" x14ac:dyDescent="0.25">
      <c r="F1493" s="21" t="s">
        <v>2939</v>
      </c>
      <c r="G1493" s="19">
        <v>1119333</v>
      </c>
    </row>
    <row r="1494" spans="6:7" x14ac:dyDescent="0.25">
      <c r="F1494" s="21" t="s">
        <v>1663</v>
      </c>
      <c r="G1494" s="19">
        <v>25431181</v>
      </c>
    </row>
    <row r="1495" spans="6:7" x14ac:dyDescent="0.25">
      <c r="F1495" s="21" t="s">
        <v>2354</v>
      </c>
      <c r="G1495" s="19">
        <v>30915889</v>
      </c>
    </row>
    <row r="1496" spans="6:7" x14ac:dyDescent="0.25">
      <c r="F1496" s="21" t="s">
        <v>1590</v>
      </c>
      <c r="G1496" s="19">
        <v>7337838</v>
      </c>
    </row>
    <row r="1497" spans="6:7" x14ac:dyDescent="0.25">
      <c r="F1497" s="21" t="s">
        <v>1773</v>
      </c>
      <c r="G1497" s="19">
        <v>42756256</v>
      </c>
    </row>
    <row r="1498" spans="6:7" x14ac:dyDescent="0.25">
      <c r="F1498" s="21" t="s">
        <v>1657</v>
      </c>
      <c r="G1498" s="19">
        <v>3407983</v>
      </c>
    </row>
    <row r="1499" spans="6:7" x14ac:dyDescent="0.25">
      <c r="F1499" s="21" t="s">
        <v>1758</v>
      </c>
      <c r="G1499" s="19">
        <v>3657255</v>
      </c>
    </row>
    <row r="1500" spans="6:7" x14ac:dyDescent="0.25">
      <c r="F1500" s="21" t="s">
        <v>2683</v>
      </c>
      <c r="G1500" s="19">
        <v>26184135</v>
      </c>
    </row>
    <row r="1501" spans="6:7" x14ac:dyDescent="0.25">
      <c r="F1501" s="21" t="s">
        <v>2673</v>
      </c>
      <c r="G1501" s="19">
        <v>48897978</v>
      </c>
    </row>
    <row r="1502" spans="6:7" x14ac:dyDescent="0.25">
      <c r="F1502" s="21" t="s">
        <v>1682</v>
      </c>
      <c r="G1502" s="19">
        <v>24482784</v>
      </c>
    </row>
    <row r="1503" spans="6:7" x14ac:dyDescent="0.25">
      <c r="F1503" s="21" t="s">
        <v>2686</v>
      </c>
      <c r="G1503" s="19">
        <v>28463429</v>
      </c>
    </row>
    <row r="1504" spans="6:7" x14ac:dyDescent="0.25">
      <c r="F1504" s="21" t="s">
        <v>2020</v>
      </c>
      <c r="G1504" s="19">
        <v>31679277</v>
      </c>
    </row>
    <row r="1505" spans="6:7" x14ac:dyDescent="0.25">
      <c r="F1505" s="21" t="s">
        <v>2956</v>
      </c>
      <c r="G1505" s="19">
        <v>24391999</v>
      </c>
    </row>
    <row r="1506" spans="6:7" x14ac:dyDescent="0.25">
      <c r="F1506" s="21" t="s">
        <v>2201</v>
      </c>
      <c r="G1506" s="19">
        <v>11068624</v>
      </c>
    </row>
    <row r="1507" spans="6:7" x14ac:dyDescent="0.25">
      <c r="F1507" s="21" t="s">
        <v>2458</v>
      </c>
      <c r="G1507" s="19">
        <v>10975243</v>
      </c>
    </row>
    <row r="1508" spans="6:7" x14ac:dyDescent="0.25">
      <c r="F1508" s="21" t="s">
        <v>2258</v>
      </c>
      <c r="G1508" s="19">
        <v>30825236</v>
      </c>
    </row>
    <row r="1509" spans="6:7" x14ac:dyDescent="0.25">
      <c r="F1509" s="21" t="s">
        <v>2862</v>
      </c>
      <c r="G1509" s="19">
        <v>3187792</v>
      </c>
    </row>
    <row r="1510" spans="6:7" x14ac:dyDescent="0.25">
      <c r="F1510" s="21" t="s">
        <v>2653</v>
      </c>
      <c r="G1510" s="19">
        <v>41519932</v>
      </c>
    </row>
    <row r="1511" spans="6:7" x14ac:dyDescent="0.25">
      <c r="F1511" s="21" t="s">
        <v>1722</v>
      </c>
      <c r="G1511" s="19">
        <v>49420965</v>
      </c>
    </row>
    <row r="1512" spans="6:7" x14ac:dyDescent="0.25">
      <c r="F1512" s="21" t="s">
        <v>2602</v>
      </c>
      <c r="G1512" s="19">
        <v>2024694</v>
      </c>
    </row>
    <row r="1513" spans="6:7" x14ac:dyDescent="0.25">
      <c r="F1513" s="21" t="s">
        <v>1956</v>
      </c>
      <c r="G1513" s="19">
        <v>2690673</v>
      </c>
    </row>
    <row r="1514" spans="6:7" x14ac:dyDescent="0.25">
      <c r="F1514" s="21" t="s">
        <v>2572</v>
      </c>
      <c r="G1514" s="19">
        <v>30859846</v>
      </c>
    </row>
    <row r="1515" spans="6:7" x14ac:dyDescent="0.25">
      <c r="F1515" s="21" t="s">
        <v>1552</v>
      </c>
      <c r="G1515" s="19">
        <v>22208452</v>
      </c>
    </row>
    <row r="1516" spans="6:7" x14ac:dyDescent="0.25">
      <c r="F1516" s="21" t="s">
        <v>2640</v>
      </c>
      <c r="G1516" s="19">
        <v>19741125</v>
      </c>
    </row>
    <row r="1517" spans="6:7" x14ac:dyDescent="0.25">
      <c r="F1517" s="21" t="s">
        <v>2671</v>
      </c>
      <c r="G1517" s="19">
        <v>29785029</v>
      </c>
    </row>
    <row r="1518" spans="6:7" x14ac:dyDescent="0.25">
      <c r="F1518" s="21" t="s">
        <v>2154</v>
      </c>
      <c r="G1518" s="19">
        <v>3051845</v>
      </c>
    </row>
    <row r="1519" spans="6:7" x14ac:dyDescent="0.25">
      <c r="F1519" s="21" t="s">
        <v>2759</v>
      </c>
      <c r="G1519" s="19">
        <v>37474157</v>
      </c>
    </row>
    <row r="1520" spans="6:7" x14ac:dyDescent="0.25">
      <c r="F1520" s="21" t="s">
        <v>1713</v>
      </c>
      <c r="G1520" s="19">
        <v>3050483</v>
      </c>
    </row>
    <row r="1521" spans="6:7" x14ac:dyDescent="0.25">
      <c r="F1521" s="21" t="s">
        <v>2767</v>
      </c>
      <c r="G1521" s="19">
        <v>3607392</v>
      </c>
    </row>
    <row r="1522" spans="6:7" x14ac:dyDescent="0.25">
      <c r="F1522" s="21" t="s">
        <v>1567</v>
      </c>
      <c r="G1522" s="19">
        <v>9742708</v>
      </c>
    </row>
    <row r="1523" spans="6:7" x14ac:dyDescent="0.25">
      <c r="F1523" s="21" t="s">
        <v>1928</v>
      </c>
      <c r="G1523" s="19">
        <v>14930655</v>
      </c>
    </row>
    <row r="1524" spans="6:7" x14ac:dyDescent="0.25">
      <c r="F1524" s="21" t="s">
        <v>2872</v>
      </c>
      <c r="G1524" s="19">
        <v>37835348</v>
      </c>
    </row>
    <row r="1525" spans="6:7" x14ac:dyDescent="0.25">
      <c r="F1525" s="21" t="s">
        <v>3065</v>
      </c>
      <c r="G1525" s="19">
        <v>34544483816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51366AD5-6792-45D6-A2BB-38CF8AAB39E0}">
  <ds:schemaRefs/>
</ds:datastoreItem>
</file>

<file path=customXml/itemProps2.xml><?xml version="1.0" encoding="utf-8"?>
<ds:datastoreItem xmlns:ds="http://schemas.openxmlformats.org/officeDocument/2006/customXml" ds:itemID="{0639C741-0585-4AB8-9B28-43D1E0026B32}">
  <ds:schemaRefs/>
</ds:datastoreItem>
</file>

<file path=customXml/itemProps3.xml><?xml version="1.0" encoding="utf-8"?>
<ds:datastoreItem xmlns:ds="http://schemas.openxmlformats.org/officeDocument/2006/customXml" ds:itemID="{B2C1CC8F-2751-465D-9845-E1EE48AE6E5F}">
  <ds:schemaRefs/>
</ds:datastoreItem>
</file>

<file path=customXml/itemProps4.xml><?xml version="1.0" encoding="utf-8"?>
<ds:datastoreItem xmlns:ds="http://schemas.openxmlformats.org/officeDocument/2006/customXml" ds:itemID="{DD8DACB4-9AAA-416E-A81E-971E4014D3D9}">
  <ds:schemaRefs/>
</ds:datastoreItem>
</file>

<file path=customXml/itemProps5.xml><?xml version="1.0" encoding="utf-8"?>
<ds:datastoreItem xmlns:ds="http://schemas.openxmlformats.org/officeDocument/2006/customXml" ds:itemID="{3828AFE2-D5F7-4DA4-8177-5B85A1A02E66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AF273074-5F74-43D6-B830-81CB02D31E55}">
  <ds:schemaRefs/>
</ds:datastoreItem>
</file>

<file path=customXml/itemProps7.xml><?xml version="1.0" encoding="utf-8"?>
<ds:datastoreItem xmlns:ds="http://schemas.openxmlformats.org/officeDocument/2006/customXml" ds:itemID="{CC58217E-DCD5-4B34-BAF0-9ACDE54424AE}">
  <ds:schemaRefs/>
</ds:datastoreItem>
</file>

<file path=customXml/itemProps8.xml><?xml version="1.0" encoding="utf-8"?>
<ds:datastoreItem xmlns:ds="http://schemas.openxmlformats.org/officeDocument/2006/customXml" ds:itemID="{E0678896-76BC-416D-AA11-208520D0D093}">
  <ds:schemaRefs/>
</ds:datastoreItem>
</file>

<file path=customXml/itemProps9.xml><?xml version="1.0" encoding="utf-8"?>
<ds:datastoreItem xmlns:ds="http://schemas.openxmlformats.org/officeDocument/2006/customXml" ds:itemID="{4BC1C20F-3656-41BD-8AF4-709A3698923B}">
  <ds:schemaRefs/>
</ds:datastoreItem>
</file>

<file path=customXml/itemProps10.xml><?xml version="1.0" encoding="utf-8"?>
<ds:datastoreItem xmlns:ds="http://schemas.openxmlformats.org/officeDocument/2006/customXml" ds:itemID="{F9B39AFB-63DA-4DD3-AA6C-C444E8D94F6A}">
  <ds:schemaRefs/>
</ds:datastoreItem>
</file>

<file path=customXml/itemProps11.xml><?xml version="1.0" encoding="utf-8"?>
<ds:datastoreItem xmlns:ds="http://schemas.openxmlformats.org/officeDocument/2006/customXml" ds:itemID="{702D7E1C-89F7-40D1-84DB-54ADCC7852D6}">
  <ds:schemaRefs/>
</ds:datastoreItem>
</file>

<file path=customXml/itemProps12.xml><?xml version="1.0" encoding="utf-8"?>
<ds:datastoreItem xmlns:ds="http://schemas.openxmlformats.org/officeDocument/2006/customXml" ds:itemID="{7C0052F1-EAE4-4FAA-9104-F3C1C8E27001}">
  <ds:schemaRefs/>
</ds:datastoreItem>
</file>

<file path=customXml/itemProps13.xml><?xml version="1.0" encoding="utf-8"?>
<ds:datastoreItem xmlns:ds="http://schemas.openxmlformats.org/officeDocument/2006/customXml" ds:itemID="{76617D31-5727-499A-8EEC-9EDADED759F2}">
  <ds:schemaRefs/>
</ds:datastoreItem>
</file>

<file path=customXml/itemProps14.xml><?xml version="1.0" encoding="utf-8"?>
<ds:datastoreItem xmlns:ds="http://schemas.openxmlformats.org/officeDocument/2006/customXml" ds:itemID="{F3B4AC69-4E16-4658-9738-7B0209A4A585}">
  <ds:schemaRefs/>
</ds:datastoreItem>
</file>

<file path=customXml/itemProps15.xml><?xml version="1.0" encoding="utf-8"?>
<ds:datastoreItem xmlns:ds="http://schemas.openxmlformats.org/officeDocument/2006/customXml" ds:itemID="{C184637F-B391-4765-B7D6-E676FD5B0E33}">
  <ds:schemaRefs/>
</ds:datastoreItem>
</file>

<file path=customXml/itemProps16.xml><?xml version="1.0" encoding="utf-8"?>
<ds:datastoreItem xmlns:ds="http://schemas.openxmlformats.org/officeDocument/2006/customXml" ds:itemID="{8D4836F2-3829-4F93-AD33-9D73EE0F1B73}">
  <ds:schemaRefs/>
</ds:datastoreItem>
</file>

<file path=customXml/itemProps17.xml><?xml version="1.0" encoding="utf-8"?>
<ds:datastoreItem xmlns:ds="http://schemas.openxmlformats.org/officeDocument/2006/customXml" ds:itemID="{62281BF9-46B9-4DD0-9ADC-7E8EA769BC6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Readme</vt:lpstr>
      <vt:lpstr>Archivo en crudo</vt:lpstr>
      <vt:lpstr>Dashboard</vt:lpstr>
      <vt:lpstr>Dataset de ventas</vt:lpstr>
      <vt:lpstr>Preguntas y respuestas</vt:lpstr>
      <vt:lpstr>Hoja Auxiliar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keysser marrero</dc:creator>
  <cp:lastModifiedBy>keysser marrero</cp:lastModifiedBy>
  <dcterms:created xsi:type="dcterms:W3CDTF">2025-07-26T01:12:32Z</dcterms:created>
  <dcterms:modified xsi:type="dcterms:W3CDTF">2026-01-08T23:43:58Z</dcterms:modified>
</cp:coreProperties>
</file>